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Controls" sheetId="2" state="visible" r:id="rId2"/>
    <sheet xmlns:r="http://schemas.openxmlformats.org/officeDocument/2006/relationships" name="Veh" sheetId="3" state="visible" r:id="rId3"/>
    <sheet xmlns:r="http://schemas.openxmlformats.org/officeDocument/2006/relationships" name="Routes" sheetId="4" state="visible" r:id="rId4"/>
    <sheet xmlns:r="http://schemas.openxmlformats.org/officeDocument/2006/relationships" name="Tickets" sheetId="5" state="visible" r:id="rId5"/>
    <sheet xmlns:r="http://schemas.openxmlformats.org/officeDocument/2006/relationships" name="TripSummary" sheetId="6" state="visible" r:id="rId6"/>
    <sheet xmlns:r="http://schemas.openxmlformats.org/officeDocument/2006/relationships" name="Daily" sheetId="7" state="visible" r:id="rId7"/>
    <sheet xmlns:r="http://schemas.openxmlformats.org/officeDocument/2006/relationships" name="RouteDay" sheetId="8" state="visible" r:id="rId8"/>
    <sheet xmlns:r="http://schemas.openxmlformats.org/officeDocument/2006/relationships" name="KPI" sheetId="9" state="visible" r:id="rId9"/>
  </sheets>
  <definedNames>
    <definedName name="StartDate">KPI_Controls!$B$3</definedName>
    <definedName name="EndDate">KPI_Controls!$B$4</definedName>
    <definedName name="RouteFilter">KPI_Controls!$B$5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₹#,##0.00"/>
    <numFmt numFmtId="167" formatCode="₹#,##0"/>
    <numFmt numFmtId="168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B7A4E"/>
      <sz val="16"/>
    </font>
    <font>
      <name val="Calibri"/>
      <b val="1"/>
      <color rgb="001B7A4E"/>
      <sz val="12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8E7"/>
      </patternFill>
    </fill>
    <fill>
      <patternFill patternType="solid">
        <fgColor rgb="001B7A4E"/>
      </patternFill>
    </fill>
    <fill>
      <patternFill patternType="solid">
        <fgColor rgb="00FFF3CD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5" borderId="1" pivotButton="0" quotePrefix="0" xfId="0"/>
    <xf numFmtId="1" fontId="0" fillId="5" borderId="1" pivotButton="0" quotePrefix="0" xfId="0"/>
    <xf numFmtId="167" fontId="0" fillId="5" borderId="1" pivotButton="0" quotePrefix="0" xfId="0"/>
    <xf numFmtId="166" fontId="0" fillId="5" borderId="1" pivotButton="0" quotePrefix="0" xfId="0"/>
    <xf numFmtId="165" fontId="0" fillId="5" borderId="1" pivotButton="0" quotePrefix="0" xfId="0"/>
    <xf numFmtId="168" fontId="0" fillId="5" borderId="1" pivotButton="0" quotePrefix="0" xfId="0"/>
    <xf numFmtId="2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Veh" displayName="Veh" ref="A1:E5" headerRowCount="1">
  <autoFilter ref="A1:E5"/>
  <tableColumns count="5">
    <tableColumn id="1" name="Vehicle no./ Schedule No."/>
    <tableColumn id="2" name="Veh. Type"/>
    <tableColumn id="3" name="Veh. Capacity"/>
    <tableColumn id="4" name="VehClean"/>
    <tableColumn id="5" name="Capacit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outes" displayName="Routes" ref="A1:F5" headerRowCount="1">
  <autoFilter ref="A1:F5"/>
  <tableColumns count="6">
    <tableColumn id="1" name="Route_Code"/>
    <tableColumn id="2" name="Route"/>
    <tableColumn id="3" name="Route_description"/>
    <tableColumn id="4" name="Route Length"/>
    <tableColumn id="5" name="Route Category"/>
    <tableColumn id="6" name="RDK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ickets" displayName="Tickets" ref="A1:AE5" headerRowCount="1">
  <autoFilter ref="A1:AE5"/>
  <tableColumns count="31">
    <tableColumn id="1" name="Date"/>
    <tableColumn id="2" name="Ticket No."/>
    <tableColumn id="3" name="Route No."/>
    <tableColumn id="4" name="Route description"/>
    <tableColumn id="5" name="Depot"/>
    <tableColumn id="6" name="Vehicle/ Schedule no."/>
    <tableColumn id="7" name="Driver ID"/>
    <tableColumn id="8" name="Conductor ID"/>
    <tableColumn id="9" name="Trip No."/>
    <tableColumn id="10" name="Trip Start Time"/>
    <tableColumn id="11" name="Trip End Time"/>
    <tableColumn id="12" name="Ticket Issue Time"/>
    <tableColumn id="13" name="No. of pass."/>
    <tableColumn id="14" name="No. of child Pass."/>
    <tableColumn id="15" name="Pass. Category"/>
    <tableColumn id="16" name="Origin Stop No."/>
    <tableColumn id="17" name="Destination Stop No."/>
    <tableColumn id="18" name="Pass. Origin"/>
    <tableColumn id="19" name="Pass. Destination"/>
    <tableColumn id="20" name="Stage Km"/>
    <tableColumn id="21" name="Revenue"/>
    <tableColumn id="22" name="Gender"/>
    <tableColumn id="23" name="TP"/>
    <tableColumn id="24" name="PK"/>
    <tableColumn id="25" name="VehClean"/>
    <tableColumn id="26" name="BTK"/>
    <tableColumn id="27" name="RDK"/>
    <tableColumn id="28" name="TripKey"/>
    <tableColumn id="29" name="InPeriod"/>
    <tableColumn id="30" name="Capacity"/>
    <tableColumn id="31" name="RouteLe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E-TRAM Overview KPI Calculator — Excel template</t>
        </is>
      </c>
    </row>
    <row r="2">
      <c r="A2" t="inlineStr"/>
    </row>
    <row r="3">
      <c r="A3" t="inlineStr">
        <is>
          <t>Requires Microsoft Excel 365 (UNIQUE, FILTER, XLOOKUP, TEXTAFTER).</t>
        </is>
      </c>
    </row>
    <row r="4">
      <c r="A4" t="inlineStr"/>
    </row>
    <row r="5">
      <c r="A5" s="2" t="inlineStr">
        <is>
          <t>How to use</t>
        </is>
      </c>
    </row>
    <row r="6">
      <c r="A6" t="inlineStr">
        <is>
          <t>1. Open KPI_Controls — set StartDate, EndDate, and optional RouteFilter.</t>
        </is>
      </c>
    </row>
    <row r="7">
      <c r="A7" t="inlineStr">
        <is>
          <t>2. Paste Veh_Type into Veh (keep headers). VehClean / formulas auto-fill in the table.</t>
        </is>
      </c>
    </row>
    <row r="8">
      <c r="A8" t="inlineStr">
        <is>
          <t>3. Paste Route_Description into Routes. RDK formula auto-fills.</t>
        </is>
      </c>
    </row>
    <row r="9">
      <c r="A9" t="inlineStr">
        <is>
          <t>4. Paste Bus Ticket Data into Tickets starting at row 2 under the existing headers.</t>
        </is>
      </c>
    </row>
    <row r="10">
      <c r="A10" t="inlineStr">
        <is>
          <t xml:space="preserve">   Helper columns TP…RouteLen are already formula columns — do not overwrite them.</t>
        </is>
      </c>
    </row>
    <row r="11">
      <c r="A11" t="inlineStr">
        <is>
          <t>5. TripSummary!A2 spills unique trip keys for the selected period.</t>
        </is>
      </c>
    </row>
    <row r="12">
      <c r="A12" t="inlineStr">
        <is>
          <t xml:space="preserve">   Columns B–L are pre-filled for up to 2500 trips.</t>
        </is>
      </c>
    </row>
    <row r="13">
      <c r="A13" t="inlineStr">
        <is>
          <t>6. Daily and RouteDay spill from TripSummary; KPI sheet shows Overview totals.</t>
        </is>
      </c>
    </row>
    <row r="14">
      <c r="A14" t="inlineStr"/>
    </row>
    <row r="15">
      <c r="A15" s="2" t="inlineStr">
        <is>
          <t>Sheet map</t>
        </is>
      </c>
    </row>
    <row r="16">
      <c r="A16" t="inlineStr">
        <is>
          <t>KPI_Controls — date / route filter (named ranges StartDate, EndDate, RouteFilter)</t>
        </is>
      </c>
    </row>
    <row r="17">
      <c r="A17" t="inlineStr">
        <is>
          <t>Tickets — ETM ticket rows + helper columns</t>
        </is>
      </c>
    </row>
    <row r="18">
      <c r="A18" t="inlineStr">
        <is>
          <t>Veh — vehicle capacity lookup</t>
        </is>
      </c>
    </row>
    <row r="19">
      <c r="A19" t="inlineStr">
        <is>
          <t>Routes — route length lookup</t>
        </is>
      </c>
    </row>
    <row r="20">
      <c r="A20" t="inlineStr">
        <is>
          <t>TripSummary — one row per bus trip in period</t>
        </is>
      </c>
    </row>
    <row r="21">
      <c r="A21" t="inlineStr">
        <is>
          <t>Daily — agency-day aggregates</t>
        </is>
      </c>
    </row>
    <row r="22">
      <c r="A22" t="inlineStr">
        <is>
          <t>RouteDay — route contribution / shares</t>
        </is>
      </c>
    </row>
    <row r="23">
      <c r="A23" t="inlineStr">
        <is>
          <t>KPI — Overview primary cards + operating snapshot</t>
        </is>
      </c>
    </row>
    <row r="24">
      <c r="A24" t="inlineStr"/>
    </row>
    <row r="25">
      <c r="A25" s="2" t="inlineStr">
        <is>
          <t>Notes</t>
        </is>
      </c>
    </row>
    <row r="26">
      <c r="A26" t="inlineStr">
        <is>
          <t>• Load factor = SUM(PaxKm) / SUM(CapacityKm), never an average of daily ratios.</t>
        </is>
      </c>
    </row>
    <row r="27">
      <c r="A27" t="inlineStr">
        <is>
          <t>• Trips per bus = SUM(trips) / SUM(bus-days), not trips ÷ average buses.</t>
        </is>
      </c>
    </row>
    <row r="28">
      <c r="A28" t="inlineStr">
        <is>
          <t>• Capacity and route length must resolve; otherwise LF / EPKM stay blank or zero.</t>
        </is>
      </c>
    </row>
    <row r="29">
      <c r="A29" t="inlineStr">
        <is>
          <t>• Strip spaces from vehicle IDs (done via VehClean) to match Supporting data.</t>
        </is>
      </c>
    </row>
    <row r="30">
      <c r="A30" t="inlineStr">
        <is>
          <t>• HeadwayMins ≈ (max trip start − min trip start) × 1440 / trips — dashboard approximation.</t>
        </is>
      </c>
    </row>
    <row r="31">
      <c r="A31" t="inlineStr"/>
    </row>
    <row r="32">
      <c r="A32" s="2" t="inlineStr">
        <is>
          <t>Source headers (Bus Ticket Data)</t>
        </is>
      </c>
    </row>
    <row r="33">
      <c r="A33" t="inlineStr">
        <is>
          <t>Date | Ticket No. | Route No. | Route description | Depot | Vehicle/ Schedule no. |</t>
        </is>
      </c>
    </row>
    <row r="34">
      <c r="A34" t="inlineStr">
        <is>
          <t>Driver ID | Conductor ID | Trip No. | Trip Start Time | Trip End Time | Ticket Issue Time |</t>
        </is>
      </c>
    </row>
    <row r="35">
      <c r="A35" t="inlineStr">
        <is>
          <t>No. of pass. | No. of child Pass. | Pass. Category | Origin Stop No. | Destination Stop No. |</t>
        </is>
      </c>
    </row>
    <row r="36">
      <c r="A36" t="inlineStr">
        <is>
          <t>Pass. Origin | Pass. Destination | Stage Km | Revenue | Gender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</cols>
  <sheetData>
    <row r="1">
      <c r="A1" s="1" t="inlineStr">
        <is>
          <t>Overview period filters</t>
        </is>
      </c>
    </row>
    <row r="3">
      <c r="A3" s="3" t="inlineStr">
        <is>
          <t>StartDate</t>
        </is>
      </c>
      <c r="B3" s="4" t="inlineStr">
        <is>
          <t>2025-04-01</t>
        </is>
      </c>
      <c r="C3" s="5" t="inlineStr">
        <is>
          <t>Inclusive start (date)</t>
        </is>
      </c>
    </row>
    <row r="4">
      <c r="A4" s="3" t="inlineStr">
        <is>
          <t>EndDate</t>
        </is>
      </c>
      <c r="B4" s="4" t="inlineStr">
        <is>
          <t>2025-04-30</t>
        </is>
      </c>
      <c r="C4" s="5" t="inlineStr">
        <is>
          <t>Inclusive end (date)</t>
        </is>
      </c>
    </row>
    <row r="5">
      <c r="A5" s="3" t="inlineStr">
        <is>
          <t>RouteFilter</t>
        </is>
      </c>
      <c r="B5" s="4" t="inlineStr"/>
      <c r="C5" s="5" t="inlineStr">
        <is>
          <t>Leave blank for all routes, or enter one Route No. (e.g. 1)</t>
        </is>
      </c>
    </row>
    <row r="7">
      <c r="A7" s="5" t="inlineStr">
        <is>
          <t>Named ranges StartDate / EndDate / RouteFilter point at B3:B5.</t>
        </is>
      </c>
    </row>
    <row r="9">
      <c r="A9" s="5" t="inlineStr">
        <is>
          <t>After pasting tickets, confirm KPI!B5 (ridership) updates.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  <col width="12" customWidth="1" min="5" max="5"/>
  </cols>
  <sheetData>
    <row r="1">
      <c r="A1" s="6" t="inlineStr">
        <is>
          <t>Vehicle no./ Schedule No.</t>
        </is>
      </c>
      <c r="B1" s="6" t="inlineStr">
        <is>
          <t>Veh. Type</t>
        </is>
      </c>
      <c r="C1" s="6" t="inlineStr">
        <is>
          <t>Veh. Capacity</t>
        </is>
      </c>
      <c r="D1" s="6" t="inlineStr">
        <is>
          <t>VehClean</t>
        </is>
      </c>
      <c r="E1" s="6" t="inlineStr">
        <is>
          <t>Capacity</t>
        </is>
      </c>
    </row>
    <row r="2">
      <c r="A2" t="inlineStr">
        <is>
          <t>GJ04XX0001</t>
        </is>
      </c>
      <c r="B2" t="inlineStr">
        <is>
          <t>Standard</t>
        </is>
      </c>
      <c r="C2" t="n">
        <v>40</v>
      </c>
      <c r="D2">
        <f>SUBSTITUTE([@[Vehicle no./ Schedule No.]]," ","")</f>
        <v/>
      </c>
      <c r="E2">
        <f>[@[Veh. Capacity]]</f>
        <v/>
      </c>
    </row>
    <row r="3">
      <c r="D3">
        <f>SUBSTITUTE([@[Vehicle no./ Schedule No.]]," ","")</f>
        <v/>
      </c>
      <c r="E3">
        <f>[@[Veh. Capacity]]</f>
        <v/>
      </c>
    </row>
    <row r="4">
      <c r="D4">
        <f>SUBSTITUTE([@[Vehicle no./ Schedule No.]]," ","")</f>
        <v/>
      </c>
      <c r="E4">
        <f>[@[Veh. Capacity]]</f>
        <v/>
      </c>
    </row>
    <row r="5">
      <c r="D5">
        <f>SUBSTITUTE([@[Vehicle no./ Schedule No.]]," ","")</f>
        <v/>
      </c>
      <c r="E5">
        <f>[@[Veh. Capacity]]</f>
        <v/>
      </c>
    </row>
    <row r="7">
      <c r="A7" s="5" t="inlineStr">
        <is>
          <t>Replace sample row; paste Veh_Type under headers. Keep VehClean and Capacity formula columns.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4" customWidth="1" min="5" max="5"/>
    <col width="28" customWidth="1" min="6" max="6"/>
  </cols>
  <sheetData>
    <row r="1">
      <c r="A1" s="6" t="inlineStr">
        <is>
          <t>Route_Code</t>
        </is>
      </c>
      <c r="B1" s="6" t="inlineStr">
        <is>
          <t>Route</t>
        </is>
      </c>
      <c r="C1" s="6" t="inlineStr">
        <is>
          <t>Route_description</t>
        </is>
      </c>
      <c r="D1" s="6" t="inlineStr">
        <is>
          <t>Route Length</t>
        </is>
      </c>
      <c r="E1" s="6" t="inlineStr">
        <is>
          <t>Route Category</t>
        </is>
      </c>
      <c r="F1" s="6" t="inlineStr">
        <is>
          <t>RDK</t>
        </is>
      </c>
    </row>
    <row r="2">
      <c r="A2" t="inlineStr">
        <is>
          <t>1</t>
        </is>
      </c>
      <c r="B2" t="inlineStr">
        <is>
          <t>Sample route</t>
        </is>
      </c>
      <c r="C2" t="inlineStr">
        <is>
          <t>A to B</t>
        </is>
      </c>
      <c r="D2" t="n">
        <v>12.5</v>
      </c>
      <c r="E2" t="inlineStr">
        <is>
          <t>City</t>
        </is>
      </c>
      <c r="F2">
        <f>[@Route_Code]&amp;"-"&amp;[@Route_description]</f>
        <v/>
      </c>
    </row>
    <row r="3">
      <c r="F3">
        <f>[@Route_Code]&amp;"-"&amp;[@Route_description]</f>
        <v/>
      </c>
    </row>
    <row r="4">
      <c r="F4">
        <f>[@Route_Code]&amp;"-"&amp;[@Route_description]</f>
        <v/>
      </c>
    </row>
    <row r="5">
      <c r="F5">
        <f>[@Route_Code]&amp;"-"&amp;[@Route_description]</f>
        <v/>
      </c>
    </row>
    <row r="7">
      <c r="A7" s="5" t="inlineStr">
        <is>
          <t>Paste Route_Description. RDK must match Tickets RDK exactly (code + description).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28" customWidth="1" min="28" max="28"/>
    <col width="14" customWidth="1" min="29" max="29"/>
    <col width="14" customWidth="1" min="30" max="30"/>
    <col width="14" customWidth="1" min="31" max="31"/>
  </cols>
  <sheetData>
    <row r="1">
      <c r="A1" s="6" t="inlineStr">
        <is>
          <t>Date</t>
        </is>
      </c>
      <c r="B1" s="6" t="inlineStr">
        <is>
          <t>Ticket No.</t>
        </is>
      </c>
      <c r="C1" s="6" t="inlineStr">
        <is>
          <t>Route No.</t>
        </is>
      </c>
      <c r="D1" s="6" t="inlineStr">
        <is>
          <t>Route description</t>
        </is>
      </c>
      <c r="E1" s="6" t="inlineStr">
        <is>
          <t>Depot</t>
        </is>
      </c>
      <c r="F1" s="6" t="inlineStr">
        <is>
          <t>Vehicle/ Schedule no.</t>
        </is>
      </c>
      <c r="G1" s="6" t="inlineStr">
        <is>
          <t>Driver ID</t>
        </is>
      </c>
      <c r="H1" s="6" t="inlineStr">
        <is>
          <t>Conductor ID</t>
        </is>
      </c>
      <c r="I1" s="6" t="inlineStr">
        <is>
          <t>Trip No.</t>
        </is>
      </c>
      <c r="J1" s="6" t="inlineStr">
        <is>
          <t>Trip Start Time</t>
        </is>
      </c>
      <c r="K1" s="6" t="inlineStr">
        <is>
          <t>Trip End Time</t>
        </is>
      </c>
      <c r="L1" s="6" t="inlineStr">
        <is>
          <t>Ticket Issue Time</t>
        </is>
      </c>
      <c r="M1" s="6" t="inlineStr">
        <is>
          <t>No. of pass.</t>
        </is>
      </c>
      <c r="N1" s="6" t="inlineStr">
        <is>
          <t>No. of child Pass.</t>
        </is>
      </c>
      <c r="O1" s="6" t="inlineStr">
        <is>
          <t>Pass. Category</t>
        </is>
      </c>
      <c r="P1" s="6" t="inlineStr">
        <is>
          <t>Origin Stop No.</t>
        </is>
      </c>
      <c r="Q1" s="6" t="inlineStr">
        <is>
          <t>Destination Stop No.</t>
        </is>
      </c>
      <c r="R1" s="6" t="inlineStr">
        <is>
          <t>Pass. Origin</t>
        </is>
      </c>
      <c r="S1" s="6" t="inlineStr">
        <is>
          <t>Pass. Destination</t>
        </is>
      </c>
      <c r="T1" s="6" t="inlineStr">
        <is>
          <t>Stage Km</t>
        </is>
      </c>
      <c r="U1" s="6" t="inlineStr">
        <is>
          <t>Revenue</t>
        </is>
      </c>
      <c r="V1" s="6" t="inlineStr">
        <is>
          <t>Gender</t>
        </is>
      </c>
      <c r="W1" s="6" t="inlineStr">
        <is>
          <t>TP</t>
        </is>
      </c>
      <c r="X1" s="6" t="inlineStr">
        <is>
          <t>PK</t>
        </is>
      </c>
      <c r="Y1" s="6" t="inlineStr">
        <is>
          <t>VehClean</t>
        </is>
      </c>
      <c r="Z1" s="6" t="inlineStr">
        <is>
          <t>BTK</t>
        </is>
      </c>
      <c r="AA1" s="6" t="inlineStr">
        <is>
          <t>RDK</t>
        </is>
      </c>
      <c r="AB1" s="6" t="inlineStr">
        <is>
          <t>TripKey</t>
        </is>
      </c>
      <c r="AC1" s="6" t="inlineStr">
        <is>
          <t>InPeriod</t>
        </is>
      </c>
      <c r="AD1" s="6" t="inlineStr">
        <is>
          <t>Capacity</t>
        </is>
      </c>
      <c r="AE1" s="6" t="inlineStr">
        <is>
          <t>RouteLen</t>
        </is>
      </c>
    </row>
    <row r="2">
      <c r="A2" t="inlineStr">
        <is>
          <t>2025-04-01</t>
        </is>
      </c>
      <c r="B2" t="inlineStr">
        <is>
          <t>T001</t>
        </is>
      </c>
      <c r="C2" t="inlineStr">
        <is>
          <t>1</t>
        </is>
      </c>
      <c r="D2" t="inlineStr">
        <is>
          <t>A to B</t>
        </is>
      </c>
      <c r="E2" t="inlineStr">
        <is>
          <t>Depot1</t>
        </is>
      </c>
      <c r="F2" t="inlineStr">
        <is>
          <t>GJ04XX0001</t>
        </is>
      </c>
      <c r="G2" t="inlineStr">
        <is>
          <t>D1</t>
        </is>
      </c>
      <c r="H2" t="inlineStr">
        <is>
          <t>C1</t>
        </is>
      </c>
      <c r="I2" t="n">
        <v>1</v>
      </c>
      <c r="J2" t="inlineStr">
        <is>
          <t>08:00</t>
        </is>
      </c>
      <c r="K2" t="inlineStr">
        <is>
          <t>09:00</t>
        </is>
      </c>
      <c r="L2" t="inlineStr">
        <is>
          <t>08:15</t>
        </is>
      </c>
      <c r="M2" t="n">
        <v>1</v>
      </c>
      <c r="N2" t="n">
        <v>0</v>
      </c>
      <c r="O2" t="inlineStr">
        <is>
          <t>Cash</t>
        </is>
      </c>
      <c r="P2" t="n">
        <v>1</v>
      </c>
      <c r="Q2" t="n">
        <v>5</v>
      </c>
      <c r="R2" t="inlineStr">
        <is>
          <t>STOPA</t>
        </is>
      </c>
      <c r="S2" t="inlineStr">
        <is>
          <t>STOPB</t>
        </is>
      </c>
      <c r="T2" t="n">
        <v>5</v>
      </c>
      <c r="U2" t="n">
        <v>10</v>
      </c>
      <c r="V2" t="inlineStr">
        <is>
          <t>M</t>
        </is>
      </c>
      <c r="W2">
        <f>[@[No. of pass.]]+[@[No. of child Pass.]]</f>
        <v/>
      </c>
      <c r="X2">
        <f>[@TP]*[@[Stage Km]]</f>
        <v/>
      </c>
      <c r="Y2">
        <f>SUBSTITUTE([@[Vehicle/ Schedule no.]]," ","")</f>
        <v/>
      </c>
      <c r="Z2">
        <f>[@VehClean]&amp;"-"&amp;[@[Trip No.]]</f>
        <v/>
      </c>
      <c r="AA2">
        <f>[@[Route No.]]&amp;"-"&amp;[@[Route description]]</f>
        <v/>
      </c>
      <c r="AB2">
        <f>TEXT([@Date],"yyyy-mm-dd")&amp;"|"&amp;[@[Route No.]]&amp;"|"&amp;[@BTK]</f>
        <v/>
      </c>
      <c r="AC2">
        <f>AND([@Date]&gt;=StartDate,[@Date]&lt;=EndDate)</f>
        <v/>
      </c>
      <c r="AD2">
        <f>IFERROR(XLOOKUP([@VehClean],Veh[VehClean],Veh[Capacity]),0)</f>
        <v/>
      </c>
      <c r="AE2">
        <f>IFERROR(XLOOKUP([@RDK],Routes[RDK],Routes[Route Length]),0)</f>
        <v/>
      </c>
    </row>
    <row r="3">
      <c r="W3">
        <f>[@[No. of pass.]]+[@[No. of child Pass.]]</f>
        <v/>
      </c>
      <c r="X3">
        <f>[@TP]*[@[Stage Km]]</f>
        <v/>
      </c>
      <c r="Y3">
        <f>SUBSTITUTE([@[Vehicle/ Schedule no.]]," ","")</f>
        <v/>
      </c>
      <c r="Z3">
        <f>[@VehClean]&amp;"-"&amp;[@[Trip No.]]</f>
        <v/>
      </c>
      <c r="AA3">
        <f>[@[Route No.]]&amp;"-"&amp;[@[Route description]]</f>
        <v/>
      </c>
      <c r="AB3">
        <f>TEXT([@Date],"yyyy-mm-dd")&amp;"|"&amp;[@[Route No.]]&amp;"|"&amp;[@BTK]</f>
        <v/>
      </c>
      <c r="AC3">
        <f>AND([@Date]&gt;=StartDate,[@Date]&lt;=EndDate)</f>
        <v/>
      </c>
      <c r="AD3">
        <f>IFERROR(XLOOKUP([@VehClean],Veh[VehClean],Veh[Capacity]),0)</f>
        <v/>
      </c>
      <c r="AE3">
        <f>IFERROR(XLOOKUP([@RDK],Routes[RDK],Routes[Route Length]),0)</f>
        <v/>
      </c>
    </row>
    <row r="4">
      <c r="W4">
        <f>[@[No. of pass.]]+[@[No. of child Pass.]]</f>
        <v/>
      </c>
      <c r="X4">
        <f>[@TP]*[@[Stage Km]]</f>
        <v/>
      </c>
      <c r="Y4">
        <f>SUBSTITUTE([@[Vehicle/ Schedule no.]]," ","")</f>
        <v/>
      </c>
      <c r="Z4">
        <f>[@VehClean]&amp;"-"&amp;[@[Trip No.]]</f>
        <v/>
      </c>
      <c r="AA4">
        <f>[@[Route No.]]&amp;"-"&amp;[@[Route description]]</f>
        <v/>
      </c>
      <c r="AB4">
        <f>TEXT([@Date],"yyyy-mm-dd")&amp;"|"&amp;[@[Route No.]]&amp;"|"&amp;[@BTK]</f>
        <v/>
      </c>
      <c r="AC4">
        <f>AND([@Date]&gt;=StartDate,[@Date]&lt;=EndDate)</f>
        <v/>
      </c>
      <c r="AD4">
        <f>IFERROR(XLOOKUP([@VehClean],Veh[VehClean],Veh[Capacity]),0)</f>
        <v/>
      </c>
      <c r="AE4">
        <f>IFERROR(XLOOKUP([@RDK],Routes[RDK],Routes[Route Length]),0)</f>
        <v/>
      </c>
    </row>
    <row r="5">
      <c r="W5">
        <f>[@[No. of pass.]]+[@[No. of child Pass.]]</f>
        <v/>
      </c>
      <c r="X5">
        <f>[@TP]*[@[Stage Km]]</f>
        <v/>
      </c>
      <c r="Y5">
        <f>SUBSTITUTE([@[Vehicle/ Schedule no.]]," ","")</f>
        <v/>
      </c>
      <c r="Z5">
        <f>[@VehClean]&amp;"-"&amp;[@[Trip No.]]</f>
        <v/>
      </c>
      <c r="AA5">
        <f>[@[Route No.]]&amp;"-"&amp;[@[Route description]]</f>
        <v/>
      </c>
      <c r="AB5">
        <f>TEXT([@Date],"yyyy-mm-dd")&amp;"|"&amp;[@[Route No.]]&amp;"|"&amp;[@BTK]</f>
        <v/>
      </c>
      <c r="AC5">
        <f>AND([@Date]&gt;=StartDate,[@Date]&lt;=EndDate)</f>
        <v/>
      </c>
      <c r="AD5">
        <f>IFERROR(XLOOKUP([@VehClean],Veh[VehClean],Veh[Capacity]),0)</f>
        <v/>
      </c>
      <c r="AE5">
        <f>IFERROR(XLOOKUP([@RDK],Routes[RDK],Routes[Route Length]),0)</f>
        <v/>
      </c>
    </row>
    <row r="7">
      <c r="A7" s="5" t="inlineStr">
        <is>
          <t>Paste real ETM rows under the headers. Delete the sample row after paste.</t>
        </is>
      </c>
    </row>
    <row r="8">
      <c r="A8" s="7" t="inlineStr">
        <is>
          <t>Do not paste over columns TP onward — those are calculated.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6" customWidth="1" min="4" max="4"/>
    <col width="11" customWidth="1" min="5" max="5"/>
    <col width="11" customWidth="1" min="6" max="6"/>
    <col width="11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6" t="inlineStr">
        <is>
          <t>TripKey</t>
        </is>
      </c>
      <c r="B1" s="6" t="inlineStr">
        <is>
          <t>Date</t>
        </is>
      </c>
      <c r="C1" s="6" t="inlineStr">
        <is>
          <t>Route</t>
        </is>
      </c>
      <c r="D1" s="6" t="inlineStr">
        <is>
          <t>BTK</t>
        </is>
      </c>
      <c r="E1" s="6" t="inlineStr">
        <is>
          <t>Ridership</t>
        </is>
      </c>
      <c r="F1" s="6" t="inlineStr">
        <is>
          <t>Revenue</t>
        </is>
      </c>
      <c r="G1" s="6" t="inlineStr">
        <is>
          <t>PaxKm</t>
        </is>
      </c>
      <c r="H1" s="6" t="inlineStr">
        <is>
          <t>Vehicle</t>
        </is>
      </c>
      <c r="I1" s="6" t="inlineStr">
        <is>
          <t>RouteLen</t>
        </is>
      </c>
      <c r="J1" s="6" t="inlineStr">
        <is>
          <t>Capacity</t>
        </is>
      </c>
      <c r="K1" s="6" t="inlineStr">
        <is>
          <t>CapacityKm</t>
        </is>
      </c>
      <c r="L1" s="6" t="inlineStr">
        <is>
          <t>TripStart</t>
        </is>
      </c>
    </row>
    <row r="2">
      <c r="A2">
        <f>IFERROR(UNIQUE(FILTER(Tickets[TripKey],(Tickets[Date]&gt;=StartDate)*(Tickets[Date]&lt;=EndDate)*(IF(RouteFilter="",TRUE,Tickets[Route No.]=RouteFilter)))),"")</f>
        <v/>
      </c>
      <c r="B2" s="8">
        <f>IF(A2="","",IFERROR(DATEVALUE(TEXTBEFORE(A2,"|")),--LEFT(A2,10)))</f>
        <v/>
      </c>
      <c r="C2">
        <f>IF(A2="","",TEXTBEFORE(TEXTAFTER(A2,"|"),"|"))</f>
        <v/>
      </c>
      <c r="D2">
        <f>IF(A2="","",TEXTAFTER(A2,"|",2))</f>
        <v/>
      </c>
      <c r="E2">
        <f>IF(A2="","",SUMIF(Tickets[TripKey],A2,Tickets[TP]))</f>
        <v/>
      </c>
      <c r="F2">
        <f>IF(A2="","",SUMIF(Tickets[TripKey],A2,Tickets[Revenue]))</f>
        <v/>
      </c>
      <c r="G2">
        <f>IF(A2="","",SUMIF(Tickets[TripKey],A2,Tickets[PK]))</f>
        <v/>
      </c>
      <c r="H2">
        <f>IF(A2="","",IFERROR(XLOOKUP(A2,Tickets[TripKey],Tickets[VehClean]),""))</f>
        <v/>
      </c>
      <c r="I2">
        <f>IF(A2="","",IFERROR(XLOOKUP(A2,Tickets[TripKey],Tickets[RouteLen]),0))</f>
        <v/>
      </c>
      <c r="J2">
        <f>IF(A2="","",IFERROR(XLOOKUP(A2,Tickets[TripKey],Tickets[Capacity]),0))</f>
        <v/>
      </c>
      <c r="K2">
        <f>IF(A2="","",I2*J2)</f>
        <v/>
      </c>
      <c r="L2">
        <f>IF(A2="","",IFERROR(MINIFS(Tickets[Trip Start Time],Tickets[TripKey],A2),""))</f>
        <v/>
      </c>
    </row>
    <row r="3">
      <c r="B3" s="8">
        <f>IF(A3="","",IFERROR(DATEVALUE(TEXTBEFORE(A3,"|")),--LEFT(A3,10)))</f>
        <v/>
      </c>
      <c r="C3">
        <f>IF(A3="","",TEXTBEFORE(TEXTAFTER(A3,"|"),"|"))</f>
        <v/>
      </c>
      <c r="D3">
        <f>IF(A3="","",TEXTAFTER(A3,"|",2))</f>
        <v/>
      </c>
      <c r="E3">
        <f>IF(A3="","",SUMIF(Tickets[TripKey],A3,Tickets[TP]))</f>
        <v/>
      </c>
      <c r="F3">
        <f>IF(A3="","",SUMIF(Tickets[TripKey],A3,Tickets[Revenue]))</f>
        <v/>
      </c>
      <c r="G3">
        <f>IF(A3="","",SUMIF(Tickets[TripKey],A3,Tickets[PK]))</f>
        <v/>
      </c>
      <c r="H3">
        <f>IF(A3="","",IFERROR(XLOOKUP(A3,Tickets[TripKey],Tickets[VehClean]),""))</f>
        <v/>
      </c>
      <c r="I3">
        <f>IF(A3="","",IFERROR(XLOOKUP(A3,Tickets[TripKey],Tickets[RouteLen]),0))</f>
        <v/>
      </c>
      <c r="J3">
        <f>IF(A3="","",IFERROR(XLOOKUP(A3,Tickets[TripKey],Tickets[Capacity]),0))</f>
        <v/>
      </c>
      <c r="K3">
        <f>IF(A3="","",I3*J3)</f>
        <v/>
      </c>
      <c r="L3">
        <f>IF(A3="","",IFERROR(MINIFS(Tickets[Trip Start Time],Tickets[TripKey],A3),""))</f>
        <v/>
      </c>
    </row>
    <row r="4">
      <c r="B4" s="8">
        <f>IF(A4="","",IFERROR(DATEVALUE(TEXTBEFORE(A4,"|")),--LEFT(A4,10)))</f>
        <v/>
      </c>
      <c r="C4">
        <f>IF(A4="","",TEXTBEFORE(TEXTAFTER(A4,"|"),"|"))</f>
        <v/>
      </c>
      <c r="D4">
        <f>IF(A4="","",TEXTAFTER(A4,"|",2))</f>
        <v/>
      </c>
      <c r="E4">
        <f>IF(A4="","",SUMIF(Tickets[TripKey],A4,Tickets[TP]))</f>
        <v/>
      </c>
      <c r="F4">
        <f>IF(A4="","",SUMIF(Tickets[TripKey],A4,Tickets[Revenue]))</f>
        <v/>
      </c>
      <c r="G4">
        <f>IF(A4="","",SUMIF(Tickets[TripKey],A4,Tickets[PK]))</f>
        <v/>
      </c>
      <c r="H4">
        <f>IF(A4="","",IFERROR(XLOOKUP(A4,Tickets[TripKey],Tickets[VehClean]),""))</f>
        <v/>
      </c>
      <c r="I4">
        <f>IF(A4="","",IFERROR(XLOOKUP(A4,Tickets[TripKey],Tickets[RouteLen]),0))</f>
        <v/>
      </c>
      <c r="J4">
        <f>IF(A4="","",IFERROR(XLOOKUP(A4,Tickets[TripKey],Tickets[Capacity]),0))</f>
        <v/>
      </c>
      <c r="K4">
        <f>IF(A4="","",I4*J4)</f>
        <v/>
      </c>
      <c r="L4">
        <f>IF(A4="","",IFERROR(MINIFS(Tickets[Trip Start Time],Tickets[TripKey],A4),""))</f>
        <v/>
      </c>
    </row>
    <row r="5">
      <c r="B5" s="8">
        <f>IF(A5="","",IFERROR(DATEVALUE(TEXTBEFORE(A5,"|")),--LEFT(A5,10)))</f>
        <v/>
      </c>
      <c r="C5">
        <f>IF(A5="","",TEXTBEFORE(TEXTAFTER(A5,"|"),"|"))</f>
        <v/>
      </c>
      <c r="D5">
        <f>IF(A5="","",TEXTAFTER(A5,"|",2))</f>
        <v/>
      </c>
      <c r="E5">
        <f>IF(A5="","",SUMIF(Tickets[TripKey],A5,Tickets[TP]))</f>
        <v/>
      </c>
      <c r="F5">
        <f>IF(A5="","",SUMIF(Tickets[TripKey],A5,Tickets[Revenue]))</f>
        <v/>
      </c>
      <c r="G5">
        <f>IF(A5="","",SUMIF(Tickets[TripKey],A5,Tickets[PK]))</f>
        <v/>
      </c>
      <c r="H5">
        <f>IF(A5="","",IFERROR(XLOOKUP(A5,Tickets[TripKey],Tickets[VehClean]),""))</f>
        <v/>
      </c>
      <c r="I5">
        <f>IF(A5="","",IFERROR(XLOOKUP(A5,Tickets[TripKey],Tickets[RouteLen]),0))</f>
        <v/>
      </c>
      <c r="J5">
        <f>IF(A5="","",IFERROR(XLOOKUP(A5,Tickets[TripKey],Tickets[Capacity]),0))</f>
        <v/>
      </c>
      <c r="K5">
        <f>IF(A5="","",I5*J5)</f>
        <v/>
      </c>
      <c r="L5">
        <f>IF(A5="","",IFERROR(MINIFS(Tickets[Trip Start Time],Tickets[TripKey],A5),""))</f>
        <v/>
      </c>
    </row>
    <row r="6">
      <c r="B6" s="8">
        <f>IF(A6="","",IFERROR(DATEVALUE(TEXTBEFORE(A6,"|")),--LEFT(A6,10)))</f>
        <v/>
      </c>
      <c r="C6">
        <f>IF(A6="","",TEXTBEFORE(TEXTAFTER(A6,"|"),"|"))</f>
        <v/>
      </c>
      <c r="D6">
        <f>IF(A6="","",TEXTAFTER(A6,"|",2))</f>
        <v/>
      </c>
      <c r="E6">
        <f>IF(A6="","",SUMIF(Tickets[TripKey],A6,Tickets[TP]))</f>
        <v/>
      </c>
      <c r="F6">
        <f>IF(A6="","",SUMIF(Tickets[TripKey],A6,Tickets[Revenue]))</f>
        <v/>
      </c>
      <c r="G6">
        <f>IF(A6="","",SUMIF(Tickets[TripKey],A6,Tickets[PK]))</f>
        <v/>
      </c>
      <c r="H6">
        <f>IF(A6="","",IFERROR(XLOOKUP(A6,Tickets[TripKey],Tickets[VehClean]),""))</f>
        <v/>
      </c>
      <c r="I6">
        <f>IF(A6="","",IFERROR(XLOOKUP(A6,Tickets[TripKey],Tickets[RouteLen]),0))</f>
        <v/>
      </c>
      <c r="J6">
        <f>IF(A6="","",IFERROR(XLOOKUP(A6,Tickets[TripKey],Tickets[Capacity]),0))</f>
        <v/>
      </c>
      <c r="K6">
        <f>IF(A6="","",I6*J6)</f>
        <v/>
      </c>
      <c r="L6">
        <f>IF(A6="","",IFERROR(MINIFS(Tickets[Trip Start Time],Tickets[TripKey],A6),""))</f>
        <v/>
      </c>
    </row>
    <row r="7">
      <c r="B7" s="8">
        <f>IF(A7="","",IFERROR(DATEVALUE(TEXTBEFORE(A7,"|")),--LEFT(A7,10)))</f>
        <v/>
      </c>
      <c r="C7">
        <f>IF(A7="","",TEXTBEFORE(TEXTAFTER(A7,"|"),"|"))</f>
        <v/>
      </c>
      <c r="D7">
        <f>IF(A7="","",TEXTAFTER(A7,"|",2))</f>
        <v/>
      </c>
      <c r="E7">
        <f>IF(A7="","",SUMIF(Tickets[TripKey],A7,Tickets[TP]))</f>
        <v/>
      </c>
      <c r="F7">
        <f>IF(A7="","",SUMIF(Tickets[TripKey],A7,Tickets[Revenue]))</f>
        <v/>
      </c>
      <c r="G7">
        <f>IF(A7="","",SUMIF(Tickets[TripKey],A7,Tickets[PK]))</f>
        <v/>
      </c>
      <c r="H7">
        <f>IF(A7="","",IFERROR(XLOOKUP(A7,Tickets[TripKey],Tickets[VehClean]),""))</f>
        <v/>
      </c>
      <c r="I7">
        <f>IF(A7="","",IFERROR(XLOOKUP(A7,Tickets[TripKey],Tickets[RouteLen]),0))</f>
        <v/>
      </c>
      <c r="J7">
        <f>IF(A7="","",IFERROR(XLOOKUP(A7,Tickets[TripKey],Tickets[Capacity]),0))</f>
        <v/>
      </c>
      <c r="K7">
        <f>IF(A7="","",I7*J7)</f>
        <v/>
      </c>
      <c r="L7">
        <f>IF(A7="","",IFERROR(MINIFS(Tickets[Trip Start Time],Tickets[TripKey],A7),""))</f>
        <v/>
      </c>
    </row>
    <row r="8">
      <c r="B8" s="8">
        <f>IF(A8="","",IFERROR(DATEVALUE(TEXTBEFORE(A8,"|")),--LEFT(A8,10)))</f>
        <v/>
      </c>
      <c r="C8">
        <f>IF(A8="","",TEXTBEFORE(TEXTAFTER(A8,"|"),"|"))</f>
        <v/>
      </c>
      <c r="D8">
        <f>IF(A8="","",TEXTAFTER(A8,"|",2))</f>
        <v/>
      </c>
      <c r="E8">
        <f>IF(A8="","",SUMIF(Tickets[TripKey],A8,Tickets[TP]))</f>
        <v/>
      </c>
      <c r="F8">
        <f>IF(A8="","",SUMIF(Tickets[TripKey],A8,Tickets[Revenue]))</f>
        <v/>
      </c>
      <c r="G8">
        <f>IF(A8="","",SUMIF(Tickets[TripKey],A8,Tickets[PK]))</f>
        <v/>
      </c>
      <c r="H8">
        <f>IF(A8="","",IFERROR(XLOOKUP(A8,Tickets[TripKey],Tickets[VehClean]),""))</f>
        <v/>
      </c>
      <c r="I8">
        <f>IF(A8="","",IFERROR(XLOOKUP(A8,Tickets[TripKey],Tickets[RouteLen]),0))</f>
        <v/>
      </c>
      <c r="J8">
        <f>IF(A8="","",IFERROR(XLOOKUP(A8,Tickets[TripKey],Tickets[Capacity]),0))</f>
        <v/>
      </c>
      <c r="K8">
        <f>IF(A8="","",I8*J8)</f>
        <v/>
      </c>
      <c r="L8">
        <f>IF(A8="","",IFERROR(MINIFS(Tickets[Trip Start Time],Tickets[TripKey],A8),""))</f>
        <v/>
      </c>
    </row>
    <row r="9">
      <c r="B9" s="8">
        <f>IF(A9="","",IFERROR(DATEVALUE(TEXTBEFORE(A9,"|")),--LEFT(A9,10)))</f>
        <v/>
      </c>
      <c r="C9">
        <f>IF(A9="","",TEXTBEFORE(TEXTAFTER(A9,"|"),"|"))</f>
        <v/>
      </c>
      <c r="D9">
        <f>IF(A9="","",TEXTAFTER(A9,"|",2))</f>
        <v/>
      </c>
      <c r="E9">
        <f>IF(A9="","",SUMIF(Tickets[TripKey],A9,Tickets[TP]))</f>
        <v/>
      </c>
      <c r="F9">
        <f>IF(A9="","",SUMIF(Tickets[TripKey],A9,Tickets[Revenue]))</f>
        <v/>
      </c>
      <c r="G9">
        <f>IF(A9="","",SUMIF(Tickets[TripKey],A9,Tickets[PK]))</f>
        <v/>
      </c>
      <c r="H9">
        <f>IF(A9="","",IFERROR(XLOOKUP(A9,Tickets[TripKey],Tickets[VehClean]),""))</f>
        <v/>
      </c>
      <c r="I9">
        <f>IF(A9="","",IFERROR(XLOOKUP(A9,Tickets[TripKey],Tickets[RouteLen]),0))</f>
        <v/>
      </c>
      <c r="J9">
        <f>IF(A9="","",IFERROR(XLOOKUP(A9,Tickets[TripKey],Tickets[Capacity]),0))</f>
        <v/>
      </c>
      <c r="K9">
        <f>IF(A9="","",I9*J9)</f>
        <v/>
      </c>
      <c r="L9">
        <f>IF(A9="","",IFERROR(MINIFS(Tickets[Trip Start Time],Tickets[TripKey],A9),""))</f>
        <v/>
      </c>
    </row>
    <row r="10">
      <c r="B10" s="8">
        <f>IF(A10="","",IFERROR(DATEVALUE(TEXTBEFORE(A10,"|")),--LEFT(A10,10)))</f>
        <v/>
      </c>
      <c r="C10">
        <f>IF(A10="","",TEXTBEFORE(TEXTAFTER(A10,"|"),"|"))</f>
        <v/>
      </c>
      <c r="D10">
        <f>IF(A10="","",TEXTAFTER(A10,"|",2))</f>
        <v/>
      </c>
      <c r="E10">
        <f>IF(A10="","",SUMIF(Tickets[TripKey],A10,Tickets[TP]))</f>
        <v/>
      </c>
      <c r="F10">
        <f>IF(A10="","",SUMIF(Tickets[TripKey],A10,Tickets[Revenue]))</f>
        <v/>
      </c>
      <c r="G10">
        <f>IF(A10="","",SUMIF(Tickets[TripKey],A10,Tickets[PK]))</f>
        <v/>
      </c>
      <c r="H10">
        <f>IF(A10="","",IFERROR(XLOOKUP(A10,Tickets[TripKey],Tickets[VehClean]),""))</f>
        <v/>
      </c>
      <c r="I10">
        <f>IF(A10="","",IFERROR(XLOOKUP(A10,Tickets[TripKey],Tickets[RouteLen]),0))</f>
        <v/>
      </c>
      <c r="J10">
        <f>IF(A10="","",IFERROR(XLOOKUP(A10,Tickets[TripKey],Tickets[Capacity]),0))</f>
        <v/>
      </c>
      <c r="K10">
        <f>IF(A10="","",I10*J10)</f>
        <v/>
      </c>
      <c r="L10">
        <f>IF(A10="","",IFERROR(MINIFS(Tickets[Trip Start Time],Tickets[TripKey],A10),""))</f>
        <v/>
      </c>
    </row>
    <row r="11">
      <c r="B11" s="8">
        <f>IF(A11="","",IFERROR(DATEVALUE(TEXTBEFORE(A11,"|")),--LEFT(A11,10)))</f>
        <v/>
      </c>
      <c r="C11">
        <f>IF(A11="","",TEXTBEFORE(TEXTAFTER(A11,"|"),"|"))</f>
        <v/>
      </c>
      <c r="D11">
        <f>IF(A11="","",TEXTAFTER(A11,"|",2))</f>
        <v/>
      </c>
      <c r="E11">
        <f>IF(A11="","",SUMIF(Tickets[TripKey],A11,Tickets[TP]))</f>
        <v/>
      </c>
      <c r="F11">
        <f>IF(A11="","",SUMIF(Tickets[TripKey],A11,Tickets[Revenue]))</f>
        <v/>
      </c>
      <c r="G11">
        <f>IF(A11="","",SUMIF(Tickets[TripKey],A11,Tickets[PK]))</f>
        <v/>
      </c>
      <c r="H11">
        <f>IF(A11="","",IFERROR(XLOOKUP(A11,Tickets[TripKey],Tickets[VehClean]),""))</f>
        <v/>
      </c>
      <c r="I11">
        <f>IF(A11="","",IFERROR(XLOOKUP(A11,Tickets[TripKey],Tickets[RouteLen]),0))</f>
        <v/>
      </c>
      <c r="J11">
        <f>IF(A11="","",IFERROR(XLOOKUP(A11,Tickets[TripKey],Tickets[Capacity]),0))</f>
        <v/>
      </c>
      <c r="K11">
        <f>IF(A11="","",I11*J11)</f>
        <v/>
      </c>
      <c r="L11">
        <f>IF(A11="","",IFERROR(MINIFS(Tickets[Trip Start Time],Tickets[TripKey],A11),""))</f>
        <v/>
      </c>
    </row>
    <row r="12">
      <c r="B12" s="8">
        <f>IF(A12="","",IFERROR(DATEVALUE(TEXTBEFORE(A12,"|")),--LEFT(A12,10)))</f>
        <v/>
      </c>
      <c r="C12">
        <f>IF(A12="","",TEXTBEFORE(TEXTAFTER(A12,"|"),"|"))</f>
        <v/>
      </c>
      <c r="D12">
        <f>IF(A12="","",TEXTAFTER(A12,"|",2))</f>
        <v/>
      </c>
      <c r="E12">
        <f>IF(A12="","",SUMIF(Tickets[TripKey],A12,Tickets[TP]))</f>
        <v/>
      </c>
      <c r="F12">
        <f>IF(A12="","",SUMIF(Tickets[TripKey],A12,Tickets[Revenue]))</f>
        <v/>
      </c>
      <c r="G12">
        <f>IF(A12="","",SUMIF(Tickets[TripKey],A12,Tickets[PK]))</f>
        <v/>
      </c>
      <c r="H12">
        <f>IF(A12="","",IFERROR(XLOOKUP(A12,Tickets[TripKey],Tickets[VehClean]),""))</f>
        <v/>
      </c>
      <c r="I12">
        <f>IF(A12="","",IFERROR(XLOOKUP(A12,Tickets[TripKey],Tickets[RouteLen]),0))</f>
        <v/>
      </c>
      <c r="J12">
        <f>IF(A12="","",IFERROR(XLOOKUP(A12,Tickets[TripKey],Tickets[Capacity]),0))</f>
        <v/>
      </c>
      <c r="K12">
        <f>IF(A12="","",I12*J12)</f>
        <v/>
      </c>
      <c r="L12">
        <f>IF(A12="","",IFERROR(MINIFS(Tickets[Trip Start Time],Tickets[TripKey],A12),""))</f>
        <v/>
      </c>
    </row>
    <row r="13">
      <c r="B13" s="8">
        <f>IF(A13="","",IFERROR(DATEVALUE(TEXTBEFORE(A13,"|")),--LEFT(A13,10)))</f>
        <v/>
      </c>
      <c r="C13">
        <f>IF(A13="","",TEXTBEFORE(TEXTAFTER(A13,"|"),"|"))</f>
        <v/>
      </c>
      <c r="D13">
        <f>IF(A13="","",TEXTAFTER(A13,"|",2))</f>
        <v/>
      </c>
      <c r="E13">
        <f>IF(A13="","",SUMIF(Tickets[TripKey],A13,Tickets[TP]))</f>
        <v/>
      </c>
      <c r="F13">
        <f>IF(A13="","",SUMIF(Tickets[TripKey],A13,Tickets[Revenue]))</f>
        <v/>
      </c>
      <c r="G13">
        <f>IF(A13="","",SUMIF(Tickets[TripKey],A13,Tickets[PK]))</f>
        <v/>
      </c>
      <c r="H13">
        <f>IF(A13="","",IFERROR(XLOOKUP(A13,Tickets[TripKey],Tickets[VehClean]),""))</f>
        <v/>
      </c>
      <c r="I13">
        <f>IF(A13="","",IFERROR(XLOOKUP(A13,Tickets[TripKey],Tickets[RouteLen]),0))</f>
        <v/>
      </c>
      <c r="J13">
        <f>IF(A13="","",IFERROR(XLOOKUP(A13,Tickets[TripKey],Tickets[Capacity]),0))</f>
        <v/>
      </c>
      <c r="K13">
        <f>IF(A13="","",I13*J13)</f>
        <v/>
      </c>
      <c r="L13">
        <f>IF(A13="","",IFERROR(MINIFS(Tickets[Trip Start Time],Tickets[TripKey],A13),""))</f>
        <v/>
      </c>
    </row>
    <row r="14">
      <c r="B14" s="8">
        <f>IF(A14="","",IFERROR(DATEVALUE(TEXTBEFORE(A14,"|")),--LEFT(A14,10)))</f>
        <v/>
      </c>
      <c r="C14">
        <f>IF(A14="","",TEXTBEFORE(TEXTAFTER(A14,"|"),"|"))</f>
        <v/>
      </c>
      <c r="D14">
        <f>IF(A14="","",TEXTAFTER(A14,"|",2))</f>
        <v/>
      </c>
      <c r="E14">
        <f>IF(A14="","",SUMIF(Tickets[TripKey],A14,Tickets[TP]))</f>
        <v/>
      </c>
      <c r="F14">
        <f>IF(A14="","",SUMIF(Tickets[TripKey],A14,Tickets[Revenue]))</f>
        <v/>
      </c>
      <c r="G14">
        <f>IF(A14="","",SUMIF(Tickets[TripKey],A14,Tickets[PK]))</f>
        <v/>
      </c>
      <c r="H14">
        <f>IF(A14="","",IFERROR(XLOOKUP(A14,Tickets[TripKey],Tickets[VehClean]),""))</f>
        <v/>
      </c>
      <c r="I14">
        <f>IF(A14="","",IFERROR(XLOOKUP(A14,Tickets[TripKey],Tickets[RouteLen]),0))</f>
        <v/>
      </c>
      <c r="J14">
        <f>IF(A14="","",IFERROR(XLOOKUP(A14,Tickets[TripKey],Tickets[Capacity]),0))</f>
        <v/>
      </c>
      <c r="K14">
        <f>IF(A14="","",I14*J14)</f>
        <v/>
      </c>
      <c r="L14">
        <f>IF(A14="","",IFERROR(MINIFS(Tickets[Trip Start Time],Tickets[TripKey],A14),""))</f>
        <v/>
      </c>
    </row>
    <row r="15">
      <c r="B15" s="8">
        <f>IF(A15="","",IFERROR(DATEVALUE(TEXTBEFORE(A15,"|")),--LEFT(A15,10)))</f>
        <v/>
      </c>
      <c r="C15">
        <f>IF(A15="","",TEXTBEFORE(TEXTAFTER(A15,"|"),"|"))</f>
        <v/>
      </c>
      <c r="D15">
        <f>IF(A15="","",TEXTAFTER(A15,"|",2))</f>
        <v/>
      </c>
      <c r="E15">
        <f>IF(A15="","",SUMIF(Tickets[TripKey],A15,Tickets[TP]))</f>
        <v/>
      </c>
      <c r="F15">
        <f>IF(A15="","",SUMIF(Tickets[TripKey],A15,Tickets[Revenue]))</f>
        <v/>
      </c>
      <c r="G15">
        <f>IF(A15="","",SUMIF(Tickets[TripKey],A15,Tickets[PK]))</f>
        <v/>
      </c>
      <c r="H15">
        <f>IF(A15="","",IFERROR(XLOOKUP(A15,Tickets[TripKey],Tickets[VehClean]),""))</f>
        <v/>
      </c>
      <c r="I15">
        <f>IF(A15="","",IFERROR(XLOOKUP(A15,Tickets[TripKey],Tickets[RouteLen]),0))</f>
        <v/>
      </c>
      <c r="J15">
        <f>IF(A15="","",IFERROR(XLOOKUP(A15,Tickets[TripKey],Tickets[Capacity]),0))</f>
        <v/>
      </c>
      <c r="K15">
        <f>IF(A15="","",I15*J15)</f>
        <v/>
      </c>
      <c r="L15">
        <f>IF(A15="","",IFERROR(MINIFS(Tickets[Trip Start Time],Tickets[TripKey],A15),""))</f>
        <v/>
      </c>
    </row>
    <row r="16">
      <c r="B16" s="8">
        <f>IF(A16="","",IFERROR(DATEVALUE(TEXTBEFORE(A16,"|")),--LEFT(A16,10)))</f>
        <v/>
      </c>
      <c r="C16">
        <f>IF(A16="","",TEXTBEFORE(TEXTAFTER(A16,"|"),"|"))</f>
        <v/>
      </c>
      <c r="D16">
        <f>IF(A16="","",TEXTAFTER(A16,"|",2))</f>
        <v/>
      </c>
      <c r="E16">
        <f>IF(A16="","",SUMIF(Tickets[TripKey],A16,Tickets[TP]))</f>
        <v/>
      </c>
      <c r="F16">
        <f>IF(A16="","",SUMIF(Tickets[TripKey],A16,Tickets[Revenue]))</f>
        <v/>
      </c>
      <c r="G16">
        <f>IF(A16="","",SUMIF(Tickets[TripKey],A16,Tickets[PK]))</f>
        <v/>
      </c>
      <c r="H16">
        <f>IF(A16="","",IFERROR(XLOOKUP(A16,Tickets[TripKey],Tickets[VehClean]),""))</f>
        <v/>
      </c>
      <c r="I16">
        <f>IF(A16="","",IFERROR(XLOOKUP(A16,Tickets[TripKey],Tickets[RouteLen]),0))</f>
        <v/>
      </c>
      <c r="J16">
        <f>IF(A16="","",IFERROR(XLOOKUP(A16,Tickets[TripKey],Tickets[Capacity]),0))</f>
        <v/>
      </c>
      <c r="K16">
        <f>IF(A16="","",I16*J16)</f>
        <v/>
      </c>
      <c r="L16">
        <f>IF(A16="","",IFERROR(MINIFS(Tickets[Trip Start Time],Tickets[TripKey],A16),""))</f>
        <v/>
      </c>
    </row>
    <row r="17">
      <c r="B17" s="8">
        <f>IF(A17="","",IFERROR(DATEVALUE(TEXTBEFORE(A17,"|")),--LEFT(A17,10)))</f>
        <v/>
      </c>
      <c r="C17">
        <f>IF(A17="","",TEXTBEFORE(TEXTAFTER(A17,"|"),"|"))</f>
        <v/>
      </c>
      <c r="D17">
        <f>IF(A17="","",TEXTAFTER(A17,"|",2))</f>
        <v/>
      </c>
      <c r="E17">
        <f>IF(A17="","",SUMIF(Tickets[TripKey],A17,Tickets[TP]))</f>
        <v/>
      </c>
      <c r="F17">
        <f>IF(A17="","",SUMIF(Tickets[TripKey],A17,Tickets[Revenue]))</f>
        <v/>
      </c>
      <c r="G17">
        <f>IF(A17="","",SUMIF(Tickets[TripKey],A17,Tickets[PK]))</f>
        <v/>
      </c>
      <c r="H17">
        <f>IF(A17="","",IFERROR(XLOOKUP(A17,Tickets[TripKey],Tickets[VehClean]),""))</f>
        <v/>
      </c>
      <c r="I17">
        <f>IF(A17="","",IFERROR(XLOOKUP(A17,Tickets[TripKey],Tickets[RouteLen]),0))</f>
        <v/>
      </c>
      <c r="J17">
        <f>IF(A17="","",IFERROR(XLOOKUP(A17,Tickets[TripKey],Tickets[Capacity]),0))</f>
        <v/>
      </c>
      <c r="K17">
        <f>IF(A17="","",I17*J17)</f>
        <v/>
      </c>
      <c r="L17">
        <f>IF(A17="","",IFERROR(MINIFS(Tickets[Trip Start Time],Tickets[TripKey],A17),""))</f>
        <v/>
      </c>
    </row>
    <row r="18">
      <c r="B18" s="8">
        <f>IF(A18="","",IFERROR(DATEVALUE(TEXTBEFORE(A18,"|")),--LEFT(A18,10)))</f>
        <v/>
      </c>
      <c r="C18">
        <f>IF(A18="","",TEXTBEFORE(TEXTAFTER(A18,"|"),"|"))</f>
        <v/>
      </c>
      <c r="D18">
        <f>IF(A18="","",TEXTAFTER(A18,"|",2))</f>
        <v/>
      </c>
      <c r="E18">
        <f>IF(A18="","",SUMIF(Tickets[TripKey],A18,Tickets[TP]))</f>
        <v/>
      </c>
      <c r="F18">
        <f>IF(A18="","",SUMIF(Tickets[TripKey],A18,Tickets[Revenue]))</f>
        <v/>
      </c>
      <c r="G18">
        <f>IF(A18="","",SUMIF(Tickets[TripKey],A18,Tickets[PK]))</f>
        <v/>
      </c>
      <c r="H18">
        <f>IF(A18="","",IFERROR(XLOOKUP(A18,Tickets[TripKey],Tickets[VehClean]),""))</f>
        <v/>
      </c>
      <c r="I18">
        <f>IF(A18="","",IFERROR(XLOOKUP(A18,Tickets[TripKey],Tickets[RouteLen]),0))</f>
        <v/>
      </c>
      <c r="J18">
        <f>IF(A18="","",IFERROR(XLOOKUP(A18,Tickets[TripKey],Tickets[Capacity]),0))</f>
        <v/>
      </c>
      <c r="K18">
        <f>IF(A18="","",I18*J18)</f>
        <v/>
      </c>
      <c r="L18">
        <f>IF(A18="","",IFERROR(MINIFS(Tickets[Trip Start Time],Tickets[TripKey],A18),""))</f>
        <v/>
      </c>
    </row>
    <row r="19">
      <c r="B19" s="8">
        <f>IF(A19="","",IFERROR(DATEVALUE(TEXTBEFORE(A19,"|")),--LEFT(A19,10)))</f>
        <v/>
      </c>
      <c r="C19">
        <f>IF(A19="","",TEXTBEFORE(TEXTAFTER(A19,"|"),"|"))</f>
        <v/>
      </c>
      <c r="D19">
        <f>IF(A19="","",TEXTAFTER(A19,"|",2))</f>
        <v/>
      </c>
      <c r="E19">
        <f>IF(A19="","",SUMIF(Tickets[TripKey],A19,Tickets[TP]))</f>
        <v/>
      </c>
      <c r="F19">
        <f>IF(A19="","",SUMIF(Tickets[TripKey],A19,Tickets[Revenue]))</f>
        <v/>
      </c>
      <c r="G19">
        <f>IF(A19="","",SUMIF(Tickets[TripKey],A19,Tickets[PK]))</f>
        <v/>
      </c>
      <c r="H19">
        <f>IF(A19="","",IFERROR(XLOOKUP(A19,Tickets[TripKey],Tickets[VehClean]),""))</f>
        <v/>
      </c>
      <c r="I19">
        <f>IF(A19="","",IFERROR(XLOOKUP(A19,Tickets[TripKey],Tickets[RouteLen]),0))</f>
        <v/>
      </c>
      <c r="J19">
        <f>IF(A19="","",IFERROR(XLOOKUP(A19,Tickets[TripKey],Tickets[Capacity]),0))</f>
        <v/>
      </c>
      <c r="K19">
        <f>IF(A19="","",I19*J19)</f>
        <v/>
      </c>
      <c r="L19">
        <f>IF(A19="","",IFERROR(MINIFS(Tickets[Trip Start Time],Tickets[TripKey],A19),""))</f>
        <v/>
      </c>
    </row>
    <row r="20">
      <c r="B20" s="8">
        <f>IF(A20="","",IFERROR(DATEVALUE(TEXTBEFORE(A20,"|")),--LEFT(A20,10)))</f>
        <v/>
      </c>
      <c r="C20">
        <f>IF(A20="","",TEXTBEFORE(TEXTAFTER(A20,"|"),"|"))</f>
        <v/>
      </c>
      <c r="D20">
        <f>IF(A20="","",TEXTAFTER(A20,"|",2))</f>
        <v/>
      </c>
      <c r="E20">
        <f>IF(A20="","",SUMIF(Tickets[TripKey],A20,Tickets[TP]))</f>
        <v/>
      </c>
      <c r="F20">
        <f>IF(A20="","",SUMIF(Tickets[TripKey],A20,Tickets[Revenue]))</f>
        <v/>
      </c>
      <c r="G20">
        <f>IF(A20="","",SUMIF(Tickets[TripKey],A20,Tickets[PK]))</f>
        <v/>
      </c>
      <c r="H20">
        <f>IF(A20="","",IFERROR(XLOOKUP(A20,Tickets[TripKey],Tickets[VehClean]),""))</f>
        <v/>
      </c>
      <c r="I20">
        <f>IF(A20="","",IFERROR(XLOOKUP(A20,Tickets[TripKey],Tickets[RouteLen]),0))</f>
        <v/>
      </c>
      <c r="J20">
        <f>IF(A20="","",IFERROR(XLOOKUP(A20,Tickets[TripKey],Tickets[Capacity]),0))</f>
        <v/>
      </c>
      <c r="K20">
        <f>IF(A20="","",I20*J20)</f>
        <v/>
      </c>
      <c r="L20">
        <f>IF(A20="","",IFERROR(MINIFS(Tickets[Trip Start Time],Tickets[TripKey],A20),""))</f>
        <v/>
      </c>
    </row>
    <row r="21">
      <c r="B21" s="8">
        <f>IF(A21="","",IFERROR(DATEVALUE(TEXTBEFORE(A21,"|")),--LEFT(A21,10)))</f>
        <v/>
      </c>
      <c r="C21">
        <f>IF(A21="","",TEXTBEFORE(TEXTAFTER(A21,"|"),"|"))</f>
        <v/>
      </c>
      <c r="D21">
        <f>IF(A21="","",TEXTAFTER(A21,"|",2))</f>
        <v/>
      </c>
      <c r="E21">
        <f>IF(A21="","",SUMIF(Tickets[TripKey],A21,Tickets[TP]))</f>
        <v/>
      </c>
      <c r="F21">
        <f>IF(A21="","",SUMIF(Tickets[TripKey],A21,Tickets[Revenue]))</f>
        <v/>
      </c>
      <c r="G21">
        <f>IF(A21="","",SUMIF(Tickets[TripKey],A21,Tickets[PK]))</f>
        <v/>
      </c>
      <c r="H21">
        <f>IF(A21="","",IFERROR(XLOOKUP(A21,Tickets[TripKey],Tickets[VehClean]),""))</f>
        <v/>
      </c>
      <c r="I21">
        <f>IF(A21="","",IFERROR(XLOOKUP(A21,Tickets[TripKey],Tickets[RouteLen]),0))</f>
        <v/>
      </c>
      <c r="J21">
        <f>IF(A21="","",IFERROR(XLOOKUP(A21,Tickets[TripKey],Tickets[Capacity]),0))</f>
        <v/>
      </c>
      <c r="K21">
        <f>IF(A21="","",I21*J21)</f>
        <v/>
      </c>
      <c r="L21">
        <f>IF(A21="","",IFERROR(MINIFS(Tickets[Trip Start Time],Tickets[TripKey],A21),""))</f>
        <v/>
      </c>
    </row>
    <row r="22">
      <c r="B22" s="8">
        <f>IF(A22="","",IFERROR(DATEVALUE(TEXTBEFORE(A22,"|")),--LEFT(A22,10)))</f>
        <v/>
      </c>
      <c r="C22">
        <f>IF(A22="","",TEXTBEFORE(TEXTAFTER(A22,"|"),"|"))</f>
        <v/>
      </c>
      <c r="D22">
        <f>IF(A22="","",TEXTAFTER(A22,"|",2))</f>
        <v/>
      </c>
      <c r="E22">
        <f>IF(A22="","",SUMIF(Tickets[TripKey],A22,Tickets[TP]))</f>
        <v/>
      </c>
      <c r="F22">
        <f>IF(A22="","",SUMIF(Tickets[TripKey],A22,Tickets[Revenue]))</f>
        <v/>
      </c>
      <c r="G22">
        <f>IF(A22="","",SUMIF(Tickets[TripKey],A22,Tickets[PK]))</f>
        <v/>
      </c>
      <c r="H22">
        <f>IF(A22="","",IFERROR(XLOOKUP(A22,Tickets[TripKey],Tickets[VehClean]),""))</f>
        <v/>
      </c>
      <c r="I22">
        <f>IF(A22="","",IFERROR(XLOOKUP(A22,Tickets[TripKey],Tickets[RouteLen]),0))</f>
        <v/>
      </c>
      <c r="J22">
        <f>IF(A22="","",IFERROR(XLOOKUP(A22,Tickets[TripKey],Tickets[Capacity]),0))</f>
        <v/>
      </c>
      <c r="K22">
        <f>IF(A22="","",I22*J22)</f>
        <v/>
      </c>
      <c r="L22">
        <f>IF(A22="","",IFERROR(MINIFS(Tickets[Trip Start Time],Tickets[TripKey],A22),""))</f>
        <v/>
      </c>
    </row>
    <row r="23">
      <c r="B23" s="8">
        <f>IF(A23="","",IFERROR(DATEVALUE(TEXTBEFORE(A23,"|")),--LEFT(A23,10)))</f>
        <v/>
      </c>
      <c r="C23">
        <f>IF(A23="","",TEXTBEFORE(TEXTAFTER(A23,"|"),"|"))</f>
        <v/>
      </c>
      <c r="D23">
        <f>IF(A23="","",TEXTAFTER(A23,"|",2))</f>
        <v/>
      </c>
      <c r="E23">
        <f>IF(A23="","",SUMIF(Tickets[TripKey],A23,Tickets[TP]))</f>
        <v/>
      </c>
      <c r="F23">
        <f>IF(A23="","",SUMIF(Tickets[TripKey],A23,Tickets[Revenue]))</f>
        <v/>
      </c>
      <c r="G23">
        <f>IF(A23="","",SUMIF(Tickets[TripKey],A23,Tickets[PK]))</f>
        <v/>
      </c>
      <c r="H23">
        <f>IF(A23="","",IFERROR(XLOOKUP(A23,Tickets[TripKey],Tickets[VehClean]),""))</f>
        <v/>
      </c>
      <c r="I23">
        <f>IF(A23="","",IFERROR(XLOOKUP(A23,Tickets[TripKey],Tickets[RouteLen]),0))</f>
        <v/>
      </c>
      <c r="J23">
        <f>IF(A23="","",IFERROR(XLOOKUP(A23,Tickets[TripKey],Tickets[Capacity]),0))</f>
        <v/>
      </c>
      <c r="K23">
        <f>IF(A23="","",I23*J23)</f>
        <v/>
      </c>
      <c r="L23">
        <f>IF(A23="","",IFERROR(MINIFS(Tickets[Trip Start Time],Tickets[TripKey],A23),""))</f>
        <v/>
      </c>
    </row>
    <row r="24">
      <c r="B24" s="8">
        <f>IF(A24="","",IFERROR(DATEVALUE(TEXTBEFORE(A24,"|")),--LEFT(A24,10)))</f>
        <v/>
      </c>
      <c r="C24">
        <f>IF(A24="","",TEXTBEFORE(TEXTAFTER(A24,"|"),"|"))</f>
        <v/>
      </c>
      <c r="D24">
        <f>IF(A24="","",TEXTAFTER(A24,"|",2))</f>
        <v/>
      </c>
      <c r="E24">
        <f>IF(A24="","",SUMIF(Tickets[TripKey],A24,Tickets[TP]))</f>
        <v/>
      </c>
      <c r="F24">
        <f>IF(A24="","",SUMIF(Tickets[TripKey],A24,Tickets[Revenue]))</f>
        <v/>
      </c>
      <c r="G24">
        <f>IF(A24="","",SUMIF(Tickets[TripKey],A24,Tickets[PK]))</f>
        <v/>
      </c>
      <c r="H24">
        <f>IF(A24="","",IFERROR(XLOOKUP(A24,Tickets[TripKey],Tickets[VehClean]),""))</f>
        <v/>
      </c>
      <c r="I24">
        <f>IF(A24="","",IFERROR(XLOOKUP(A24,Tickets[TripKey],Tickets[RouteLen]),0))</f>
        <v/>
      </c>
      <c r="J24">
        <f>IF(A24="","",IFERROR(XLOOKUP(A24,Tickets[TripKey],Tickets[Capacity]),0))</f>
        <v/>
      </c>
      <c r="K24">
        <f>IF(A24="","",I24*J24)</f>
        <v/>
      </c>
      <c r="L24">
        <f>IF(A24="","",IFERROR(MINIFS(Tickets[Trip Start Time],Tickets[TripKey],A24),""))</f>
        <v/>
      </c>
    </row>
    <row r="25">
      <c r="B25" s="8">
        <f>IF(A25="","",IFERROR(DATEVALUE(TEXTBEFORE(A25,"|")),--LEFT(A25,10)))</f>
        <v/>
      </c>
      <c r="C25">
        <f>IF(A25="","",TEXTBEFORE(TEXTAFTER(A25,"|"),"|"))</f>
        <v/>
      </c>
      <c r="D25">
        <f>IF(A25="","",TEXTAFTER(A25,"|",2))</f>
        <v/>
      </c>
      <c r="E25">
        <f>IF(A25="","",SUMIF(Tickets[TripKey],A25,Tickets[TP]))</f>
        <v/>
      </c>
      <c r="F25">
        <f>IF(A25="","",SUMIF(Tickets[TripKey],A25,Tickets[Revenue]))</f>
        <v/>
      </c>
      <c r="G25">
        <f>IF(A25="","",SUMIF(Tickets[TripKey],A25,Tickets[PK]))</f>
        <v/>
      </c>
      <c r="H25">
        <f>IF(A25="","",IFERROR(XLOOKUP(A25,Tickets[TripKey],Tickets[VehClean]),""))</f>
        <v/>
      </c>
      <c r="I25">
        <f>IF(A25="","",IFERROR(XLOOKUP(A25,Tickets[TripKey],Tickets[RouteLen]),0))</f>
        <v/>
      </c>
      <c r="J25">
        <f>IF(A25="","",IFERROR(XLOOKUP(A25,Tickets[TripKey],Tickets[Capacity]),0))</f>
        <v/>
      </c>
      <c r="K25">
        <f>IF(A25="","",I25*J25)</f>
        <v/>
      </c>
      <c r="L25">
        <f>IF(A25="","",IFERROR(MINIFS(Tickets[Trip Start Time],Tickets[TripKey],A25),""))</f>
        <v/>
      </c>
    </row>
    <row r="26">
      <c r="B26" s="8">
        <f>IF(A26="","",IFERROR(DATEVALUE(TEXTBEFORE(A26,"|")),--LEFT(A26,10)))</f>
        <v/>
      </c>
      <c r="C26">
        <f>IF(A26="","",TEXTBEFORE(TEXTAFTER(A26,"|"),"|"))</f>
        <v/>
      </c>
      <c r="D26">
        <f>IF(A26="","",TEXTAFTER(A26,"|",2))</f>
        <v/>
      </c>
      <c r="E26">
        <f>IF(A26="","",SUMIF(Tickets[TripKey],A26,Tickets[TP]))</f>
        <v/>
      </c>
      <c r="F26">
        <f>IF(A26="","",SUMIF(Tickets[TripKey],A26,Tickets[Revenue]))</f>
        <v/>
      </c>
      <c r="G26">
        <f>IF(A26="","",SUMIF(Tickets[TripKey],A26,Tickets[PK]))</f>
        <v/>
      </c>
      <c r="H26">
        <f>IF(A26="","",IFERROR(XLOOKUP(A26,Tickets[TripKey],Tickets[VehClean]),""))</f>
        <v/>
      </c>
      <c r="I26">
        <f>IF(A26="","",IFERROR(XLOOKUP(A26,Tickets[TripKey],Tickets[RouteLen]),0))</f>
        <v/>
      </c>
      <c r="J26">
        <f>IF(A26="","",IFERROR(XLOOKUP(A26,Tickets[TripKey],Tickets[Capacity]),0))</f>
        <v/>
      </c>
      <c r="K26">
        <f>IF(A26="","",I26*J26)</f>
        <v/>
      </c>
      <c r="L26">
        <f>IF(A26="","",IFERROR(MINIFS(Tickets[Trip Start Time],Tickets[TripKey],A26),""))</f>
        <v/>
      </c>
    </row>
    <row r="27">
      <c r="B27" s="8">
        <f>IF(A27="","",IFERROR(DATEVALUE(TEXTBEFORE(A27,"|")),--LEFT(A27,10)))</f>
        <v/>
      </c>
      <c r="C27">
        <f>IF(A27="","",TEXTBEFORE(TEXTAFTER(A27,"|"),"|"))</f>
        <v/>
      </c>
      <c r="D27">
        <f>IF(A27="","",TEXTAFTER(A27,"|",2))</f>
        <v/>
      </c>
      <c r="E27">
        <f>IF(A27="","",SUMIF(Tickets[TripKey],A27,Tickets[TP]))</f>
        <v/>
      </c>
      <c r="F27">
        <f>IF(A27="","",SUMIF(Tickets[TripKey],A27,Tickets[Revenue]))</f>
        <v/>
      </c>
      <c r="G27">
        <f>IF(A27="","",SUMIF(Tickets[TripKey],A27,Tickets[PK]))</f>
        <v/>
      </c>
      <c r="H27">
        <f>IF(A27="","",IFERROR(XLOOKUP(A27,Tickets[TripKey],Tickets[VehClean]),""))</f>
        <v/>
      </c>
      <c r="I27">
        <f>IF(A27="","",IFERROR(XLOOKUP(A27,Tickets[TripKey],Tickets[RouteLen]),0))</f>
        <v/>
      </c>
      <c r="J27">
        <f>IF(A27="","",IFERROR(XLOOKUP(A27,Tickets[TripKey],Tickets[Capacity]),0))</f>
        <v/>
      </c>
      <c r="K27">
        <f>IF(A27="","",I27*J27)</f>
        <v/>
      </c>
      <c r="L27">
        <f>IF(A27="","",IFERROR(MINIFS(Tickets[Trip Start Time],Tickets[TripKey],A27),""))</f>
        <v/>
      </c>
    </row>
    <row r="28">
      <c r="B28" s="8">
        <f>IF(A28="","",IFERROR(DATEVALUE(TEXTBEFORE(A28,"|")),--LEFT(A28,10)))</f>
        <v/>
      </c>
      <c r="C28">
        <f>IF(A28="","",TEXTBEFORE(TEXTAFTER(A28,"|"),"|"))</f>
        <v/>
      </c>
      <c r="D28">
        <f>IF(A28="","",TEXTAFTER(A28,"|",2))</f>
        <v/>
      </c>
      <c r="E28">
        <f>IF(A28="","",SUMIF(Tickets[TripKey],A28,Tickets[TP]))</f>
        <v/>
      </c>
      <c r="F28">
        <f>IF(A28="","",SUMIF(Tickets[TripKey],A28,Tickets[Revenue]))</f>
        <v/>
      </c>
      <c r="G28">
        <f>IF(A28="","",SUMIF(Tickets[TripKey],A28,Tickets[PK]))</f>
        <v/>
      </c>
      <c r="H28">
        <f>IF(A28="","",IFERROR(XLOOKUP(A28,Tickets[TripKey],Tickets[VehClean]),""))</f>
        <v/>
      </c>
      <c r="I28">
        <f>IF(A28="","",IFERROR(XLOOKUP(A28,Tickets[TripKey],Tickets[RouteLen]),0))</f>
        <v/>
      </c>
      <c r="J28">
        <f>IF(A28="","",IFERROR(XLOOKUP(A28,Tickets[TripKey],Tickets[Capacity]),0))</f>
        <v/>
      </c>
      <c r="K28">
        <f>IF(A28="","",I28*J28)</f>
        <v/>
      </c>
      <c r="L28">
        <f>IF(A28="","",IFERROR(MINIFS(Tickets[Trip Start Time],Tickets[TripKey],A28),""))</f>
        <v/>
      </c>
    </row>
    <row r="29">
      <c r="B29" s="8">
        <f>IF(A29="","",IFERROR(DATEVALUE(TEXTBEFORE(A29,"|")),--LEFT(A29,10)))</f>
        <v/>
      </c>
      <c r="C29">
        <f>IF(A29="","",TEXTBEFORE(TEXTAFTER(A29,"|"),"|"))</f>
        <v/>
      </c>
      <c r="D29">
        <f>IF(A29="","",TEXTAFTER(A29,"|",2))</f>
        <v/>
      </c>
      <c r="E29">
        <f>IF(A29="","",SUMIF(Tickets[TripKey],A29,Tickets[TP]))</f>
        <v/>
      </c>
      <c r="F29">
        <f>IF(A29="","",SUMIF(Tickets[TripKey],A29,Tickets[Revenue]))</f>
        <v/>
      </c>
      <c r="G29">
        <f>IF(A29="","",SUMIF(Tickets[TripKey],A29,Tickets[PK]))</f>
        <v/>
      </c>
      <c r="H29">
        <f>IF(A29="","",IFERROR(XLOOKUP(A29,Tickets[TripKey],Tickets[VehClean]),""))</f>
        <v/>
      </c>
      <c r="I29">
        <f>IF(A29="","",IFERROR(XLOOKUP(A29,Tickets[TripKey],Tickets[RouteLen]),0))</f>
        <v/>
      </c>
      <c r="J29">
        <f>IF(A29="","",IFERROR(XLOOKUP(A29,Tickets[TripKey],Tickets[Capacity]),0))</f>
        <v/>
      </c>
      <c r="K29">
        <f>IF(A29="","",I29*J29)</f>
        <v/>
      </c>
      <c r="L29">
        <f>IF(A29="","",IFERROR(MINIFS(Tickets[Trip Start Time],Tickets[TripKey],A29),""))</f>
        <v/>
      </c>
    </row>
    <row r="30">
      <c r="B30" s="8">
        <f>IF(A30="","",IFERROR(DATEVALUE(TEXTBEFORE(A30,"|")),--LEFT(A30,10)))</f>
        <v/>
      </c>
      <c r="C30">
        <f>IF(A30="","",TEXTBEFORE(TEXTAFTER(A30,"|"),"|"))</f>
        <v/>
      </c>
      <c r="D30">
        <f>IF(A30="","",TEXTAFTER(A30,"|",2))</f>
        <v/>
      </c>
      <c r="E30">
        <f>IF(A30="","",SUMIF(Tickets[TripKey],A30,Tickets[TP]))</f>
        <v/>
      </c>
      <c r="F30">
        <f>IF(A30="","",SUMIF(Tickets[TripKey],A30,Tickets[Revenue]))</f>
        <v/>
      </c>
      <c r="G30">
        <f>IF(A30="","",SUMIF(Tickets[TripKey],A30,Tickets[PK]))</f>
        <v/>
      </c>
      <c r="H30">
        <f>IF(A30="","",IFERROR(XLOOKUP(A30,Tickets[TripKey],Tickets[VehClean]),""))</f>
        <v/>
      </c>
      <c r="I30">
        <f>IF(A30="","",IFERROR(XLOOKUP(A30,Tickets[TripKey],Tickets[RouteLen]),0))</f>
        <v/>
      </c>
      <c r="J30">
        <f>IF(A30="","",IFERROR(XLOOKUP(A30,Tickets[TripKey],Tickets[Capacity]),0))</f>
        <v/>
      </c>
      <c r="K30">
        <f>IF(A30="","",I30*J30)</f>
        <v/>
      </c>
      <c r="L30">
        <f>IF(A30="","",IFERROR(MINIFS(Tickets[Trip Start Time],Tickets[TripKey],A30),""))</f>
        <v/>
      </c>
    </row>
    <row r="31">
      <c r="B31" s="8">
        <f>IF(A31="","",IFERROR(DATEVALUE(TEXTBEFORE(A31,"|")),--LEFT(A31,10)))</f>
        <v/>
      </c>
      <c r="C31">
        <f>IF(A31="","",TEXTBEFORE(TEXTAFTER(A31,"|"),"|"))</f>
        <v/>
      </c>
      <c r="D31">
        <f>IF(A31="","",TEXTAFTER(A31,"|",2))</f>
        <v/>
      </c>
      <c r="E31">
        <f>IF(A31="","",SUMIF(Tickets[TripKey],A31,Tickets[TP]))</f>
        <v/>
      </c>
      <c r="F31">
        <f>IF(A31="","",SUMIF(Tickets[TripKey],A31,Tickets[Revenue]))</f>
        <v/>
      </c>
      <c r="G31">
        <f>IF(A31="","",SUMIF(Tickets[TripKey],A31,Tickets[PK]))</f>
        <v/>
      </c>
      <c r="H31">
        <f>IF(A31="","",IFERROR(XLOOKUP(A31,Tickets[TripKey],Tickets[VehClean]),""))</f>
        <v/>
      </c>
      <c r="I31">
        <f>IF(A31="","",IFERROR(XLOOKUP(A31,Tickets[TripKey],Tickets[RouteLen]),0))</f>
        <v/>
      </c>
      <c r="J31">
        <f>IF(A31="","",IFERROR(XLOOKUP(A31,Tickets[TripKey],Tickets[Capacity]),0))</f>
        <v/>
      </c>
      <c r="K31">
        <f>IF(A31="","",I31*J31)</f>
        <v/>
      </c>
      <c r="L31">
        <f>IF(A31="","",IFERROR(MINIFS(Tickets[Trip Start Time],Tickets[TripKey],A31),""))</f>
        <v/>
      </c>
    </row>
    <row r="32">
      <c r="B32" s="8">
        <f>IF(A32="","",IFERROR(DATEVALUE(TEXTBEFORE(A32,"|")),--LEFT(A32,10)))</f>
        <v/>
      </c>
      <c r="C32">
        <f>IF(A32="","",TEXTBEFORE(TEXTAFTER(A32,"|"),"|"))</f>
        <v/>
      </c>
      <c r="D32">
        <f>IF(A32="","",TEXTAFTER(A32,"|",2))</f>
        <v/>
      </c>
      <c r="E32">
        <f>IF(A32="","",SUMIF(Tickets[TripKey],A32,Tickets[TP]))</f>
        <v/>
      </c>
      <c r="F32">
        <f>IF(A32="","",SUMIF(Tickets[TripKey],A32,Tickets[Revenue]))</f>
        <v/>
      </c>
      <c r="G32">
        <f>IF(A32="","",SUMIF(Tickets[TripKey],A32,Tickets[PK]))</f>
        <v/>
      </c>
      <c r="H32">
        <f>IF(A32="","",IFERROR(XLOOKUP(A32,Tickets[TripKey],Tickets[VehClean]),""))</f>
        <v/>
      </c>
      <c r="I32">
        <f>IF(A32="","",IFERROR(XLOOKUP(A32,Tickets[TripKey],Tickets[RouteLen]),0))</f>
        <v/>
      </c>
      <c r="J32">
        <f>IF(A32="","",IFERROR(XLOOKUP(A32,Tickets[TripKey],Tickets[Capacity]),0))</f>
        <v/>
      </c>
      <c r="K32">
        <f>IF(A32="","",I32*J32)</f>
        <v/>
      </c>
      <c r="L32">
        <f>IF(A32="","",IFERROR(MINIFS(Tickets[Trip Start Time],Tickets[TripKey],A32),""))</f>
        <v/>
      </c>
    </row>
    <row r="33">
      <c r="B33" s="8">
        <f>IF(A33="","",IFERROR(DATEVALUE(TEXTBEFORE(A33,"|")),--LEFT(A33,10)))</f>
        <v/>
      </c>
      <c r="C33">
        <f>IF(A33="","",TEXTBEFORE(TEXTAFTER(A33,"|"),"|"))</f>
        <v/>
      </c>
      <c r="D33">
        <f>IF(A33="","",TEXTAFTER(A33,"|",2))</f>
        <v/>
      </c>
      <c r="E33">
        <f>IF(A33="","",SUMIF(Tickets[TripKey],A33,Tickets[TP]))</f>
        <v/>
      </c>
      <c r="F33">
        <f>IF(A33="","",SUMIF(Tickets[TripKey],A33,Tickets[Revenue]))</f>
        <v/>
      </c>
      <c r="G33">
        <f>IF(A33="","",SUMIF(Tickets[TripKey],A33,Tickets[PK]))</f>
        <v/>
      </c>
      <c r="H33">
        <f>IF(A33="","",IFERROR(XLOOKUP(A33,Tickets[TripKey],Tickets[VehClean]),""))</f>
        <v/>
      </c>
      <c r="I33">
        <f>IF(A33="","",IFERROR(XLOOKUP(A33,Tickets[TripKey],Tickets[RouteLen]),0))</f>
        <v/>
      </c>
      <c r="J33">
        <f>IF(A33="","",IFERROR(XLOOKUP(A33,Tickets[TripKey],Tickets[Capacity]),0))</f>
        <v/>
      </c>
      <c r="K33">
        <f>IF(A33="","",I33*J33)</f>
        <v/>
      </c>
      <c r="L33">
        <f>IF(A33="","",IFERROR(MINIFS(Tickets[Trip Start Time],Tickets[TripKey],A33),""))</f>
        <v/>
      </c>
    </row>
    <row r="34">
      <c r="B34" s="8">
        <f>IF(A34="","",IFERROR(DATEVALUE(TEXTBEFORE(A34,"|")),--LEFT(A34,10)))</f>
        <v/>
      </c>
      <c r="C34">
        <f>IF(A34="","",TEXTBEFORE(TEXTAFTER(A34,"|"),"|"))</f>
        <v/>
      </c>
      <c r="D34">
        <f>IF(A34="","",TEXTAFTER(A34,"|",2))</f>
        <v/>
      </c>
      <c r="E34">
        <f>IF(A34="","",SUMIF(Tickets[TripKey],A34,Tickets[TP]))</f>
        <v/>
      </c>
      <c r="F34">
        <f>IF(A34="","",SUMIF(Tickets[TripKey],A34,Tickets[Revenue]))</f>
        <v/>
      </c>
      <c r="G34">
        <f>IF(A34="","",SUMIF(Tickets[TripKey],A34,Tickets[PK]))</f>
        <v/>
      </c>
      <c r="H34">
        <f>IF(A34="","",IFERROR(XLOOKUP(A34,Tickets[TripKey],Tickets[VehClean]),""))</f>
        <v/>
      </c>
      <c r="I34">
        <f>IF(A34="","",IFERROR(XLOOKUP(A34,Tickets[TripKey],Tickets[RouteLen]),0))</f>
        <v/>
      </c>
      <c r="J34">
        <f>IF(A34="","",IFERROR(XLOOKUP(A34,Tickets[TripKey],Tickets[Capacity]),0))</f>
        <v/>
      </c>
      <c r="K34">
        <f>IF(A34="","",I34*J34)</f>
        <v/>
      </c>
      <c r="L34">
        <f>IF(A34="","",IFERROR(MINIFS(Tickets[Trip Start Time],Tickets[TripKey],A34),""))</f>
        <v/>
      </c>
    </row>
    <row r="35">
      <c r="B35" s="8">
        <f>IF(A35="","",IFERROR(DATEVALUE(TEXTBEFORE(A35,"|")),--LEFT(A35,10)))</f>
        <v/>
      </c>
      <c r="C35">
        <f>IF(A35="","",TEXTBEFORE(TEXTAFTER(A35,"|"),"|"))</f>
        <v/>
      </c>
      <c r="D35">
        <f>IF(A35="","",TEXTAFTER(A35,"|",2))</f>
        <v/>
      </c>
      <c r="E35">
        <f>IF(A35="","",SUMIF(Tickets[TripKey],A35,Tickets[TP]))</f>
        <v/>
      </c>
      <c r="F35">
        <f>IF(A35="","",SUMIF(Tickets[TripKey],A35,Tickets[Revenue]))</f>
        <v/>
      </c>
      <c r="G35">
        <f>IF(A35="","",SUMIF(Tickets[TripKey],A35,Tickets[PK]))</f>
        <v/>
      </c>
      <c r="H35">
        <f>IF(A35="","",IFERROR(XLOOKUP(A35,Tickets[TripKey],Tickets[VehClean]),""))</f>
        <v/>
      </c>
      <c r="I35">
        <f>IF(A35="","",IFERROR(XLOOKUP(A35,Tickets[TripKey],Tickets[RouteLen]),0))</f>
        <v/>
      </c>
      <c r="J35">
        <f>IF(A35="","",IFERROR(XLOOKUP(A35,Tickets[TripKey],Tickets[Capacity]),0))</f>
        <v/>
      </c>
      <c r="K35">
        <f>IF(A35="","",I35*J35)</f>
        <v/>
      </c>
      <c r="L35">
        <f>IF(A35="","",IFERROR(MINIFS(Tickets[Trip Start Time],Tickets[TripKey],A35),""))</f>
        <v/>
      </c>
    </row>
    <row r="36">
      <c r="B36" s="8">
        <f>IF(A36="","",IFERROR(DATEVALUE(TEXTBEFORE(A36,"|")),--LEFT(A36,10)))</f>
        <v/>
      </c>
      <c r="C36">
        <f>IF(A36="","",TEXTBEFORE(TEXTAFTER(A36,"|"),"|"))</f>
        <v/>
      </c>
      <c r="D36">
        <f>IF(A36="","",TEXTAFTER(A36,"|",2))</f>
        <v/>
      </c>
      <c r="E36">
        <f>IF(A36="","",SUMIF(Tickets[TripKey],A36,Tickets[TP]))</f>
        <v/>
      </c>
      <c r="F36">
        <f>IF(A36="","",SUMIF(Tickets[TripKey],A36,Tickets[Revenue]))</f>
        <v/>
      </c>
      <c r="G36">
        <f>IF(A36="","",SUMIF(Tickets[TripKey],A36,Tickets[PK]))</f>
        <v/>
      </c>
      <c r="H36">
        <f>IF(A36="","",IFERROR(XLOOKUP(A36,Tickets[TripKey],Tickets[VehClean]),""))</f>
        <v/>
      </c>
      <c r="I36">
        <f>IF(A36="","",IFERROR(XLOOKUP(A36,Tickets[TripKey],Tickets[RouteLen]),0))</f>
        <v/>
      </c>
      <c r="J36">
        <f>IF(A36="","",IFERROR(XLOOKUP(A36,Tickets[TripKey],Tickets[Capacity]),0))</f>
        <v/>
      </c>
      <c r="K36">
        <f>IF(A36="","",I36*J36)</f>
        <v/>
      </c>
      <c r="L36">
        <f>IF(A36="","",IFERROR(MINIFS(Tickets[Trip Start Time],Tickets[TripKey],A36),""))</f>
        <v/>
      </c>
    </row>
    <row r="37">
      <c r="B37" s="8">
        <f>IF(A37="","",IFERROR(DATEVALUE(TEXTBEFORE(A37,"|")),--LEFT(A37,10)))</f>
        <v/>
      </c>
      <c r="C37">
        <f>IF(A37="","",TEXTBEFORE(TEXTAFTER(A37,"|"),"|"))</f>
        <v/>
      </c>
      <c r="D37">
        <f>IF(A37="","",TEXTAFTER(A37,"|",2))</f>
        <v/>
      </c>
      <c r="E37">
        <f>IF(A37="","",SUMIF(Tickets[TripKey],A37,Tickets[TP]))</f>
        <v/>
      </c>
      <c r="F37">
        <f>IF(A37="","",SUMIF(Tickets[TripKey],A37,Tickets[Revenue]))</f>
        <v/>
      </c>
      <c r="G37">
        <f>IF(A37="","",SUMIF(Tickets[TripKey],A37,Tickets[PK]))</f>
        <v/>
      </c>
      <c r="H37">
        <f>IF(A37="","",IFERROR(XLOOKUP(A37,Tickets[TripKey],Tickets[VehClean]),""))</f>
        <v/>
      </c>
      <c r="I37">
        <f>IF(A37="","",IFERROR(XLOOKUP(A37,Tickets[TripKey],Tickets[RouteLen]),0))</f>
        <v/>
      </c>
      <c r="J37">
        <f>IF(A37="","",IFERROR(XLOOKUP(A37,Tickets[TripKey],Tickets[Capacity]),0))</f>
        <v/>
      </c>
      <c r="K37">
        <f>IF(A37="","",I37*J37)</f>
        <v/>
      </c>
      <c r="L37">
        <f>IF(A37="","",IFERROR(MINIFS(Tickets[Trip Start Time],Tickets[TripKey],A37),""))</f>
        <v/>
      </c>
    </row>
    <row r="38">
      <c r="B38" s="8">
        <f>IF(A38="","",IFERROR(DATEVALUE(TEXTBEFORE(A38,"|")),--LEFT(A38,10)))</f>
        <v/>
      </c>
      <c r="C38">
        <f>IF(A38="","",TEXTBEFORE(TEXTAFTER(A38,"|"),"|"))</f>
        <v/>
      </c>
      <c r="D38">
        <f>IF(A38="","",TEXTAFTER(A38,"|",2))</f>
        <v/>
      </c>
      <c r="E38">
        <f>IF(A38="","",SUMIF(Tickets[TripKey],A38,Tickets[TP]))</f>
        <v/>
      </c>
      <c r="F38">
        <f>IF(A38="","",SUMIF(Tickets[TripKey],A38,Tickets[Revenue]))</f>
        <v/>
      </c>
      <c r="G38">
        <f>IF(A38="","",SUMIF(Tickets[TripKey],A38,Tickets[PK]))</f>
        <v/>
      </c>
      <c r="H38">
        <f>IF(A38="","",IFERROR(XLOOKUP(A38,Tickets[TripKey],Tickets[VehClean]),""))</f>
        <v/>
      </c>
      <c r="I38">
        <f>IF(A38="","",IFERROR(XLOOKUP(A38,Tickets[TripKey],Tickets[RouteLen]),0))</f>
        <v/>
      </c>
      <c r="J38">
        <f>IF(A38="","",IFERROR(XLOOKUP(A38,Tickets[TripKey],Tickets[Capacity]),0))</f>
        <v/>
      </c>
      <c r="K38">
        <f>IF(A38="","",I38*J38)</f>
        <v/>
      </c>
      <c r="L38">
        <f>IF(A38="","",IFERROR(MINIFS(Tickets[Trip Start Time],Tickets[TripKey],A38),""))</f>
        <v/>
      </c>
    </row>
    <row r="39">
      <c r="B39" s="8">
        <f>IF(A39="","",IFERROR(DATEVALUE(TEXTBEFORE(A39,"|")),--LEFT(A39,10)))</f>
        <v/>
      </c>
      <c r="C39">
        <f>IF(A39="","",TEXTBEFORE(TEXTAFTER(A39,"|"),"|"))</f>
        <v/>
      </c>
      <c r="D39">
        <f>IF(A39="","",TEXTAFTER(A39,"|",2))</f>
        <v/>
      </c>
      <c r="E39">
        <f>IF(A39="","",SUMIF(Tickets[TripKey],A39,Tickets[TP]))</f>
        <v/>
      </c>
      <c r="F39">
        <f>IF(A39="","",SUMIF(Tickets[TripKey],A39,Tickets[Revenue]))</f>
        <v/>
      </c>
      <c r="G39">
        <f>IF(A39="","",SUMIF(Tickets[TripKey],A39,Tickets[PK]))</f>
        <v/>
      </c>
      <c r="H39">
        <f>IF(A39="","",IFERROR(XLOOKUP(A39,Tickets[TripKey],Tickets[VehClean]),""))</f>
        <v/>
      </c>
      <c r="I39">
        <f>IF(A39="","",IFERROR(XLOOKUP(A39,Tickets[TripKey],Tickets[RouteLen]),0))</f>
        <v/>
      </c>
      <c r="J39">
        <f>IF(A39="","",IFERROR(XLOOKUP(A39,Tickets[TripKey],Tickets[Capacity]),0))</f>
        <v/>
      </c>
      <c r="K39">
        <f>IF(A39="","",I39*J39)</f>
        <v/>
      </c>
      <c r="L39">
        <f>IF(A39="","",IFERROR(MINIFS(Tickets[Trip Start Time],Tickets[TripKey],A39),""))</f>
        <v/>
      </c>
    </row>
    <row r="40">
      <c r="B40" s="8">
        <f>IF(A40="","",IFERROR(DATEVALUE(TEXTBEFORE(A40,"|")),--LEFT(A40,10)))</f>
        <v/>
      </c>
      <c r="C40">
        <f>IF(A40="","",TEXTBEFORE(TEXTAFTER(A40,"|"),"|"))</f>
        <v/>
      </c>
      <c r="D40">
        <f>IF(A40="","",TEXTAFTER(A40,"|",2))</f>
        <v/>
      </c>
      <c r="E40">
        <f>IF(A40="","",SUMIF(Tickets[TripKey],A40,Tickets[TP]))</f>
        <v/>
      </c>
      <c r="F40">
        <f>IF(A40="","",SUMIF(Tickets[TripKey],A40,Tickets[Revenue]))</f>
        <v/>
      </c>
      <c r="G40">
        <f>IF(A40="","",SUMIF(Tickets[TripKey],A40,Tickets[PK]))</f>
        <v/>
      </c>
      <c r="H40">
        <f>IF(A40="","",IFERROR(XLOOKUP(A40,Tickets[TripKey],Tickets[VehClean]),""))</f>
        <v/>
      </c>
      <c r="I40">
        <f>IF(A40="","",IFERROR(XLOOKUP(A40,Tickets[TripKey],Tickets[RouteLen]),0))</f>
        <v/>
      </c>
      <c r="J40">
        <f>IF(A40="","",IFERROR(XLOOKUP(A40,Tickets[TripKey],Tickets[Capacity]),0))</f>
        <v/>
      </c>
      <c r="K40">
        <f>IF(A40="","",I40*J40)</f>
        <v/>
      </c>
      <c r="L40">
        <f>IF(A40="","",IFERROR(MINIFS(Tickets[Trip Start Time],Tickets[TripKey],A40),""))</f>
        <v/>
      </c>
    </row>
    <row r="41">
      <c r="B41" s="8">
        <f>IF(A41="","",IFERROR(DATEVALUE(TEXTBEFORE(A41,"|")),--LEFT(A41,10)))</f>
        <v/>
      </c>
      <c r="C41">
        <f>IF(A41="","",TEXTBEFORE(TEXTAFTER(A41,"|"),"|"))</f>
        <v/>
      </c>
      <c r="D41">
        <f>IF(A41="","",TEXTAFTER(A41,"|",2))</f>
        <v/>
      </c>
      <c r="E41">
        <f>IF(A41="","",SUMIF(Tickets[TripKey],A41,Tickets[TP]))</f>
        <v/>
      </c>
      <c r="F41">
        <f>IF(A41="","",SUMIF(Tickets[TripKey],A41,Tickets[Revenue]))</f>
        <v/>
      </c>
      <c r="G41">
        <f>IF(A41="","",SUMIF(Tickets[TripKey],A41,Tickets[PK]))</f>
        <v/>
      </c>
      <c r="H41">
        <f>IF(A41="","",IFERROR(XLOOKUP(A41,Tickets[TripKey],Tickets[VehClean]),""))</f>
        <v/>
      </c>
      <c r="I41">
        <f>IF(A41="","",IFERROR(XLOOKUP(A41,Tickets[TripKey],Tickets[RouteLen]),0))</f>
        <v/>
      </c>
      <c r="J41">
        <f>IF(A41="","",IFERROR(XLOOKUP(A41,Tickets[TripKey],Tickets[Capacity]),0))</f>
        <v/>
      </c>
      <c r="K41">
        <f>IF(A41="","",I41*J41)</f>
        <v/>
      </c>
      <c r="L41">
        <f>IF(A41="","",IFERROR(MINIFS(Tickets[Trip Start Time],Tickets[TripKey],A41),""))</f>
        <v/>
      </c>
    </row>
    <row r="42">
      <c r="B42" s="8">
        <f>IF(A42="","",IFERROR(DATEVALUE(TEXTBEFORE(A42,"|")),--LEFT(A42,10)))</f>
        <v/>
      </c>
      <c r="C42">
        <f>IF(A42="","",TEXTBEFORE(TEXTAFTER(A42,"|"),"|"))</f>
        <v/>
      </c>
      <c r="D42">
        <f>IF(A42="","",TEXTAFTER(A42,"|",2))</f>
        <v/>
      </c>
      <c r="E42">
        <f>IF(A42="","",SUMIF(Tickets[TripKey],A42,Tickets[TP]))</f>
        <v/>
      </c>
      <c r="F42">
        <f>IF(A42="","",SUMIF(Tickets[TripKey],A42,Tickets[Revenue]))</f>
        <v/>
      </c>
      <c r="G42">
        <f>IF(A42="","",SUMIF(Tickets[TripKey],A42,Tickets[PK]))</f>
        <v/>
      </c>
      <c r="H42">
        <f>IF(A42="","",IFERROR(XLOOKUP(A42,Tickets[TripKey],Tickets[VehClean]),""))</f>
        <v/>
      </c>
      <c r="I42">
        <f>IF(A42="","",IFERROR(XLOOKUP(A42,Tickets[TripKey],Tickets[RouteLen]),0))</f>
        <v/>
      </c>
      <c r="J42">
        <f>IF(A42="","",IFERROR(XLOOKUP(A42,Tickets[TripKey],Tickets[Capacity]),0))</f>
        <v/>
      </c>
      <c r="K42">
        <f>IF(A42="","",I42*J42)</f>
        <v/>
      </c>
      <c r="L42">
        <f>IF(A42="","",IFERROR(MINIFS(Tickets[Trip Start Time],Tickets[TripKey],A42),""))</f>
        <v/>
      </c>
    </row>
    <row r="43">
      <c r="B43" s="8">
        <f>IF(A43="","",IFERROR(DATEVALUE(TEXTBEFORE(A43,"|")),--LEFT(A43,10)))</f>
        <v/>
      </c>
      <c r="C43">
        <f>IF(A43="","",TEXTBEFORE(TEXTAFTER(A43,"|"),"|"))</f>
        <v/>
      </c>
      <c r="D43">
        <f>IF(A43="","",TEXTAFTER(A43,"|",2))</f>
        <v/>
      </c>
      <c r="E43">
        <f>IF(A43="","",SUMIF(Tickets[TripKey],A43,Tickets[TP]))</f>
        <v/>
      </c>
      <c r="F43">
        <f>IF(A43="","",SUMIF(Tickets[TripKey],A43,Tickets[Revenue]))</f>
        <v/>
      </c>
      <c r="G43">
        <f>IF(A43="","",SUMIF(Tickets[TripKey],A43,Tickets[PK]))</f>
        <v/>
      </c>
      <c r="H43">
        <f>IF(A43="","",IFERROR(XLOOKUP(A43,Tickets[TripKey],Tickets[VehClean]),""))</f>
        <v/>
      </c>
      <c r="I43">
        <f>IF(A43="","",IFERROR(XLOOKUP(A43,Tickets[TripKey],Tickets[RouteLen]),0))</f>
        <v/>
      </c>
      <c r="J43">
        <f>IF(A43="","",IFERROR(XLOOKUP(A43,Tickets[TripKey],Tickets[Capacity]),0))</f>
        <v/>
      </c>
      <c r="K43">
        <f>IF(A43="","",I43*J43)</f>
        <v/>
      </c>
      <c r="L43">
        <f>IF(A43="","",IFERROR(MINIFS(Tickets[Trip Start Time],Tickets[TripKey],A43),""))</f>
        <v/>
      </c>
    </row>
    <row r="44">
      <c r="B44" s="8">
        <f>IF(A44="","",IFERROR(DATEVALUE(TEXTBEFORE(A44,"|")),--LEFT(A44,10)))</f>
        <v/>
      </c>
      <c r="C44">
        <f>IF(A44="","",TEXTBEFORE(TEXTAFTER(A44,"|"),"|"))</f>
        <v/>
      </c>
      <c r="D44">
        <f>IF(A44="","",TEXTAFTER(A44,"|",2))</f>
        <v/>
      </c>
      <c r="E44">
        <f>IF(A44="","",SUMIF(Tickets[TripKey],A44,Tickets[TP]))</f>
        <v/>
      </c>
      <c r="F44">
        <f>IF(A44="","",SUMIF(Tickets[TripKey],A44,Tickets[Revenue]))</f>
        <v/>
      </c>
      <c r="G44">
        <f>IF(A44="","",SUMIF(Tickets[TripKey],A44,Tickets[PK]))</f>
        <v/>
      </c>
      <c r="H44">
        <f>IF(A44="","",IFERROR(XLOOKUP(A44,Tickets[TripKey],Tickets[VehClean]),""))</f>
        <v/>
      </c>
      <c r="I44">
        <f>IF(A44="","",IFERROR(XLOOKUP(A44,Tickets[TripKey],Tickets[RouteLen]),0))</f>
        <v/>
      </c>
      <c r="J44">
        <f>IF(A44="","",IFERROR(XLOOKUP(A44,Tickets[TripKey],Tickets[Capacity]),0))</f>
        <v/>
      </c>
      <c r="K44">
        <f>IF(A44="","",I44*J44)</f>
        <v/>
      </c>
      <c r="L44">
        <f>IF(A44="","",IFERROR(MINIFS(Tickets[Trip Start Time],Tickets[TripKey],A44),""))</f>
        <v/>
      </c>
    </row>
    <row r="45">
      <c r="B45" s="8">
        <f>IF(A45="","",IFERROR(DATEVALUE(TEXTBEFORE(A45,"|")),--LEFT(A45,10)))</f>
        <v/>
      </c>
      <c r="C45">
        <f>IF(A45="","",TEXTBEFORE(TEXTAFTER(A45,"|"),"|"))</f>
        <v/>
      </c>
      <c r="D45">
        <f>IF(A45="","",TEXTAFTER(A45,"|",2))</f>
        <v/>
      </c>
      <c r="E45">
        <f>IF(A45="","",SUMIF(Tickets[TripKey],A45,Tickets[TP]))</f>
        <v/>
      </c>
      <c r="F45">
        <f>IF(A45="","",SUMIF(Tickets[TripKey],A45,Tickets[Revenue]))</f>
        <v/>
      </c>
      <c r="G45">
        <f>IF(A45="","",SUMIF(Tickets[TripKey],A45,Tickets[PK]))</f>
        <v/>
      </c>
      <c r="H45">
        <f>IF(A45="","",IFERROR(XLOOKUP(A45,Tickets[TripKey],Tickets[VehClean]),""))</f>
        <v/>
      </c>
      <c r="I45">
        <f>IF(A45="","",IFERROR(XLOOKUP(A45,Tickets[TripKey],Tickets[RouteLen]),0))</f>
        <v/>
      </c>
      <c r="J45">
        <f>IF(A45="","",IFERROR(XLOOKUP(A45,Tickets[TripKey],Tickets[Capacity]),0))</f>
        <v/>
      </c>
      <c r="K45">
        <f>IF(A45="","",I45*J45)</f>
        <v/>
      </c>
      <c r="L45">
        <f>IF(A45="","",IFERROR(MINIFS(Tickets[Trip Start Time],Tickets[TripKey],A45),""))</f>
        <v/>
      </c>
    </row>
    <row r="46">
      <c r="B46" s="8">
        <f>IF(A46="","",IFERROR(DATEVALUE(TEXTBEFORE(A46,"|")),--LEFT(A46,10)))</f>
        <v/>
      </c>
      <c r="C46">
        <f>IF(A46="","",TEXTBEFORE(TEXTAFTER(A46,"|"),"|"))</f>
        <v/>
      </c>
      <c r="D46">
        <f>IF(A46="","",TEXTAFTER(A46,"|",2))</f>
        <v/>
      </c>
      <c r="E46">
        <f>IF(A46="","",SUMIF(Tickets[TripKey],A46,Tickets[TP]))</f>
        <v/>
      </c>
      <c r="F46">
        <f>IF(A46="","",SUMIF(Tickets[TripKey],A46,Tickets[Revenue]))</f>
        <v/>
      </c>
      <c r="G46">
        <f>IF(A46="","",SUMIF(Tickets[TripKey],A46,Tickets[PK]))</f>
        <v/>
      </c>
      <c r="H46">
        <f>IF(A46="","",IFERROR(XLOOKUP(A46,Tickets[TripKey],Tickets[VehClean]),""))</f>
        <v/>
      </c>
      <c r="I46">
        <f>IF(A46="","",IFERROR(XLOOKUP(A46,Tickets[TripKey],Tickets[RouteLen]),0))</f>
        <v/>
      </c>
      <c r="J46">
        <f>IF(A46="","",IFERROR(XLOOKUP(A46,Tickets[TripKey],Tickets[Capacity]),0))</f>
        <v/>
      </c>
      <c r="K46">
        <f>IF(A46="","",I46*J46)</f>
        <v/>
      </c>
      <c r="L46">
        <f>IF(A46="","",IFERROR(MINIFS(Tickets[Trip Start Time],Tickets[TripKey],A46),""))</f>
        <v/>
      </c>
    </row>
    <row r="47">
      <c r="B47" s="8">
        <f>IF(A47="","",IFERROR(DATEVALUE(TEXTBEFORE(A47,"|")),--LEFT(A47,10)))</f>
        <v/>
      </c>
      <c r="C47">
        <f>IF(A47="","",TEXTBEFORE(TEXTAFTER(A47,"|"),"|"))</f>
        <v/>
      </c>
      <c r="D47">
        <f>IF(A47="","",TEXTAFTER(A47,"|",2))</f>
        <v/>
      </c>
      <c r="E47">
        <f>IF(A47="","",SUMIF(Tickets[TripKey],A47,Tickets[TP]))</f>
        <v/>
      </c>
      <c r="F47">
        <f>IF(A47="","",SUMIF(Tickets[TripKey],A47,Tickets[Revenue]))</f>
        <v/>
      </c>
      <c r="G47">
        <f>IF(A47="","",SUMIF(Tickets[TripKey],A47,Tickets[PK]))</f>
        <v/>
      </c>
      <c r="H47">
        <f>IF(A47="","",IFERROR(XLOOKUP(A47,Tickets[TripKey],Tickets[VehClean]),""))</f>
        <v/>
      </c>
      <c r="I47">
        <f>IF(A47="","",IFERROR(XLOOKUP(A47,Tickets[TripKey],Tickets[RouteLen]),0))</f>
        <v/>
      </c>
      <c r="J47">
        <f>IF(A47="","",IFERROR(XLOOKUP(A47,Tickets[TripKey],Tickets[Capacity]),0))</f>
        <v/>
      </c>
      <c r="K47">
        <f>IF(A47="","",I47*J47)</f>
        <v/>
      </c>
      <c r="L47">
        <f>IF(A47="","",IFERROR(MINIFS(Tickets[Trip Start Time],Tickets[TripKey],A47),""))</f>
        <v/>
      </c>
    </row>
    <row r="48">
      <c r="B48" s="8">
        <f>IF(A48="","",IFERROR(DATEVALUE(TEXTBEFORE(A48,"|")),--LEFT(A48,10)))</f>
        <v/>
      </c>
      <c r="C48">
        <f>IF(A48="","",TEXTBEFORE(TEXTAFTER(A48,"|"),"|"))</f>
        <v/>
      </c>
      <c r="D48">
        <f>IF(A48="","",TEXTAFTER(A48,"|",2))</f>
        <v/>
      </c>
      <c r="E48">
        <f>IF(A48="","",SUMIF(Tickets[TripKey],A48,Tickets[TP]))</f>
        <v/>
      </c>
      <c r="F48">
        <f>IF(A48="","",SUMIF(Tickets[TripKey],A48,Tickets[Revenue]))</f>
        <v/>
      </c>
      <c r="G48">
        <f>IF(A48="","",SUMIF(Tickets[TripKey],A48,Tickets[PK]))</f>
        <v/>
      </c>
      <c r="H48">
        <f>IF(A48="","",IFERROR(XLOOKUP(A48,Tickets[TripKey],Tickets[VehClean]),""))</f>
        <v/>
      </c>
      <c r="I48">
        <f>IF(A48="","",IFERROR(XLOOKUP(A48,Tickets[TripKey],Tickets[RouteLen]),0))</f>
        <v/>
      </c>
      <c r="J48">
        <f>IF(A48="","",IFERROR(XLOOKUP(A48,Tickets[TripKey],Tickets[Capacity]),0))</f>
        <v/>
      </c>
      <c r="K48">
        <f>IF(A48="","",I48*J48)</f>
        <v/>
      </c>
      <c r="L48">
        <f>IF(A48="","",IFERROR(MINIFS(Tickets[Trip Start Time],Tickets[TripKey],A48),""))</f>
        <v/>
      </c>
    </row>
    <row r="49">
      <c r="B49" s="8">
        <f>IF(A49="","",IFERROR(DATEVALUE(TEXTBEFORE(A49,"|")),--LEFT(A49,10)))</f>
        <v/>
      </c>
      <c r="C49">
        <f>IF(A49="","",TEXTBEFORE(TEXTAFTER(A49,"|"),"|"))</f>
        <v/>
      </c>
      <c r="D49">
        <f>IF(A49="","",TEXTAFTER(A49,"|",2))</f>
        <v/>
      </c>
      <c r="E49">
        <f>IF(A49="","",SUMIF(Tickets[TripKey],A49,Tickets[TP]))</f>
        <v/>
      </c>
      <c r="F49">
        <f>IF(A49="","",SUMIF(Tickets[TripKey],A49,Tickets[Revenue]))</f>
        <v/>
      </c>
      <c r="G49">
        <f>IF(A49="","",SUMIF(Tickets[TripKey],A49,Tickets[PK]))</f>
        <v/>
      </c>
      <c r="H49">
        <f>IF(A49="","",IFERROR(XLOOKUP(A49,Tickets[TripKey],Tickets[VehClean]),""))</f>
        <v/>
      </c>
      <c r="I49">
        <f>IF(A49="","",IFERROR(XLOOKUP(A49,Tickets[TripKey],Tickets[RouteLen]),0))</f>
        <v/>
      </c>
      <c r="J49">
        <f>IF(A49="","",IFERROR(XLOOKUP(A49,Tickets[TripKey],Tickets[Capacity]),0))</f>
        <v/>
      </c>
      <c r="K49">
        <f>IF(A49="","",I49*J49)</f>
        <v/>
      </c>
      <c r="L49">
        <f>IF(A49="","",IFERROR(MINIFS(Tickets[Trip Start Time],Tickets[TripKey],A49),""))</f>
        <v/>
      </c>
    </row>
    <row r="50">
      <c r="B50" s="8">
        <f>IF(A50="","",IFERROR(DATEVALUE(TEXTBEFORE(A50,"|")),--LEFT(A50,10)))</f>
        <v/>
      </c>
      <c r="C50">
        <f>IF(A50="","",TEXTBEFORE(TEXTAFTER(A50,"|"),"|"))</f>
        <v/>
      </c>
      <c r="D50">
        <f>IF(A50="","",TEXTAFTER(A50,"|",2))</f>
        <v/>
      </c>
      <c r="E50">
        <f>IF(A50="","",SUMIF(Tickets[TripKey],A50,Tickets[TP]))</f>
        <v/>
      </c>
      <c r="F50">
        <f>IF(A50="","",SUMIF(Tickets[TripKey],A50,Tickets[Revenue]))</f>
        <v/>
      </c>
      <c r="G50">
        <f>IF(A50="","",SUMIF(Tickets[TripKey],A50,Tickets[PK]))</f>
        <v/>
      </c>
      <c r="H50">
        <f>IF(A50="","",IFERROR(XLOOKUP(A50,Tickets[TripKey],Tickets[VehClean]),""))</f>
        <v/>
      </c>
      <c r="I50">
        <f>IF(A50="","",IFERROR(XLOOKUP(A50,Tickets[TripKey],Tickets[RouteLen]),0))</f>
        <v/>
      </c>
      <c r="J50">
        <f>IF(A50="","",IFERROR(XLOOKUP(A50,Tickets[TripKey],Tickets[Capacity]),0))</f>
        <v/>
      </c>
      <c r="K50">
        <f>IF(A50="","",I50*J50)</f>
        <v/>
      </c>
      <c r="L50">
        <f>IF(A50="","",IFERROR(MINIFS(Tickets[Trip Start Time],Tickets[TripKey],A50),""))</f>
        <v/>
      </c>
    </row>
    <row r="51">
      <c r="B51" s="8">
        <f>IF(A51="","",IFERROR(DATEVALUE(TEXTBEFORE(A51,"|")),--LEFT(A51,10)))</f>
        <v/>
      </c>
      <c r="C51">
        <f>IF(A51="","",TEXTBEFORE(TEXTAFTER(A51,"|"),"|"))</f>
        <v/>
      </c>
      <c r="D51">
        <f>IF(A51="","",TEXTAFTER(A51,"|",2))</f>
        <v/>
      </c>
      <c r="E51">
        <f>IF(A51="","",SUMIF(Tickets[TripKey],A51,Tickets[TP]))</f>
        <v/>
      </c>
      <c r="F51">
        <f>IF(A51="","",SUMIF(Tickets[TripKey],A51,Tickets[Revenue]))</f>
        <v/>
      </c>
      <c r="G51">
        <f>IF(A51="","",SUMIF(Tickets[TripKey],A51,Tickets[PK]))</f>
        <v/>
      </c>
      <c r="H51">
        <f>IF(A51="","",IFERROR(XLOOKUP(A51,Tickets[TripKey],Tickets[VehClean]),""))</f>
        <v/>
      </c>
      <c r="I51">
        <f>IF(A51="","",IFERROR(XLOOKUP(A51,Tickets[TripKey],Tickets[RouteLen]),0))</f>
        <v/>
      </c>
      <c r="J51">
        <f>IF(A51="","",IFERROR(XLOOKUP(A51,Tickets[TripKey],Tickets[Capacity]),0))</f>
        <v/>
      </c>
      <c r="K51">
        <f>IF(A51="","",I51*J51)</f>
        <v/>
      </c>
      <c r="L51">
        <f>IF(A51="","",IFERROR(MINIFS(Tickets[Trip Start Time],Tickets[TripKey],A51),""))</f>
        <v/>
      </c>
    </row>
    <row r="52">
      <c r="B52" s="8">
        <f>IF(A52="","",IFERROR(DATEVALUE(TEXTBEFORE(A52,"|")),--LEFT(A52,10)))</f>
        <v/>
      </c>
      <c r="C52">
        <f>IF(A52="","",TEXTBEFORE(TEXTAFTER(A52,"|"),"|"))</f>
        <v/>
      </c>
      <c r="D52">
        <f>IF(A52="","",TEXTAFTER(A52,"|",2))</f>
        <v/>
      </c>
      <c r="E52">
        <f>IF(A52="","",SUMIF(Tickets[TripKey],A52,Tickets[TP]))</f>
        <v/>
      </c>
      <c r="F52">
        <f>IF(A52="","",SUMIF(Tickets[TripKey],A52,Tickets[Revenue]))</f>
        <v/>
      </c>
      <c r="G52">
        <f>IF(A52="","",SUMIF(Tickets[TripKey],A52,Tickets[PK]))</f>
        <v/>
      </c>
      <c r="H52">
        <f>IF(A52="","",IFERROR(XLOOKUP(A52,Tickets[TripKey],Tickets[VehClean]),""))</f>
        <v/>
      </c>
      <c r="I52">
        <f>IF(A52="","",IFERROR(XLOOKUP(A52,Tickets[TripKey],Tickets[RouteLen]),0))</f>
        <v/>
      </c>
      <c r="J52">
        <f>IF(A52="","",IFERROR(XLOOKUP(A52,Tickets[TripKey],Tickets[Capacity]),0))</f>
        <v/>
      </c>
      <c r="K52">
        <f>IF(A52="","",I52*J52)</f>
        <v/>
      </c>
      <c r="L52">
        <f>IF(A52="","",IFERROR(MINIFS(Tickets[Trip Start Time],Tickets[TripKey],A52),""))</f>
        <v/>
      </c>
    </row>
    <row r="53">
      <c r="B53" s="8">
        <f>IF(A53="","",IFERROR(DATEVALUE(TEXTBEFORE(A53,"|")),--LEFT(A53,10)))</f>
        <v/>
      </c>
      <c r="C53">
        <f>IF(A53="","",TEXTBEFORE(TEXTAFTER(A53,"|"),"|"))</f>
        <v/>
      </c>
      <c r="D53">
        <f>IF(A53="","",TEXTAFTER(A53,"|",2))</f>
        <v/>
      </c>
      <c r="E53">
        <f>IF(A53="","",SUMIF(Tickets[TripKey],A53,Tickets[TP]))</f>
        <v/>
      </c>
      <c r="F53">
        <f>IF(A53="","",SUMIF(Tickets[TripKey],A53,Tickets[Revenue]))</f>
        <v/>
      </c>
      <c r="G53">
        <f>IF(A53="","",SUMIF(Tickets[TripKey],A53,Tickets[PK]))</f>
        <v/>
      </c>
      <c r="H53">
        <f>IF(A53="","",IFERROR(XLOOKUP(A53,Tickets[TripKey],Tickets[VehClean]),""))</f>
        <v/>
      </c>
      <c r="I53">
        <f>IF(A53="","",IFERROR(XLOOKUP(A53,Tickets[TripKey],Tickets[RouteLen]),0))</f>
        <v/>
      </c>
      <c r="J53">
        <f>IF(A53="","",IFERROR(XLOOKUP(A53,Tickets[TripKey],Tickets[Capacity]),0))</f>
        <v/>
      </c>
      <c r="K53">
        <f>IF(A53="","",I53*J53)</f>
        <v/>
      </c>
      <c r="L53">
        <f>IF(A53="","",IFERROR(MINIFS(Tickets[Trip Start Time],Tickets[TripKey],A53),""))</f>
        <v/>
      </c>
    </row>
    <row r="54">
      <c r="B54" s="8">
        <f>IF(A54="","",IFERROR(DATEVALUE(TEXTBEFORE(A54,"|")),--LEFT(A54,10)))</f>
        <v/>
      </c>
      <c r="C54">
        <f>IF(A54="","",TEXTBEFORE(TEXTAFTER(A54,"|"),"|"))</f>
        <v/>
      </c>
      <c r="D54">
        <f>IF(A54="","",TEXTAFTER(A54,"|",2))</f>
        <v/>
      </c>
      <c r="E54">
        <f>IF(A54="","",SUMIF(Tickets[TripKey],A54,Tickets[TP]))</f>
        <v/>
      </c>
      <c r="F54">
        <f>IF(A54="","",SUMIF(Tickets[TripKey],A54,Tickets[Revenue]))</f>
        <v/>
      </c>
      <c r="G54">
        <f>IF(A54="","",SUMIF(Tickets[TripKey],A54,Tickets[PK]))</f>
        <v/>
      </c>
      <c r="H54">
        <f>IF(A54="","",IFERROR(XLOOKUP(A54,Tickets[TripKey],Tickets[VehClean]),""))</f>
        <v/>
      </c>
      <c r="I54">
        <f>IF(A54="","",IFERROR(XLOOKUP(A54,Tickets[TripKey],Tickets[RouteLen]),0))</f>
        <v/>
      </c>
      <c r="J54">
        <f>IF(A54="","",IFERROR(XLOOKUP(A54,Tickets[TripKey],Tickets[Capacity]),0))</f>
        <v/>
      </c>
      <c r="K54">
        <f>IF(A54="","",I54*J54)</f>
        <v/>
      </c>
      <c r="L54">
        <f>IF(A54="","",IFERROR(MINIFS(Tickets[Trip Start Time],Tickets[TripKey],A54),""))</f>
        <v/>
      </c>
    </row>
    <row r="55">
      <c r="B55" s="8">
        <f>IF(A55="","",IFERROR(DATEVALUE(TEXTBEFORE(A55,"|")),--LEFT(A55,10)))</f>
        <v/>
      </c>
      <c r="C55">
        <f>IF(A55="","",TEXTBEFORE(TEXTAFTER(A55,"|"),"|"))</f>
        <v/>
      </c>
      <c r="D55">
        <f>IF(A55="","",TEXTAFTER(A55,"|",2))</f>
        <v/>
      </c>
      <c r="E55">
        <f>IF(A55="","",SUMIF(Tickets[TripKey],A55,Tickets[TP]))</f>
        <v/>
      </c>
      <c r="F55">
        <f>IF(A55="","",SUMIF(Tickets[TripKey],A55,Tickets[Revenue]))</f>
        <v/>
      </c>
      <c r="G55">
        <f>IF(A55="","",SUMIF(Tickets[TripKey],A55,Tickets[PK]))</f>
        <v/>
      </c>
      <c r="H55">
        <f>IF(A55="","",IFERROR(XLOOKUP(A55,Tickets[TripKey],Tickets[VehClean]),""))</f>
        <v/>
      </c>
      <c r="I55">
        <f>IF(A55="","",IFERROR(XLOOKUP(A55,Tickets[TripKey],Tickets[RouteLen]),0))</f>
        <v/>
      </c>
      <c r="J55">
        <f>IF(A55="","",IFERROR(XLOOKUP(A55,Tickets[TripKey],Tickets[Capacity]),0))</f>
        <v/>
      </c>
      <c r="K55">
        <f>IF(A55="","",I55*J55)</f>
        <v/>
      </c>
      <c r="L55">
        <f>IF(A55="","",IFERROR(MINIFS(Tickets[Trip Start Time],Tickets[TripKey],A55),""))</f>
        <v/>
      </c>
    </row>
    <row r="56">
      <c r="B56" s="8">
        <f>IF(A56="","",IFERROR(DATEVALUE(TEXTBEFORE(A56,"|")),--LEFT(A56,10)))</f>
        <v/>
      </c>
      <c r="C56">
        <f>IF(A56="","",TEXTBEFORE(TEXTAFTER(A56,"|"),"|"))</f>
        <v/>
      </c>
      <c r="D56">
        <f>IF(A56="","",TEXTAFTER(A56,"|",2))</f>
        <v/>
      </c>
      <c r="E56">
        <f>IF(A56="","",SUMIF(Tickets[TripKey],A56,Tickets[TP]))</f>
        <v/>
      </c>
      <c r="F56">
        <f>IF(A56="","",SUMIF(Tickets[TripKey],A56,Tickets[Revenue]))</f>
        <v/>
      </c>
      <c r="G56">
        <f>IF(A56="","",SUMIF(Tickets[TripKey],A56,Tickets[PK]))</f>
        <v/>
      </c>
      <c r="H56">
        <f>IF(A56="","",IFERROR(XLOOKUP(A56,Tickets[TripKey],Tickets[VehClean]),""))</f>
        <v/>
      </c>
      <c r="I56">
        <f>IF(A56="","",IFERROR(XLOOKUP(A56,Tickets[TripKey],Tickets[RouteLen]),0))</f>
        <v/>
      </c>
      <c r="J56">
        <f>IF(A56="","",IFERROR(XLOOKUP(A56,Tickets[TripKey],Tickets[Capacity]),0))</f>
        <v/>
      </c>
      <c r="K56">
        <f>IF(A56="","",I56*J56)</f>
        <v/>
      </c>
      <c r="L56">
        <f>IF(A56="","",IFERROR(MINIFS(Tickets[Trip Start Time],Tickets[TripKey],A56),""))</f>
        <v/>
      </c>
    </row>
    <row r="57">
      <c r="B57" s="8">
        <f>IF(A57="","",IFERROR(DATEVALUE(TEXTBEFORE(A57,"|")),--LEFT(A57,10)))</f>
        <v/>
      </c>
      <c r="C57">
        <f>IF(A57="","",TEXTBEFORE(TEXTAFTER(A57,"|"),"|"))</f>
        <v/>
      </c>
      <c r="D57">
        <f>IF(A57="","",TEXTAFTER(A57,"|",2))</f>
        <v/>
      </c>
      <c r="E57">
        <f>IF(A57="","",SUMIF(Tickets[TripKey],A57,Tickets[TP]))</f>
        <v/>
      </c>
      <c r="F57">
        <f>IF(A57="","",SUMIF(Tickets[TripKey],A57,Tickets[Revenue]))</f>
        <v/>
      </c>
      <c r="G57">
        <f>IF(A57="","",SUMIF(Tickets[TripKey],A57,Tickets[PK]))</f>
        <v/>
      </c>
      <c r="H57">
        <f>IF(A57="","",IFERROR(XLOOKUP(A57,Tickets[TripKey],Tickets[VehClean]),""))</f>
        <v/>
      </c>
      <c r="I57">
        <f>IF(A57="","",IFERROR(XLOOKUP(A57,Tickets[TripKey],Tickets[RouteLen]),0))</f>
        <v/>
      </c>
      <c r="J57">
        <f>IF(A57="","",IFERROR(XLOOKUP(A57,Tickets[TripKey],Tickets[Capacity]),0))</f>
        <v/>
      </c>
      <c r="K57">
        <f>IF(A57="","",I57*J57)</f>
        <v/>
      </c>
      <c r="L57">
        <f>IF(A57="","",IFERROR(MINIFS(Tickets[Trip Start Time],Tickets[TripKey],A57),""))</f>
        <v/>
      </c>
    </row>
    <row r="58">
      <c r="B58" s="8">
        <f>IF(A58="","",IFERROR(DATEVALUE(TEXTBEFORE(A58,"|")),--LEFT(A58,10)))</f>
        <v/>
      </c>
      <c r="C58">
        <f>IF(A58="","",TEXTBEFORE(TEXTAFTER(A58,"|"),"|"))</f>
        <v/>
      </c>
      <c r="D58">
        <f>IF(A58="","",TEXTAFTER(A58,"|",2))</f>
        <v/>
      </c>
      <c r="E58">
        <f>IF(A58="","",SUMIF(Tickets[TripKey],A58,Tickets[TP]))</f>
        <v/>
      </c>
      <c r="F58">
        <f>IF(A58="","",SUMIF(Tickets[TripKey],A58,Tickets[Revenue]))</f>
        <v/>
      </c>
      <c r="G58">
        <f>IF(A58="","",SUMIF(Tickets[TripKey],A58,Tickets[PK]))</f>
        <v/>
      </c>
      <c r="H58">
        <f>IF(A58="","",IFERROR(XLOOKUP(A58,Tickets[TripKey],Tickets[VehClean]),""))</f>
        <v/>
      </c>
      <c r="I58">
        <f>IF(A58="","",IFERROR(XLOOKUP(A58,Tickets[TripKey],Tickets[RouteLen]),0))</f>
        <v/>
      </c>
      <c r="J58">
        <f>IF(A58="","",IFERROR(XLOOKUP(A58,Tickets[TripKey],Tickets[Capacity]),0))</f>
        <v/>
      </c>
      <c r="K58">
        <f>IF(A58="","",I58*J58)</f>
        <v/>
      </c>
      <c r="L58">
        <f>IF(A58="","",IFERROR(MINIFS(Tickets[Trip Start Time],Tickets[TripKey],A58),""))</f>
        <v/>
      </c>
    </row>
    <row r="59">
      <c r="B59" s="8">
        <f>IF(A59="","",IFERROR(DATEVALUE(TEXTBEFORE(A59,"|")),--LEFT(A59,10)))</f>
        <v/>
      </c>
      <c r="C59">
        <f>IF(A59="","",TEXTBEFORE(TEXTAFTER(A59,"|"),"|"))</f>
        <v/>
      </c>
      <c r="D59">
        <f>IF(A59="","",TEXTAFTER(A59,"|",2))</f>
        <v/>
      </c>
      <c r="E59">
        <f>IF(A59="","",SUMIF(Tickets[TripKey],A59,Tickets[TP]))</f>
        <v/>
      </c>
      <c r="F59">
        <f>IF(A59="","",SUMIF(Tickets[TripKey],A59,Tickets[Revenue]))</f>
        <v/>
      </c>
      <c r="G59">
        <f>IF(A59="","",SUMIF(Tickets[TripKey],A59,Tickets[PK]))</f>
        <v/>
      </c>
      <c r="H59">
        <f>IF(A59="","",IFERROR(XLOOKUP(A59,Tickets[TripKey],Tickets[VehClean]),""))</f>
        <v/>
      </c>
      <c r="I59">
        <f>IF(A59="","",IFERROR(XLOOKUP(A59,Tickets[TripKey],Tickets[RouteLen]),0))</f>
        <v/>
      </c>
      <c r="J59">
        <f>IF(A59="","",IFERROR(XLOOKUP(A59,Tickets[TripKey],Tickets[Capacity]),0))</f>
        <v/>
      </c>
      <c r="K59">
        <f>IF(A59="","",I59*J59)</f>
        <v/>
      </c>
      <c r="L59">
        <f>IF(A59="","",IFERROR(MINIFS(Tickets[Trip Start Time],Tickets[TripKey],A59),""))</f>
        <v/>
      </c>
    </row>
    <row r="60">
      <c r="B60" s="8">
        <f>IF(A60="","",IFERROR(DATEVALUE(TEXTBEFORE(A60,"|")),--LEFT(A60,10)))</f>
        <v/>
      </c>
      <c r="C60">
        <f>IF(A60="","",TEXTBEFORE(TEXTAFTER(A60,"|"),"|"))</f>
        <v/>
      </c>
      <c r="D60">
        <f>IF(A60="","",TEXTAFTER(A60,"|",2))</f>
        <v/>
      </c>
      <c r="E60">
        <f>IF(A60="","",SUMIF(Tickets[TripKey],A60,Tickets[TP]))</f>
        <v/>
      </c>
      <c r="F60">
        <f>IF(A60="","",SUMIF(Tickets[TripKey],A60,Tickets[Revenue]))</f>
        <v/>
      </c>
      <c r="G60">
        <f>IF(A60="","",SUMIF(Tickets[TripKey],A60,Tickets[PK]))</f>
        <v/>
      </c>
      <c r="H60">
        <f>IF(A60="","",IFERROR(XLOOKUP(A60,Tickets[TripKey],Tickets[VehClean]),""))</f>
        <v/>
      </c>
      <c r="I60">
        <f>IF(A60="","",IFERROR(XLOOKUP(A60,Tickets[TripKey],Tickets[RouteLen]),0))</f>
        <v/>
      </c>
      <c r="J60">
        <f>IF(A60="","",IFERROR(XLOOKUP(A60,Tickets[TripKey],Tickets[Capacity]),0))</f>
        <v/>
      </c>
      <c r="K60">
        <f>IF(A60="","",I60*J60)</f>
        <v/>
      </c>
      <c r="L60">
        <f>IF(A60="","",IFERROR(MINIFS(Tickets[Trip Start Time],Tickets[TripKey],A60),""))</f>
        <v/>
      </c>
    </row>
    <row r="61">
      <c r="B61" s="8">
        <f>IF(A61="","",IFERROR(DATEVALUE(TEXTBEFORE(A61,"|")),--LEFT(A61,10)))</f>
        <v/>
      </c>
      <c r="C61">
        <f>IF(A61="","",TEXTBEFORE(TEXTAFTER(A61,"|"),"|"))</f>
        <v/>
      </c>
      <c r="D61">
        <f>IF(A61="","",TEXTAFTER(A61,"|",2))</f>
        <v/>
      </c>
      <c r="E61">
        <f>IF(A61="","",SUMIF(Tickets[TripKey],A61,Tickets[TP]))</f>
        <v/>
      </c>
      <c r="F61">
        <f>IF(A61="","",SUMIF(Tickets[TripKey],A61,Tickets[Revenue]))</f>
        <v/>
      </c>
      <c r="G61">
        <f>IF(A61="","",SUMIF(Tickets[TripKey],A61,Tickets[PK]))</f>
        <v/>
      </c>
      <c r="H61">
        <f>IF(A61="","",IFERROR(XLOOKUP(A61,Tickets[TripKey],Tickets[VehClean]),""))</f>
        <v/>
      </c>
      <c r="I61">
        <f>IF(A61="","",IFERROR(XLOOKUP(A61,Tickets[TripKey],Tickets[RouteLen]),0))</f>
        <v/>
      </c>
      <c r="J61">
        <f>IF(A61="","",IFERROR(XLOOKUP(A61,Tickets[TripKey],Tickets[Capacity]),0))</f>
        <v/>
      </c>
      <c r="K61">
        <f>IF(A61="","",I61*J61)</f>
        <v/>
      </c>
      <c r="L61">
        <f>IF(A61="","",IFERROR(MINIFS(Tickets[Trip Start Time],Tickets[TripKey],A61),""))</f>
        <v/>
      </c>
    </row>
    <row r="62">
      <c r="B62" s="8">
        <f>IF(A62="","",IFERROR(DATEVALUE(TEXTBEFORE(A62,"|")),--LEFT(A62,10)))</f>
        <v/>
      </c>
      <c r="C62">
        <f>IF(A62="","",TEXTBEFORE(TEXTAFTER(A62,"|"),"|"))</f>
        <v/>
      </c>
      <c r="D62">
        <f>IF(A62="","",TEXTAFTER(A62,"|",2))</f>
        <v/>
      </c>
      <c r="E62">
        <f>IF(A62="","",SUMIF(Tickets[TripKey],A62,Tickets[TP]))</f>
        <v/>
      </c>
      <c r="F62">
        <f>IF(A62="","",SUMIF(Tickets[TripKey],A62,Tickets[Revenue]))</f>
        <v/>
      </c>
      <c r="G62">
        <f>IF(A62="","",SUMIF(Tickets[TripKey],A62,Tickets[PK]))</f>
        <v/>
      </c>
      <c r="H62">
        <f>IF(A62="","",IFERROR(XLOOKUP(A62,Tickets[TripKey],Tickets[VehClean]),""))</f>
        <v/>
      </c>
      <c r="I62">
        <f>IF(A62="","",IFERROR(XLOOKUP(A62,Tickets[TripKey],Tickets[RouteLen]),0))</f>
        <v/>
      </c>
      <c r="J62">
        <f>IF(A62="","",IFERROR(XLOOKUP(A62,Tickets[TripKey],Tickets[Capacity]),0))</f>
        <v/>
      </c>
      <c r="K62">
        <f>IF(A62="","",I62*J62)</f>
        <v/>
      </c>
      <c r="L62">
        <f>IF(A62="","",IFERROR(MINIFS(Tickets[Trip Start Time],Tickets[TripKey],A62),""))</f>
        <v/>
      </c>
    </row>
    <row r="63">
      <c r="B63" s="8">
        <f>IF(A63="","",IFERROR(DATEVALUE(TEXTBEFORE(A63,"|")),--LEFT(A63,10)))</f>
        <v/>
      </c>
      <c r="C63">
        <f>IF(A63="","",TEXTBEFORE(TEXTAFTER(A63,"|"),"|"))</f>
        <v/>
      </c>
      <c r="D63">
        <f>IF(A63="","",TEXTAFTER(A63,"|",2))</f>
        <v/>
      </c>
      <c r="E63">
        <f>IF(A63="","",SUMIF(Tickets[TripKey],A63,Tickets[TP]))</f>
        <v/>
      </c>
      <c r="F63">
        <f>IF(A63="","",SUMIF(Tickets[TripKey],A63,Tickets[Revenue]))</f>
        <v/>
      </c>
      <c r="G63">
        <f>IF(A63="","",SUMIF(Tickets[TripKey],A63,Tickets[PK]))</f>
        <v/>
      </c>
      <c r="H63">
        <f>IF(A63="","",IFERROR(XLOOKUP(A63,Tickets[TripKey],Tickets[VehClean]),""))</f>
        <v/>
      </c>
      <c r="I63">
        <f>IF(A63="","",IFERROR(XLOOKUP(A63,Tickets[TripKey],Tickets[RouteLen]),0))</f>
        <v/>
      </c>
      <c r="J63">
        <f>IF(A63="","",IFERROR(XLOOKUP(A63,Tickets[TripKey],Tickets[Capacity]),0))</f>
        <v/>
      </c>
      <c r="K63">
        <f>IF(A63="","",I63*J63)</f>
        <v/>
      </c>
      <c r="L63">
        <f>IF(A63="","",IFERROR(MINIFS(Tickets[Trip Start Time],Tickets[TripKey],A63),""))</f>
        <v/>
      </c>
    </row>
    <row r="64">
      <c r="B64" s="8">
        <f>IF(A64="","",IFERROR(DATEVALUE(TEXTBEFORE(A64,"|")),--LEFT(A64,10)))</f>
        <v/>
      </c>
      <c r="C64">
        <f>IF(A64="","",TEXTBEFORE(TEXTAFTER(A64,"|"),"|"))</f>
        <v/>
      </c>
      <c r="D64">
        <f>IF(A64="","",TEXTAFTER(A64,"|",2))</f>
        <v/>
      </c>
      <c r="E64">
        <f>IF(A64="","",SUMIF(Tickets[TripKey],A64,Tickets[TP]))</f>
        <v/>
      </c>
      <c r="F64">
        <f>IF(A64="","",SUMIF(Tickets[TripKey],A64,Tickets[Revenue]))</f>
        <v/>
      </c>
      <c r="G64">
        <f>IF(A64="","",SUMIF(Tickets[TripKey],A64,Tickets[PK]))</f>
        <v/>
      </c>
      <c r="H64">
        <f>IF(A64="","",IFERROR(XLOOKUP(A64,Tickets[TripKey],Tickets[VehClean]),""))</f>
        <v/>
      </c>
      <c r="I64">
        <f>IF(A64="","",IFERROR(XLOOKUP(A64,Tickets[TripKey],Tickets[RouteLen]),0))</f>
        <v/>
      </c>
      <c r="J64">
        <f>IF(A64="","",IFERROR(XLOOKUP(A64,Tickets[TripKey],Tickets[Capacity]),0))</f>
        <v/>
      </c>
      <c r="K64">
        <f>IF(A64="","",I64*J64)</f>
        <v/>
      </c>
      <c r="L64">
        <f>IF(A64="","",IFERROR(MINIFS(Tickets[Trip Start Time],Tickets[TripKey],A64),""))</f>
        <v/>
      </c>
    </row>
    <row r="65">
      <c r="B65" s="8">
        <f>IF(A65="","",IFERROR(DATEVALUE(TEXTBEFORE(A65,"|")),--LEFT(A65,10)))</f>
        <v/>
      </c>
      <c r="C65">
        <f>IF(A65="","",TEXTBEFORE(TEXTAFTER(A65,"|"),"|"))</f>
        <v/>
      </c>
      <c r="D65">
        <f>IF(A65="","",TEXTAFTER(A65,"|",2))</f>
        <v/>
      </c>
      <c r="E65">
        <f>IF(A65="","",SUMIF(Tickets[TripKey],A65,Tickets[TP]))</f>
        <v/>
      </c>
      <c r="F65">
        <f>IF(A65="","",SUMIF(Tickets[TripKey],A65,Tickets[Revenue]))</f>
        <v/>
      </c>
      <c r="G65">
        <f>IF(A65="","",SUMIF(Tickets[TripKey],A65,Tickets[PK]))</f>
        <v/>
      </c>
      <c r="H65">
        <f>IF(A65="","",IFERROR(XLOOKUP(A65,Tickets[TripKey],Tickets[VehClean]),""))</f>
        <v/>
      </c>
      <c r="I65">
        <f>IF(A65="","",IFERROR(XLOOKUP(A65,Tickets[TripKey],Tickets[RouteLen]),0))</f>
        <v/>
      </c>
      <c r="J65">
        <f>IF(A65="","",IFERROR(XLOOKUP(A65,Tickets[TripKey],Tickets[Capacity]),0))</f>
        <v/>
      </c>
      <c r="K65">
        <f>IF(A65="","",I65*J65)</f>
        <v/>
      </c>
      <c r="L65">
        <f>IF(A65="","",IFERROR(MINIFS(Tickets[Trip Start Time],Tickets[TripKey],A65),""))</f>
        <v/>
      </c>
    </row>
    <row r="66">
      <c r="B66" s="8">
        <f>IF(A66="","",IFERROR(DATEVALUE(TEXTBEFORE(A66,"|")),--LEFT(A66,10)))</f>
        <v/>
      </c>
      <c r="C66">
        <f>IF(A66="","",TEXTBEFORE(TEXTAFTER(A66,"|"),"|"))</f>
        <v/>
      </c>
      <c r="D66">
        <f>IF(A66="","",TEXTAFTER(A66,"|",2))</f>
        <v/>
      </c>
      <c r="E66">
        <f>IF(A66="","",SUMIF(Tickets[TripKey],A66,Tickets[TP]))</f>
        <v/>
      </c>
      <c r="F66">
        <f>IF(A66="","",SUMIF(Tickets[TripKey],A66,Tickets[Revenue]))</f>
        <v/>
      </c>
      <c r="G66">
        <f>IF(A66="","",SUMIF(Tickets[TripKey],A66,Tickets[PK]))</f>
        <v/>
      </c>
      <c r="H66">
        <f>IF(A66="","",IFERROR(XLOOKUP(A66,Tickets[TripKey],Tickets[VehClean]),""))</f>
        <v/>
      </c>
      <c r="I66">
        <f>IF(A66="","",IFERROR(XLOOKUP(A66,Tickets[TripKey],Tickets[RouteLen]),0))</f>
        <v/>
      </c>
      <c r="J66">
        <f>IF(A66="","",IFERROR(XLOOKUP(A66,Tickets[TripKey],Tickets[Capacity]),0))</f>
        <v/>
      </c>
      <c r="K66">
        <f>IF(A66="","",I66*J66)</f>
        <v/>
      </c>
      <c r="L66">
        <f>IF(A66="","",IFERROR(MINIFS(Tickets[Trip Start Time],Tickets[TripKey],A66),""))</f>
        <v/>
      </c>
    </row>
    <row r="67">
      <c r="B67" s="8">
        <f>IF(A67="","",IFERROR(DATEVALUE(TEXTBEFORE(A67,"|")),--LEFT(A67,10)))</f>
        <v/>
      </c>
      <c r="C67">
        <f>IF(A67="","",TEXTBEFORE(TEXTAFTER(A67,"|"),"|"))</f>
        <v/>
      </c>
      <c r="D67">
        <f>IF(A67="","",TEXTAFTER(A67,"|",2))</f>
        <v/>
      </c>
      <c r="E67">
        <f>IF(A67="","",SUMIF(Tickets[TripKey],A67,Tickets[TP]))</f>
        <v/>
      </c>
      <c r="F67">
        <f>IF(A67="","",SUMIF(Tickets[TripKey],A67,Tickets[Revenue]))</f>
        <v/>
      </c>
      <c r="G67">
        <f>IF(A67="","",SUMIF(Tickets[TripKey],A67,Tickets[PK]))</f>
        <v/>
      </c>
      <c r="H67">
        <f>IF(A67="","",IFERROR(XLOOKUP(A67,Tickets[TripKey],Tickets[VehClean]),""))</f>
        <v/>
      </c>
      <c r="I67">
        <f>IF(A67="","",IFERROR(XLOOKUP(A67,Tickets[TripKey],Tickets[RouteLen]),0))</f>
        <v/>
      </c>
      <c r="J67">
        <f>IF(A67="","",IFERROR(XLOOKUP(A67,Tickets[TripKey],Tickets[Capacity]),0))</f>
        <v/>
      </c>
      <c r="K67">
        <f>IF(A67="","",I67*J67)</f>
        <v/>
      </c>
      <c r="L67">
        <f>IF(A67="","",IFERROR(MINIFS(Tickets[Trip Start Time],Tickets[TripKey],A67),""))</f>
        <v/>
      </c>
    </row>
    <row r="68">
      <c r="B68" s="8">
        <f>IF(A68="","",IFERROR(DATEVALUE(TEXTBEFORE(A68,"|")),--LEFT(A68,10)))</f>
        <v/>
      </c>
      <c r="C68">
        <f>IF(A68="","",TEXTBEFORE(TEXTAFTER(A68,"|"),"|"))</f>
        <v/>
      </c>
      <c r="D68">
        <f>IF(A68="","",TEXTAFTER(A68,"|",2))</f>
        <v/>
      </c>
      <c r="E68">
        <f>IF(A68="","",SUMIF(Tickets[TripKey],A68,Tickets[TP]))</f>
        <v/>
      </c>
      <c r="F68">
        <f>IF(A68="","",SUMIF(Tickets[TripKey],A68,Tickets[Revenue]))</f>
        <v/>
      </c>
      <c r="G68">
        <f>IF(A68="","",SUMIF(Tickets[TripKey],A68,Tickets[PK]))</f>
        <v/>
      </c>
      <c r="H68">
        <f>IF(A68="","",IFERROR(XLOOKUP(A68,Tickets[TripKey],Tickets[VehClean]),""))</f>
        <v/>
      </c>
      <c r="I68">
        <f>IF(A68="","",IFERROR(XLOOKUP(A68,Tickets[TripKey],Tickets[RouteLen]),0))</f>
        <v/>
      </c>
      <c r="J68">
        <f>IF(A68="","",IFERROR(XLOOKUP(A68,Tickets[TripKey],Tickets[Capacity]),0))</f>
        <v/>
      </c>
      <c r="K68">
        <f>IF(A68="","",I68*J68)</f>
        <v/>
      </c>
      <c r="L68">
        <f>IF(A68="","",IFERROR(MINIFS(Tickets[Trip Start Time],Tickets[TripKey],A68),""))</f>
        <v/>
      </c>
    </row>
    <row r="69">
      <c r="B69" s="8">
        <f>IF(A69="","",IFERROR(DATEVALUE(TEXTBEFORE(A69,"|")),--LEFT(A69,10)))</f>
        <v/>
      </c>
      <c r="C69">
        <f>IF(A69="","",TEXTBEFORE(TEXTAFTER(A69,"|"),"|"))</f>
        <v/>
      </c>
      <c r="D69">
        <f>IF(A69="","",TEXTAFTER(A69,"|",2))</f>
        <v/>
      </c>
      <c r="E69">
        <f>IF(A69="","",SUMIF(Tickets[TripKey],A69,Tickets[TP]))</f>
        <v/>
      </c>
      <c r="F69">
        <f>IF(A69="","",SUMIF(Tickets[TripKey],A69,Tickets[Revenue]))</f>
        <v/>
      </c>
      <c r="G69">
        <f>IF(A69="","",SUMIF(Tickets[TripKey],A69,Tickets[PK]))</f>
        <v/>
      </c>
      <c r="H69">
        <f>IF(A69="","",IFERROR(XLOOKUP(A69,Tickets[TripKey],Tickets[VehClean]),""))</f>
        <v/>
      </c>
      <c r="I69">
        <f>IF(A69="","",IFERROR(XLOOKUP(A69,Tickets[TripKey],Tickets[RouteLen]),0))</f>
        <v/>
      </c>
      <c r="J69">
        <f>IF(A69="","",IFERROR(XLOOKUP(A69,Tickets[TripKey],Tickets[Capacity]),0))</f>
        <v/>
      </c>
      <c r="K69">
        <f>IF(A69="","",I69*J69)</f>
        <v/>
      </c>
      <c r="L69">
        <f>IF(A69="","",IFERROR(MINIFS(Tickets[Trip Start Time],Tickets[TripKey],A69),""))</f>
        <v/>
      </c>
    </row>
    <row r="70">
      <c r="B70" s="8">
        <f>IF(A70="","",IFERROR(DATEVALUE(TEXTBEFORE(A70,"|")),--LEFT(A70,10)))</f>
        <v/>
      </c>
      <c r="C70">
        <f>IF(A70="","",TEXTBEFORE(TEXTAFTER(A70,"|"),"|"))</f>
        <v/>
      </c>
      <c r="D70">
        <f>IF(A70="","",TEXTAFTER(A70,"|",2))</f>
        <v/>
      </c>
      <c r="E70">
        <f>IF(A70="","",SUMIF(Tickets[TripKey],A70,Tickets[TP]))</f>
        <v/>
      </c>
      <c r="F70">
        <f>IF(A70="","",SUMIF(Tickets[TripKey],A70,Tickets[Revenue]))</f>
        <v/>
      </c>
      <c r="G70">
        <f>IF(A70="","",SUMIF(Tickets[TripKey],A70,Tickets[PK]))</f>
        <v/>
      </c>
      <c r="H70">
        <f>IF(A70="","",IFERROR(XLOOKUP(A70,Tickets[TripKey],Tickets[VehClean]),""))</f>
        <v/>
      </c>
      <c r="I70">
        <f>IF(A70="","",IFERROR(XLOOKUP(A70,Tickets[TripKey],Tickets[RouteLen]),0))</f>
        <v/>
      </c>
      <c r="J70">
        <f>IF(A70="","",IFERROR(XLOOKUP(A70,Tickets[TripKey],Tickets[Capacity]),0))</f>
        <v/>
      </c>
      <c r="K70">
        <f>IF(A70="","",I70*J70)</f>
        <v/>
      </c>
      <c r="L70">
        <f>IF(A70="","",IFERROR(MINIFS(Tickets[Trip Start Time],Tickets[TripKey],A70),""))</f>
        <v/>
      </c>
    </row>
    <row r="71">
      <c r="B71" s="8">
        <f>IF(A71="","",IFERROR(DATEVALUE(TEXTBEFORE(A71,"|")),--LEFT(A71,10)))</f>
        <v/>
      </c>
      <c r="C71">
        <f>IF(A71="","",TEXTBEFORE(TEXTAFTER(A71,"|"),"|"))</f>
        <v/>
      </c>
      <c r="D71">
        <f>IF(A71="","",TEXTAFTER(A71,"|",2))</f>
        <v/>
      </c>
      <c r="E71">
        <f>IF(A71="","",SUMIF(Tickets[TripKey],A71,Tickets[TP]))</f>
        <v/>
      </c>
      <c r="F71">
        <f>IF(A71="","",SUMIF(Tickets[TripKey],A71,Tickets[Revenue]))</f>
        <v/>
      </c>
      <c r="G71">
        <f>IF(A71="","",SUMIF(Tickets[TripKey],A71,Tickets[PK]))</f>
        <v/>
      </c>
      <c r="H71">
        <f>IF(A71="","",IFERROR(XLOOKUP(A71,Tickets[TripKey],Tickets[VehClean]),""))</f>
        <v/>
      </c>
      <c r="I71">
        <f>IF(A71="","",IFERROR(XLOOKUP(A71,Tickets[TripKey],Tickets[RouteLen]),0))</f>
        <v/>
      </c>
      <c r="J71">
        <f>IF(A71="","",IFERROR(XLOOKUP(A71,Tickets[TripKey],Tickets[Capacity]),0))</f>
        <v/>
      </c>
      <c r="K71">
        <f>IF(A71="","",I71*J71)</f>
        <v/>
      </c>
      <c r="L71">
        <f>IF(A71="","",IFERROR(MINIFS(Tickets[Trip Start Time],Tickets[TripKey],A71),""))</f>
        <v/>
      </c>
    </row>
    <row r="72">
      <c r="B72" s="8">
        <f>IF(A72="","",IFERROR(DATEVALUE(TEXTBEFORE(A72,"|")),--LEFT(A72,10)))</f>
        <v/>
      </c>
      <c r="C72">
        <f>IF(A72="","",TEXTBEFORE(TEXTAFTER(A72,"|"),"|"))</f>
        <v/>
      </c>
      <c r="D72">
        <f>IF(A72="","",TEXTAFTER(A72,"|",2))</f>
        <v/>
      </c>
      <c r="E72">
        <f>IF(A72="","",SUMIF(Tickets[TripKey],A72,Tickets[TP]))</f>
        <v/>
      </c>
      <c r="F72">
        <f>IF(A72="","",SUMIF(Tickets[TripKey],A72,Tickets[Revenue]))</f>
        <v/>
      </c>
      <c r="G72">
        <f>IF(A72="","",SUMIF(Tickets[TripKey],A72,Tickets[PK]))</f>
        <v/>
      </c>
      <c r="H72">
        <f>IF(A72="","",IFERROR(XLOOKUP(A72,Tickets[TripKey],Tickets[VehClean]),""))</f>
        <v/>
      </c>
      <c r="I72">
        <f>IF(A72="","",IFERROR(XLOOKUP(A72,Tickets[TripKey],Tickets[RouteLen]),0))</f>
        <v/>
      </c>
      <c r="J72">
        <f>IF(A72="","",IFERROR(XLOOKUP(A72,Tickets[TripKey],Tickets[Capacity]),0))</f>
        <v/>
      </c>
      <c r="K72">
        <f>IF(A72="","",I72*J72)</f>
        <v/>
      </c>
      <c r="L72">
        <f>IF(A72="","",IFERROR(MINIFS(Tickets[Trip Start Time],Tickets[TripKey],A72),""))</f>
        <v/>
      </c>
    </row>
    <row r="73">
      <c r="B73" s="8">
        <f>IF(A73="","",IFERROR(DATEVALUE(TEXTBEFORE(A73,"|")),--LEFT(A73,10)))</f>
        <v/>
      </c>
      <c r="C73">
        <f>IF(A73="","",TEXTBEFORE(TEXTAFTER(A73,"|"),"|"))</f>
        <v/>
      </c>
      <c r="D73">
        <f>IF(A73="","",TEXTAFTER(A73,"|",2))</f>
        <v/>
      </c>
      <c r="E73">
        <f>IF(A73="","",SUMIF(Tickets[TripKey],A73,Tickets[TP]))</f>
        <v/>
      </c>
      <c r="F73">
        <f>IF(A73="","",SUMIF(Tickets[TripKey],A73,Tickets[Revenue]))</f>
        <v/>
      </c>
      <c r="G73">
        <f>IF(A73="","",SUMIF(Tickets[TripKey],A73,Tickets[PK]))</f>
        <v/>
      </c>
      <c r="H73">
        <f>IF(A73="","",IFERROR(XLOOKUP(A73,Tickets[TripKey],Tickets[VehClean]),""))</f>
        <v/>
      </c>
      <c r="I73">
        <f>IF(A73="","",IFERROR(XLOOKUP(A73,Tickets[TripKey],Tickets[RouteLen]),0))</f>
        <v/>
      </c>
      <c r="J73">
        <f>IF(A73="","",IFERROR(XLOOKUP(A73,Tickets[TripKey],Tickets[Capacity]),0))</f>
        <v/>
      </c>
      <c r="K73">
        <f>IF(A73="","",I73*J73)</f>
        <v/>
      </c>
      <c r="L73">
        <f>IF(A73="","",IFERROR(MINIFS(Tickets[Trip Start Time],Tickets[TripKey],A73),""))</f>
        <v/>
      </c>
    </row>
    <row r="74">
      <c r="B74" s="8">
        <f>IF(A74="","",IFERROR(DATEVALUE(TEXTBEFORE(A74,"|")),--LEFT(A74,10)))</f>
        <v/>
      </c>
      <c r="C74">
        <f>IF(A74="","",TEXTBEFORE(TEXTAFTER(A74,"|"),"|"))</f>
        <v/>
      </c>
      <c r="D74">
        <f>IF(A74="","",TEXTAFTER(A74,"|",2))</f>
        <v/>
      </c>
      <c r="E74">
        <f>IF(A74="","",SUMIF(Tickets[TripKey],A74,Tickets[TP]))</f>
        <v/>
      </c>
      <c r="F74">
        <f>IF(A74="","",SUMIF(Tickets[TripKey],A74,Tickets[Revenue]))</f>
        <v/>
      </c>
      <c r="G74">
        <f>IF(A74="","",SUMIF(Tickets[TripKey],A74,Tickets[PK]))</f>
        <v/>
      </c>
      <c r="H74">
        <f>IF(A74="","",IFERROR(XLOOKUP(A74,Tickets[TripKey],Tickets[VehClean]),""))</f>
        <v/>
      </c>
      <c r="I74">
        <f>IF(A74="","",IFERROR(XLOOKUP(A74,Tickets[TripKey],Tickets[RouteLen]),0))</f>
        <v/>
      </c>
      <c r="J74">
        <f>IF(A74="","",IFERROR(XLOOKUP(A74,Tickets[TripKey],Tickets[Capacity]),0))</f>
        <v/>
      </c>
      <c r="K74">
        <f>IF(A74="","",I74*J74)</f>
        <v/>
      </c>
      <c r="L74">
        <f>IF(A74="","",IFERROR(MINIFS(Tickets[Trip Start Time],Tickets[TripKey],A74),""))</f>
        <v/>
      </c>
    </row>
    <row r="75">
      <c r="B75" s="8">
        <f>IF(A75="","",IFERROR(DATEVALUE(TEXTBEFORE(A75,"|")),--LEFT(A75,10)))</f>
        <v/>
      </c>
      <c r="C75">
        <f>IF(A75="","",TEXTBEFORE(TEXTAFTER(A75,"|"),"|"))</f>
        <v/>
      </c>
      <c r="D75">
        <f>IF(A75="","",TEXTAFTER(A75,"|",2))</f>
        <v/>
      </c>
      <c r="E75">
        <f>IF(A75="","",SUMIF(Tickets[TripKey],A75,Tickets[TP]))</f>
        <v/>
      </c>
      <c r="F75">
        <f>IF(A75="","",SUMIF(Tickets[TripKey],A75,Tickets[Revenue]))</f>
        <v/>
      </c>
      <c r="G75">
        <f>IF(A75="","",SUMIF(Tickets[TripKey],A75,Tickets[PK]))</f>
        <v/>
      </c>
      <c r="H75">
        <f>IF(A75="","",IFERROR(XLOOKUP(A75,Tickets[TripKey],Tickets[VehClean]),""))</f>
        <v/>
      </c>
      <c r="I75">
        <f>IF(A75="","",IFERROR(XLOOKUP(A75,Tickets[TripKey],Tickets[RouteLen]),0))</f>
        <v/>
      </c>
      <c r="J75">
        <f>IF(A75="","",IFERROR(XLOOKUP(A75,Tickets[TripKey],Tickets[Capacity]),0))</f>
        <v/>
      </c>
      <c r="K75">
        <f>IF(A75="","",I75*J75)</f>
        <v/>
      </c>
      <c r="L75">
        <f>IF(A75="","",IFERROR(MINIFS(Tickets[Trip Start Time],Tickets[TripKey],A75),""))</f>
        <v/>
      </c>
    </row>
    <row r="76">
      <c r="B76" s="8">
        <f>IF(A76="","",IFERROR(DATEVALUE(TEXTBEFORE(A76,"|")),--LEFT(A76,10)))</f>
        <v/>
      </c>
      <c r="C76">
        <f>IF(A76="","",TEXTBEFORE(TEXTAFTER(A76,"|"),"|"))</f>
        <v/>
      </c>
      <c r="D76">
        <f>IF(A76="","",TEXTAFTER(A76,"|",2))</f>
        <v/>
      </c>
      <c r="E76">
        <f>IF(A76="","",SUMIF(Tickets[TripKey],A76,Tickets[TP]))</f>
        <v/>
      </c>
      <c r="F76">
        <f>IF(A76="","",SUMIF(Tickets[TripKey],A76,Tickets[Revenue]))</f>
        <v/>
      </c>
      <c r="G76">
        <f>IF(A76="","",SUMIF(Tickets[TripKey],A76,Tickets[PK]))</f>
        <v/>
      </c>
      <c r="H76">
        <f>IF(A76="","",IFERROR(XLOOKUP(A76,Tickets[TripKey],Tickets[VehClean]),""))</f>
        <v/>
      </c>
      <c r="I76">
        <f>IF(A76="","",IFERROR(XLOOKUP(A76,Tickets[TripKey],Tickets[RouteLen]),0))</f>
        <v/>
      </c>
      <c r="J76">
        <f>IF(A76="","",IFERROR(XLOOKUP(A76,Tickets[TripKey],Tickets[Capacity]),0))</f>
        <v/>
      </c>
      <c r="K76">
        <f>IF(A76="","",I76*J76)</f>
        <v/>
      </c>
      <c r="L76">
        <f>IF(A76="","",IFERROR(MINIFS(Tickets[Trip Start Time],Tickets[TripKey],A76),""))</f>
        <v/>
      </c>
    </row>
    <row r="77">
      <c r="B77" s="8">
        <f>IF(A77="","",IFERROR(DATEVALUE(TEXTBEFORE(A77,"|")),--LEFT(A77,10)))</f>
        <v/>
      </c>
      <c r="C77">
        <f>IF(A77="","",TEXTBEFORE(TEXTAFTER(A77,"|"),"|"))</f>
        <v/>
      </c>
      <c r="D77">
        <f>IF(A77="","",TEXTAFTER(A77,"|",2))</f>
        <v/>
      </c>
      <c r="E77">
        <f>IF(A77="","",SUMIF(Tickets[TripKey],A77,Tickets[TP]))</f>
        <v/>
      </c>
      <c r="F77">
        <f>IF(A77="","",SUMIF(Tickets[TripKey],A77,Tickets[Revenue]))</f>
        <v/>
      </c>
      <c r="G77">
        <f>IF(A77="","",SUMIF(Tickets[TripKey],A77,Tickets[PK]))</f>
        <v/>
      </c>
      <c r="H77">
        <f>IF(A77="","",IFERROR(XLOOKUP(A77,Tickets[TripKey],Tickets[VehClean]),""))</f>
        <v/>
      </c>
      <c r="I77">
        <f>IF(A77="","",IFERROR(XLOOKUP(A77,Tickets[TripKey],Tickets[RouteLen]),0))</f>
        <v/>
      </c>
      <c r="J77">
        <f>IF(A77="","",IFERROR(XLOOKUP(A77,Tickets[TripKey],Tickets[Capacity]),0))</f>
        <v/>
      </c>
      <c r="K77">
        <f>IF(A77="","",I77*J77)</f>
        <v/>
      </c>
      <c r="L77">
        <f>IF(A77="","",IFERROR(MINIFS(Tickets[Trip Start Time],Tickets[TripKey],A77),""))</f>
        <v/>
      </c>
    </row>
    <row r="78">
      <c r="B78" s="8">
        <f>IF(A78="","",IFERROR(DATEVALUE(TEXTBEFORE(A78,"|")),--LEFT(A78,10)))</f>
        <v/>
      </c>
      <c r="C78">
        <f>IF(A78="","",TEXTBEFORE(TEXTAFTER(A78,"|"),"|"))</f>
        <v/>
      </c>
      <c r="D78">
        <f>IF(A78="","",TEXTAFTER(A78,"|",2))</f>
        <v/>
      </c>
      <c r="E78">
        <f>IF(A78="","",SUMIF(Tickets[TripKey],A78,Tickets[TP]))</f>
        <v/>
      </c>
      <c r="F78">
        <f>IF(A78="","",SUMIF(Tickets[TripKey],A78,Tickets[Revenue]))</f>
        <v/>
      </c>
      <c r="G78">
        <f>IF(A78="","",SUMIF(Tickets[TripKey],A78,Tickets[PK]))</f>
        <v/>
      </c>
      <c r="H78">
        <f>IF(A78="","",IFERROR(XLOOKUP(A78,Tickets[TripKey],Tickets[VehClean]),""))</f>
        <v/>
      </c>
      <c r="I78">
        <f>IF(A78="","",IFERROR(XLOOKUP(A78,Tickets[TripKey],Tickets[RouteLen]),0))</f>
        <v/>
      </c>
      <c r="J78">
        <f>IF(A78="","",IFERROR(XLOOKUP(A78,Tickets[TripKey],Tickets[Capacity]),0))</f>
        <v/>
      </c>
      <c r="K78">
        <f>IF(A78="","",I78*J78)</f>
        <v/>
      </c>
      <c r="L78">
        <f>IF(A78="","",IFERROR(MINIFS(Tickets[Trip Start Time],Tickets[TripKey],A78),""))</f>
        <v/>
      </c>
    </row>
    <row r="79">
      <c r="B79" s="8">
        <f>IF(A79="","",IFERROR(DATEVALUE(TEXTBEFORE(A79,"|")),--LEFT(A79,10)))</f>
        <v/>
      </c>
      <c r="C79">
        <f>IF(A79="","",TEXTBEFORE(TEXTAFTER(A79,"|"),"|"))</f>
        <v/>
      </c>
      <c r="D79">
        <f>IF(A79="","",TEXTAFTER(A79,"|",2))</f>
        <v/>
      </c>
      <c r="E79">
        <f>IF(A79="","",SUMIF(Tickets[TripKey],A79,Tickets[TP]))</f>
        <v/>
      </c>
      <c r="F79">
        <f>IF(A79="","",SUMIF(Tickets[TripKey],A79,Tickets[Revenue]))</f>
        <v/>
      </c>
      <c r="G79">
        <f>IF(A79="","",SUMIF(Tickets[TripKey],A79,Tickets[PK]))</f>
        <v/>
      </c>
      <c r="H79">
        <f>IF(A79="","",IFERROR(XLOOKUP(A79,Tickets[TripKey],Tickets[VehClean]),""))</f>
        <v/>
      </c>
      <c r="I79">
        <f>IF(A79="","",IFERROR(XLOOKUP(A79,Tickets[TripKey],Tickets[RouteLen]),0))</f>
        <v/>
      </c>
      <c r="J79">
        <f>IF(A79="","",IFERROR(XLOOKUP(A79,Tickets[TripKey],Tickets[Capacity]),0))</f>
        <v/>
      </c>
      <c r="K79">
        <f>IF(A79="","",I79*J79)</f>
        <v/>
      </c>
      <c r="L79">
        <f>IF(A79="","",IFERROR(MINIFS(Tickets[Trip Start Time],Tickets[TripKey],A79),""))</f>
        <v/>
      </c>
    </row>
    <row r="80">
      <c r="B80" s="8">
        <f>IF(A80="","",IFERROR(DATEVALUE(TEXTBEFORE(A80,"|")),--LEFT(A80,10)))</f>
        <v/>
      </c>
      <c r="C80">
        <f>IF(A80="","",TEXTBEFORE(TEXTAFTER(A80,"|"),"|"))</f>
        <v/>
      </c>
      <c r="D80">
        <f>IF(A80="","",TEXTAFTER(A80,"|",2))</f>
        <v/>
      </c>
      <c r="E80">
        <f>IF(A80="","",SUMIF(Tickets[TripKey],A80,Tickets[TP]))</f>
        <v/>
      </c>
      <c r="F80">
        <f>IF(A80="","",SUMIF(Tickets[TripKey],A80,Tickets[Revenue]))</f>
        <v/>
      </c>
      <c r="G80">
        <f>IF(A80="","",SUMIF(Tickets[TripKey],A80,Tickets[PK]))</f>
        <v/>
      </c>
      <c r="H80">
        <f>IF(A80="","",IFERROR(XLOOKUP(A80,Tickets[TripKey],Tickets[VehClean]),""))</f>
        <v/>
      </c>
      <c r="I80">
        <f>IF(A80="","",IFERROR(XLOOKUP(A80,Tickets[TripKey],Tickets[RouteLen]),0))</f>
        <v/>
      </c>
      <c r="J80">
        <f>IF(A80="","",IFERROR(XLOOKUP(A80,Tickets[TripKey],Tickets[Capacity]),0))</f>
        <v/>
      </c>
      <c r="K80">
        <f>IF(A80="","",I80*J80)</f>
        <v/>
      </c>
      <c r="L80">
        <f>IF(A80="","",IFERROR(MINIFS(Tickets[Trip Start Time],Tickets[TripKey],A80),""))</f>
        <v/>
      </c>
    </row>
    <row r="81">
      <c r="B81" s="8">
        <f>IF(A81="","",IFERROR(DATEVALUE(TEXTBEFORE(A81,"|")),--LEFT(A81,10)))</f>
        <v/>
      </c>
      <c r="C81">
        <f>IF(A81="","",TEXTBEFORE(TEXTAFTER(A81,"|"),"|"))</f>
        <v/>
      </c>
      <c r="D81">
        <f>IF(A81="","",TEXTAFTER(A81,"|",2))</f>
        <v/>
      </c>
      <c r="E81">
        <f>IF(A81="","",SUMIF(Tickets[TripKey],A81,Tickets[TP]))</f>
        <v/>
      </c>
      <c r="F81">
        <f>IF(A81="","",SUMIF(Tickets[TripKey],A81,Tickets[Revenue]))</f>
        <v/>
      </c>
      <c r="G81">
        <f>IF(A81="","",SUMIF(Tickets[TripKey],A81,Tickets[PK]))</f>
        <v/>
      </c>
      <c r="H81">
        <f>IF(A81="","",IFERROR(XLOOKUP(A81,Tickets[TripKey],Tickets[VehClean]),""))</f>
        <v/>
      </c>
      <c r="I81">
        <f>IF(A81="","",IFERROR(XLOOKUP(A81,Tickets[TripKey],Tickets[RouteLen]),0))</f>
        <v/>
      </c>
      <c r="J81">
        <f>IF(A81="","",IFERROR(XLOOKUP(A81,Tickets[TripKey],Tickets[Capacity]),0))</f>
        <v/>
      </c>
      <c r="K81">
        <f>IF(A81="","",I81*J81)</f>
        <v/>
      </c>
      <c r="L81">
        <f>IF(A81="","",IFERROR(MINIFS(Tickets[Trip Start Time],Tickets[TripKey],A81),""))</f>
        <v/>
      </c>
    </row>
    <row r="82">
      <c r="B82" s="8">
        <f>IF(A82="","",IFERROR(DATEVALUE(TEXTBEFORE(A82,"|")),--LEFT(A82,10)))</f>
        <v/>
      </c>
      <c r="C82">
        <f>IF(A82="","",TEXTBEFORE(TEXTAFTER(A82,"|"),"|"))</f>
        <v/>
      </c>
      <c r="D82">
        <f>IF(A82="","",TEXTAFTER(A82,"|",2))</f>
        <v/>
      </c>
      <c r="E82">
        <f>IF(A82="","",SUMIF(Tickets[TripKey],A82,Tickets[TP]))</f>
        <v/>
      </c>
      <c r="F82">
        <f>IF(A82="","",SUMIF(Tickets[TripKey],A82,Tickets[Revenue]))</f>
        <v/>
      </c>
      <c r="G82">
        <f>IF(A82="","",SUMIF(Tickets[TripKey],A82,Tickets[PK]))</f>
        <v/>
      </c>
      <c r="H82">
        <f>IF(A82="","",IFERROR(XLOOKUP(A82,Tickets[TripKey],Tickets[VehClean]),""))</f>
        <v/>
      </c>
      <c r="I82">
        <f>IF(A82="","",IFERROR(XLOOKUP(A82,Tickets[TripKey],Tickets[RouteLen]),0))</f>
        <v/>
      </c>
      <c r="J82">
        <f>IF(A82="","",IFERROR(XLOOKUP(A82,Tickets[TripKey],Tickets[Capacity]),0))</f>
        <v/>
      </c>
      <c r="K82">
        <f>IF(A82="","",I82*J82)</f>
        <v/>
      </c>
      <c r="L82">
        <f>IF(A82="","",IFERROR(MINIFS(Tickets[Trip Start Time],Tickets[TripKey],A82),""))</f>
        <v/>
      </c>
    </row>
    <row r="83">
      <c r="B83" s="8">
        <f>IF(A83="","",IFERROR(DATEVALUE(TEXTBEFORE(A83,"|")),--LEFT(A83,10)))</f>
        <v/>
      </c>
      <c r="C83">
        <f>IF(A83="","",TEXTBEFORE(TEXTAFTER(A83,"|"),"|"))</f>
        <v/>
      </c>
      <c r="D83">
        <f>IF(A83="","",TEXTAFTER(A83,"|",2))</f>
        <v/>
      </c>
      <c r="E83">
        <f>IF(A83="","",SUMIF(Tickets[TripKey],A83,Tickets[TP]))</f>
        <v/>
      </c>
      <c r="F83">
        <f>IF(A83="","",SUMIF(Tickets[TripKey],A83,Tickets[Revenue]))</f>
        <v/>
      </c>
      <c r="G83">
        <f>IF(A83="","",SUMIF(Tickets[TripKey],A83,Tickets[PK]))</f>
        <v/>
      </c>
      <c r="H83">
        <f>IF(A83="","",IFERROR(XLOOKUP(A83,Tickets[TripKey],Tickets[VehClean]),""))</f>
        <v/>
      </c>
      <c r="I83">
        <f>IF(A83="","",IFERROR(XLOOKUP(A83,Tickets[TripKey],Tickets[RouteLen]),0))</f>
        <v/>
      </c>
      <c r="J83">
        <f>IF(A83="","",IFERROR(XLOOKUP(A83,Tickets[TripKey],Tickets[Capacity]),0))</f>
        <v/>
      </c>
      <c r="K83">
        <f>IF(A83="","",I83*J83)</f>
        <v/>
      </c>
      <c r="L83">
        <f>IF(A83="","",IFERROR(MINIFS(Tickets[Trip Start Time],Tickets[TripKey],A83),""))</f>
        <v/>
      </c>
    </row>
    <row r="84">
      <c r="B84" s="8">
        <f>IF(A84="","",IFERROR(DATEVALUE(TEXTBEFORE(A84,"|")),--LEFT(A84,10)))</f>
        <v/>
      </c>
      <c r="C84">
        <f>IF(A84="","",TEXTBEFORE(TEXTAFTER(A84,"|"),"|"))</f>
        <v/>
      </c>
      <c r="D84">
        <f>IF(A84="","",TEXTAFTER(A84,"|",2))</f>
        <v/>
      </c>
      <c r="E84">
        <f>IF(A84="","",SUMIF(Tickets[TripKey],A84,Tickets[TP]))</f>
        <v/>
      </c>
      <c r="F84">
        <f>IF(A84="","",SUMIF(Tickets[TripKey],A84,Tickets[Revenue]))</f>
        <v/>
      </c>
      <c r="G84">
        <f>IF(A84="","",SUMIF(Tickets[TripKey],A84,Tickets[PK]))</f>
        <v/>
      </c>
      <c r="H84">
        <f>IF(A84="","",IFERROR(XLOOKUP(A84,Tickets[TripKey],Tickets[VehClean]),""))</f>
        <v/>
      </c>
      <c r="I84">
        <f>IF(A84="","",IFERROR(XLOOKUP(A84,Tickets[TripKey],Tickets[RouteLen]),0))</f>
        <v/>
      </c>
      <c r="J84">
        <f>IF(A84="","",IFERROR(XLOOKUP(A84,Tickets[TripKey],Tickets[Capacity]),0))</f>
        <v/>
      </c>
      <c r="K84">
        <f>IF(A84="","",I84*J84)</f>
        <v/>
      </c>
      <c r="L84">
        <f>IF(A84="","",IFERROR(MINIFS(Tickets[Trip Start Time],Tickets[TripKey],A84),""))</f>
        <v/>
      </c>
    </row>
    <row r="85">
      <c r="B85" s="8">
        <f>IF(A85="","",IFERROR(DATEVALUE(TEXTBEFORE(A85,"|")),--LEFT(A85,10)))</f>
        <v/>
      </c>
      <c r="C85">
        <f>IF(A85="","",TEXTBEFORE(TEXTAFTER(A85,"|"),"|"))</f>
        <v/>
      </c>
      <c r="D85">
        <f>IF(A85="","",TEXTAFTER(A85,"|",2))</f>
        <v/>
      </c>
      <c r="E85">
        <f>IF(A85="","",SUMIF(Tickets[TripKey],A85,Tickets[TP]))</f>
        <v/>
      </c>
      <c r="F85">
        <f>IF(A85="","",SUMIF(Tickets[TripKey],A85,Tickets[Revenue]))</f>
        <v/>
      </c>
      <c r="G85">
        <f>IF(A85="","",SUMIF(Tickets[TripKey],A85,Tickets[PK]))</f>
        <v/>
      </c>
      <c r="H85">
        <f>IF(A85="","",IFERROR(XLOOKUP(A85,Tickets[TripKey],Tickets[VehClean]),""))</f>
        <v/>
      </c>
      <c r="I85">
        <f>IF(A85="","",IFERROR(XLOOKUP(A85,Tickets[TripKey],Tickets[RouteLen]),0))</f>
        <v/>
      </c>
      <c r="J85">
        <f>IF(A85="","",IFERROR(XLOOKUP(A85,Tickets[TripKey],Tickets[Capacity]),0))</f>
        <v/>
      </c>
      <c r="K85">
        <f>IF(A85="","",I85*J85)</f>
        <v/>
      </c>
      <c r="L85">
        <f>IF(A85="","",IFERROR(MINIFS(Tickets[Trip Start Time],Tickets[TripKey],A85),""))</f>
        <v/>
      </c>
    </row>
    <row r="86">
      <c r="B86" s="8">
        <f>IF(A86="","",IFERROR(DATEVALUE(TEXTBEFORE(A86,"|")),--LEFT(A86,10)))</f>
        <v/>
      </c>
      <c r="C86">
        <f>IF(A86="","",TEXTBEFORE(TEXTAFTER(A86,"|"),"|"))</f>
        <v/>
      </c>
      <c r="D86">
        <f>IF(A86="","",TEXTAFTER(A86,"|",2))</f>
        <v/>
      </c>
      <c r="E86">
        <f>IF(A86="","",SUMIF(Tickets[TripKey],A86,Tickets[TP]))</f>
        <v/>
      </c>
      <c r="F86">
        <f>IF(A86="","",SUMIF(Tickets[TripKey],A86,Tickets[Revenue]))</f>
        <v/>
      </c>
      <c r="G86">
        <f>IF(A86="","",SUMIF(Tickets[TripKey],A86,Tickets[PK]))</f>
        <v/>
      </c>
      <c r="H86">
        <f>IF(A86="","",IFERROR(XLOOKUP(A86,Tickets[TripKey],Tickets[VehClean]),""))</f>
        <v/>
      </c>
      <c r="I86">
        <f>IF(A86="","",IFERROR(XLOOKUP(A86,Tickets[TripKey],Tickets[RouteLen]),0))</f>
        <v/>
      </c>
      <c r="J86">
        <f>IF(A86="","",IFERROR(XLOOKUP(A86,Tickets[TripKey],Tickets[Capacity]),0))</f>
        <v/>
      </c>
      <c r="K86">
        <f>IF(A86="","",I86*J86)</f>
        <v/>
      </c>
      <c r="L86">
        <f>IF(A86="","",IFERROR(MINIFS(Tickets[Trip Start Time],Tickets[TripKey],A86),""))</f>
        <v/>
      </c>
    </row>
    <row r="87">
      <c r="B87" s="8">
        <f>IF(A87="","",IFERROR(DATEVALUE(TEXTBEFORE(A87,"|")),--LEFT(A87,10)))</f>
        <v/>
      </c>
      <c r="C87">
        <f>IF(A87="","",TEXTBEFORE(TEXTAFTER(A87,"|"),"|"))</f>
        <v/>
      </c>
      <c r="D87">
        <f>IF(A87="","",TEXTAFTER(A87,"|",2))</f>
        <v/>
      </c>
      <c r="E87">
        <f>IF(A87="","",SUMIF(Tickets[TripKey],A87,Tickets[TP]))</f>
        <v/>
      </c>
      <c r="F87">
        <f>IF(A87="","",SUMIF(Tickets[TripKey],A87,Tickets[Revenue]))</f>
        <v/>
      </c>
      <c r="G87">
        <f>IF(A87="","",SUMIF(Tickets[TripKey],A87,Tickets[PK]))</f>
        <v/>
      </c>
      <c r="H87">
        <f>IF(A87="","",IFERROR(XLOOKUP(A87,Tickets[TripKey],Tickets[VehClean]),""))</f>
        <v/>
      </c>
      <c r="I87">
        <f>IF(A87="","",IFERROR(XLOOKUP(A87,Tickets[TripKey],Tickets[RouteLen]),0))</f>
        <v/>
      </c>
      <c r="J87">
        <f>IF(A87="","",IFERROR(XLOOKUP(A87,Tickets[TripKey],Tickets[Capacity]),0))</f>
        <v/>
      </c>
      <c r="K87">
        <f>IF(A87="","",I87*J87)</f>
        <v/>
      </c>
      <c r="L87">
        <f>IF(A87="","",IFERROR(MINIFS(Tickets[Trip Start Time],Tickets[TripKey],A87),""))</f>
        <v/>
      </c>
    </row>
    <row r="88">
      <c r="B88" s="8">
        <f>IF(A88="","",IFERROR(DATEVALUE(TEXTBEFORE(A88,"|")),--LEFT(A88,10)))</f>
        <v/>
      </c>
      <c r="C88">
        <f>IF(A88="","",TEXTBEFORE(TEXTAFTER(A88,"|"),"|"))</f>
        <v/>
      </c>
      <c r="D88">
        <f>IF(A88="","",TEXTAFTER(A88,"|",2))</f>
        <v/>
      </c>
      <c r="E88">
        <f>IF(A88="","",SUMIF(Tickets[TripKey],A88,Tickets[TP]))</f>
        <v/>
      </c>
      <c r="F88">
        <f>IF(A88="","",SUMIF(Tickets[TripKey],A88,Tickets[Revenue]))</f>
        <v/>
      </c>
      <c r="G88">
        <f>IF(A88="","",SUMIF(Tickets[TripKey],A88,Tickets[PK]))</f>
        <v/>
      </c>
      <c r="H88">
        <f>IF(A88="","",IFERROR(XLOOKUP(A88,Tickets[TripKey],Tickets[VehClean]),""))</f>
        <v/>
      </c>
      <c r="I88">
        <f>IF(A88="","",IFERROR(XLOOKUP(A88,Tickets[TripKey],Tickets[RouteLen]),0))</f>
        <v/>
      </c>
      <c r="J88">
        <f>IF(A88="","",IFERROR(XLOOKUP(A88,Tickets[TripKey],Tickets[Capacity]),0))</f>
        <v/>
      </c>
      <c r="K88">
        <f>IF(A88="","",I88*J88)</f>
        <v/>
      </c>
      <c r="L88">
        <f>IF(A88="","",IFERROR(MINIFS(Tickets[Trip Start Time],Tickets[TripKey],A88),""))</f>
        <v/>
      </c>
    </row>
    <row r="89">
      <c r="B89" s="8">
        <f>IF(A89="","",IFERROR(DATEVALUE(TEXTBEFORE(A89,"|")),--LEFT(A89,10)))</f>
        <v/>
      </c>
      <c r="C89">
        <f>IF(A89="","",TEXTBEFORE(TEXTAFTER(A89,"|"),"|"))</f>
        <v/>
      </c>
      <c r="D89">
        <f>IF(A89="","",TEXTAFTER(A89,"|",2))</f>
        <v/>
      </c>
      <c r="E89">
        <f>IF(A89="","",SUMIF(Tickets[TripKey],A89,Tickets[TP]))</f>
        <v/>
      </c>
      <c r="F89">
        <f>IF(A89="","",SUMIF(Tickets[TripKey],A89,Tickets[Revenue]))</f>
        <v/>
      </c>
      <c r="G89">
        <f>IF(A89="","",SUMIF(Tickets[TripKey],A89,Tickets[PK]))</f>
        <v/>
      </c>
      <c r="H89">
        <f>IF(A89="","",IFERROR(XLOOKUP(A89,Tickets[TripKey],Tickets[VehClean]),""))</f>
        <v/>
      </c>
      <c r="I89">
        <f>IF(A89="","",IFERROR(XLOOKUP(A89,Tickets[TripKey],Tickets[RouteLen]),0))</f>
        <v/>
      </c>
      <c r="J89">
        <f>IF(A89="","",IFERROR(XLOOKUP(A89,Tickets[TripKey],Tickets[Capacity]),0))</f>
        <v/>
      </c>
      <c r="K89">
        <f>IF(A89="","",I89*J89)</f>
        <v/>
      </c>
      <c r="L89">
        <f>IF(A89="","",IFERROR(MINIFS(Tickets[Trip Start Time],Tickets[TripKey],A89),""))</f>
        <v/>
      </c>
    </row>
    <row r="90">
      <c r="B90" s="8">
        <f>IF(A90="","",IFERROR(DATEVALUE(TEXTBEFORE(A90,"|")),--LEFT(A90,10)))</f>
        <v/>
      </c>
      <c r="C90">
        <f>IF(A90="","",TEXTBEFORE(TEXTAFTER(A90,"|"),"|"))</f>
        <v/>
      </c>
      <c r="D90">
        <f>IF(A90="","",TEXTAFTER(A90,"|",2))</f>
        <v/>
      </c>
      <c r="E90">
        <f>IF(A90="","",SUMIF(Tickets[TripKey],A90,Tickets[TP]))</f>
        <v/>
      </c>
      <c r="F90">
        <f>IF(A90="","",SUMIF(Tickets[TripKey],A90,Tickets[Revenue]))</f>
        <v/>
      </c>
      <c r="G90">
        <f>IF(A90="","",SUMIF(Tickets[TripKey],A90,Tickets[PK]))</f>
        <v/>
      </c>
      <c r="H90">
        <f>IF(A90="","",IFERROR(XLOOKUP(A90,Tickets[TripKey],Tickets[VehClean]),""))</f>
        <v/>
      </c>
      <c r="I90">
        <f>IF(A90="","",IFERROR(XLOOKUP(A90,Tickets[TripKey],Tickets[RouteLen]),0))</f>
        <v/>
      </c>
      <c r="J90">
        <f>IF(A90="","",IFERROR(XLOOKUP(A90,Tickets[TripKey],Tickets[Capacity]),0))</f>
        <v/>
      </c>
      <c r="K90">
        <f>IF(A90="","",I90*J90)</f>
        <v/>
      </c>
      <c r="L90">
        <f>IF(A90="","",IFERROR(MINIFS(Tickets[Trip Start Time],Tickets[TripKey],A90),""))</f>
        <v/>
      </c>
    </row>
    <row r="91">
      <c r="B91" s="8">
        <f>IF(A91="","",IFERROR(DATEVALUE(TEXTBEFORE(A91,"|")),--LEFT(A91,10)))</f>
        <v/>
      </c>
      <c r="C91">
        <f>IF(A91="","",TEXTBEFORE(TEXTAFTER(A91,"|"),"|"))</f>
        <v/>
      </c>
      <c r="D91">
        <f>IF(A91="","",TEXTAFTER(A91,"|",2))</f>
        <v/>
      </c>
      <c r="E91">
        <f>IF(A91="","",SUMIF(Tickets[TripKey],A91,Tickets[TP]))</f>
        <v/>
      </c>
      <c r="F91">
        <f>IF(A91="","",SUMIF(Tickets[TripKey],A91,Tickets[Revenue]))</f>
        <v/>
      </c>
      <c r="G91">
        <f>IF(A91="","",SUMIF(Tickets[TripKey],A91,Tickets[PK]))</f>
        <v/>
      </c>
      <c r="H91">
        <f>IF(A91="","",IFERROR(XLOOKUP(A91,Tickets[TripKey],Tickets[VehClean]),""))</f>
        <v/>
      </c>
      <c r="I91">
        <f>IF(A91="","",IFERROR(XLOOKUP(A91,Tickets[TripKey],Tickets[RouteLen]),0))</f>
        <v/>
      </c>
      <c r="J91">
        <f>IF(A91="","",IFERROR(XLOOKUP(A91,Tickets[TripKey],Tickets[Capacity]),0))</f>
        <v/>
      </c>
      <c r="K91">
        <f>IF(A91="","",I91*J91)</f>
        <v/>
      </c>
      <c r="L91">
        <f>IF(A91="","",IFERROR(MINIFS(Tickets[Trip Start Time],Tickets[TripKey],A91),""))</f>
        <v/>
      </c>
    </row>
    <row r="92">
      <c r="B92" s="8">
        <f>IF(A92="","",IFERROR(DATEVALUE(TEXTBEFORE(A92,"|")),--LEFT(A92,10)))</f>
        <v/>
      </c>
      <c r="C92">
        <f>IF(A92="","",TEXTBEFORE(TEXTAFTER(A92,"|"),"|"))</f>
        <v/>
      </c>
      <c r="D92">
        <f>IF(A92="","",TEXTAFTER(A92,"|",2))</f>
        <v/>
      </c>
      <c r="E92">
        <f>IF(A92="","",SUMIF(Tickets[TripKey],A92,Tickets[TP]))</f>
        <v/>
      </c>
      <c r="F92">
        <f>IF(A92="","",SUMIF(Tickets[TripKey],A92,Tickets[Revenue]))</f>
        <v/>
      </c>
      <c r="G92">
        <f>IF(A92="","",SUMIF(Tickets[TripKey],A92,Tickets[PK]))</f>
        <v/>
      </c>
      <c r="H92">
        <f>IF(A92="","",IFERROR(XLOOKUP(A92,Tickets[TripKey],Tickets[VehClean]),""))</f>
        <v/>
      </c>
      <c r="I92">
        <f>IF(A92="","",IFERROR(XLOOKUP(A92,Tickets[TripKey],Tickets[RouteLen]),0))</f>
        <v/>
      </c>
      <c r="J92">
        <f>IF(A92="","",IFERROR(XLOOKUP(A92,Tickets[TripKey],Tickets[Capacity]),0))</f>
        <v/>
      </c>
      <c r="K92">
        <f>IF(A92="","",I92*J92)</f>
        <v/>
      </c>
      <c r="L92">
        <f>IF(A92="","",IFERROR(MINIFS(Tickets[Trip Start Time],Tickets[TripKey],A92),""))</f>
        <v/>
      </c>
    </row>
    <row r="93">
      <c r="B93" s="8">
        <f>IF(A93="","",IFERROR(DATEVALUE(TEXTBEFORE(A93,"|")),--LEFT(A93,10)))</f>
        <v/>
      </c>
      <c r="C93">
        <f>IF(A93="","",TEXTBEFORE(TEXTAFTER(A93,"|"),"|"))</f>
        <v/>
      </c>
      <c r="D93">
        <f>IF(A93="","",TEXTAFTER(A93,"|",2))</f>
        <v/>
      </c>
      <c r="E93">
        <f>IF(A93="","",SUMIF(Tickets[TripKey],A93,Tickets[TP]))</f>
        <v/>
      </c>
      <c r="F93">
        <f>IF(A93="","",SUMIF(Tickets[TripKey],A93,Tickets[Revenue]))</f>
        <v/>
      </c>
      <c r="G93">
        <f>IF(A93="","",SUMIF(Tickets[TripKey],A93,Tickets[PK]))</f>
        <v/>
      </c>
      <c r="H93">
        <f>IF(A93="","",IFERROR(XLOOKUP(A93,Tickets[TripKey],Tickets[VehClean]),""))</f>
        <v/>
      </c>
      <c r="I93">
        <f>IF(A93="","",IFERROR(XLOOKUP(A93,Tickets[TripKey],Tickets[RouteLen]),0))</f>
        <v/>
      </c>
      <c r="J93">
        <f>IF(A93="","",IFERROR(XLOOKUP(A93,Tickets[TripKey],Tickets[Capacity]),0))</f>
        <v/>
      </c>
      <c r="K93">
        <f>IF(A93="","",I93*J93)</f>
        <v/>
      </c>
      <c r="L93">
        <f>IF(A93="","",IFERROR(MINIFS(Tickets[Trip Start Time],Tickets[TripKey],A93),""))</f>
        <v/>
      </c>
    </row>
    <row r="94">
      <c r="B94" s="8">
        <f>IF(A94="","",IFERROR(DATEVALUE(TEXTBEFORE(A94,"|")),--LEFT(A94,10)))</f>
        <v/>
      </c>
      <c r="C94">
        <f>IF(A94="","",TEXTBEFORE(TEXTAFTER(A94,"|"),"|"))</f>
        <v/>
      </c>
      <c r="D94">
        <f>IF(A94="","",TEXTAFTER(A94,"|",2))</f>
        <v/>
      </c>
      <c r="E94">
        <f>IF(A94="","",SUMIF(Tickets[TripKey],A94,Tickets[TP]))</f>
        <v/>
      </c>
      <c r="F94">
        <f>IF(A94="","",SUMIF(Tickets[TripKey],A94,Tickets[Revenue]))</f>
        <v/>
      </c>
      <c r="G94">
        <f>IF(A94="","",SUMIF(Tickets[TripKey],A94,Tickets[PK]))</f>
        <v/>
      </c>
      <c r="H94">
        <f>IF(A94="","",IFERROR(XLOOKUP(A94,Tickets[TripKey],Tickets[VehClean]),""))</f>
        <v/>
      </c>
      <c r="I94">
        <f>IF(A94="","",IFERROR(XLOOKUP(A94,Tickets[TripKey],Tickets[RouteLen]),0))</f>
        <v/>
      </c>
      <c r="J94">
        <f>IF(A94="","",IFERROR(XLOOKUP(A94,Tickets[TripKey],Tickets[Capacity]),0))</f>
        <v/>
      </c>
      <c r="K94">
        <f>IF(A94="","",I94*J94)</f>
        <v/>
      </c>
      <c r="L94">
        <f>IF(A94="","",IFERROR(MINIFS(Tickets[Trip Start Time],Tickets[TripKey],A94),""))</f>
        <v/>
      </c>
    </row>
    <row r="95">
      <c r="B95" s="8">
        <f>IF(A95="","",IFERROR(DATEVALUE(TEXTBEFORE(A95,"|")),--LEFT(A95,10)))</f>
        <v/>
      </c>
      <c r="C95">
        <f>IF(A95="","",TEXTBEFORE(TEXTAFTER(A95,"|"),"|"))</f>
        <v/>
      </c>
      <c r="D95">
        <f>IF(A95="","",TEXTAFTER(A95,"|",2))</f>
        <v/>
      </c>
      <c r="E95">
        <f>IF(A95="","",SUMIF(Tickets[TripKey],A95,Tickets[TP]))</f>
        <v/>
      </c>
      <c r="F95">
        <f>IF(A95="","",SUMIF(Tickets[TripKey],A95,Tickets[Revenue]))</f>
        <v/>
      </c>
      <c r="G95">
        <f>IF(A95="","",SUMIF(Tickets[TripKey],A95,Tickets[PK]))</f>
        <v/>
      </c>
      <c r="H95">
        <f>IF(A95="","",IFERROR(XLOOKUP(A95,Tickets[TripKey],Tickets[VehClean]),""))</f>
        <v/>
      </c>
      <c r="I95">
        <f>IF(A95="","",IFERROR(XLOOKUP(A95,Tickets[TripKey],Tickets[RouteLen]),0))</f>
        <v/>
      </c>
      <c r="J95">
        <f>IF(A95="","",IFERROR(XLOOKUP(A95,Tickets[TripKey],Tickets[Capacity]),0))</f>
        <v/>
      </c>
      <c r="K95">
        <f>IF(A95="","",I95*J95)</f>
        <v/>
      </c>
      <c r="L95">
        <f>IF(A95="","",IFERROR(MINIFS(Tickets[Trip Start Time],Tickets[TripKey],A95),""))</f>
        <v/>
      </c>
    </row>
    <row r="96">
      <c r="B96" s="8">
        <f>IF(A96="","",IFERROR(DATEVALUE(TEXTBEFORE(A96,"|")),--LEFT(A96,10)))</f>
        <v/>
      </c>
      <c r="C96">
        <f>IF(A96="","",TEXTBEFORE(TEXTAFTER(A96,"|"),"|"))</f>
        <v/>
      </c>
      <c r="D96">
        <f>IF(A96="","",TEXTAFTER(A96,"|",2))</f>
        <v/>
      </c>
      <c r="E96">
        <f>IF(A96="","",SUMIF(Tickets[TripKey],A96,Tickets[TP]))</f>
        <v/>
      </c>
      <c r="F96">
        <f>IF(A96="","",SUMIF(Tickets[TripKey],A96,Tickets[Revenue]))</f>
        <v/>
      </c>
      <c r="G96">
        <f>IF(A96="","",SUMIF(Tickets[TripKey],A96,Tickets[PK]))</f>
        <v/>
      </c>
      <c r="H96">
        <f>IF(A96="","",IFERROR(XLOOKUP(A96,Tickets[TripKey],Tickets[VehClean]),""))</f>
        <v/>
      </c>
      <c r="I96">
        <f>IF(A96="","",IFERROR(XLOOKUP(A96,Tickets[TripKey],Tickets[RouteLen]),0))</f>
        <v/>
      </c>
      <c r="J96">
        <f>IF(A96="","",IFERROR(XLOOKUP(A96,Tickets[TripKey],Tickets[Capacity]),0))</f>
        <v/>
      </c>
      <c r="K96">
        <f>IF(A96="","",I96*J96)</f>
        <v/>
      </c>
      <c r="L96">
        <f>IF(A96="","",IFERROR(MINIFS(Tickets[Trip Start Time],Tickets[TripKey],A96),""))</f>
        <v/>
      </c>
    </row>
    <row r="97">
      <c r="B97" s="8">
        <f>IF(A97="","",IFERROR(DATEVALUE(TEXTBEFORE(A97,"|")),--LEFT(A97,10)))</f>
        <v/>
      </c>
      <c r="C97">
        <f>IF(A97="","",TEXTBEFORE(TEXTAFTER(A97,"|"),"|"))</f>
        <v/>
      </c>
      <c r="D97">
        <f>IF(A97="","",TEXTAFTER(A97,"|",2))</f>
        <v/>
      </c>
      <c r="E97">
        <f>IF(A97="","",SUMIF(Tickets[TripKey],A97,Tickets[TP]))</f>
        <v/>
      </c>
      <c r="F97">
        <f>IF(A97="","",SUMIF(Tickets[TripKey],A97,Tickets[Revenue]))</f>
        <v/>
      </c>
      <c r="G97">
        <f>IF(A97="","",SUMIF(Tickets[TripKey],A97,Tickets[PK]))</f>
        <v/>
      </c>
      <c r="H97">
        <f>IF(A97="","",IFERROR(XLOOKUP(A97,Tickets[TripKey],Tickets[VehClean]),""))</f>
        <v/>
      </c>
      <c r="I97">
        <f>IF(A97="","",IFERROR(XLOOKUP(A97,Tickets[TripKey],Tickets[RouteLen]),0))</f>
        <v/>
      </c>
      <c r="J97">
        <f>IF(A97="","",IFERROR(XLOOKUP(A97,Tickets[TripKey],Tickets[Capacity]),0))</f>
        <v/>
      </c>
      <c r="K97">
        <f>IF(A97="","",I97*J97)</f>
        <v/>
      </c>
      <c r="L97">
        <f>IF(A97="","",IFERROR(MINIFS(Tickets[Trip Start Time],Tickets[TripKey],A97),""))</f>
        <v/>
      </c>
    </row>
    <row r="98">
      <c r="B98" s="8">
        <f>IF(A98="","",IFERROR(DATEVALUE(TEXTBEFORE(A98,"|")),--LEFT(A98,10)))</f>
        <v/>
      </c>
      <c r="C98">
        <f>IF(A98="","",TEXTBEFORE(TEXTAFTER(A98,"|"),"|"))</f>
        <v/>
      </c>
      <c r="D98">
        <f>IF(A98="","",TEXTAFTER(A98,"|",2))</f>
        <v/>
      </c>
      <c r="E98">
        <f>IF(A98="","",SUMIF(Tickets[TripKey],A98,Tickets[TP]))</f>
        <v/>
      </c>
      <c r="F98">
        <f>IF(A98="","",SUMIF(Tickets[TripKey],A98,Tickets[Revenue]))</f>
        <v/>
      </c>
      <c r="G98">
        <f>IF(A98="","",SUMIF(Tickets[TripKey],A98,Tickets[PK]))</f>
        <v/>
      </c>
      <c r="H98">
        <f>IF(A98="","",IFERROR(XLOOKUP(A98,Tickets[TripKey],Tickets[VehClean]),""))</f>
        <v/>
      </c>
      <c r="I98">
        <f>IF(A98="","",IFERROR(XLOOKUP(A98,Tickets[TripKey],Tickets[RouteLen]),0))</f>
        <v/>
      </c>
      <c r="J98">
        <f>IF(A98="","",IFERROR(XLOOKUP(A98,Tickets[TripKey],Tickets[Capacity]),0))</f>
        <v/>
      </c>
      <c r="K98">
        <f>IF(A98="","",I98*J98)</f>
        <v/>
      </c>
      <c r="L98">
        <f>IF(A98="","",IFERROR(MINIFS(Tickets[Trip Start Time],Tickets[TripKey],A98),""))</f>
        <v/>
      </c>
    </row>
    <row r="99">
      <c r="B99" s="8">
        <f>IF(A99="","",IFERROR(DATEVALUE(TEXTBEFORE(A99,"|")),--LEFT(A99,10)))</f>
        <v/>
      </c>
      <c r="C99">
        <f>IF(A99="","",TEXTBEFORE(TEXTAFTER(A99,"|"),"|"))</f>
        <v/>
      </c>
      <c r="D99">
        <f>IF(A99="","",TEXTAFTER(A99,"|",2))</f>
        <v/>
      </c>
      <c r="E99">
        <f>IF(A99="","",SUMIF(Tickets[TripKey],A99,Tickets[TP]))</f>
        <v/>
      </c>
      <c r="F99">
        <f>IF(A99="","",SUMIF(Tickets[TripKey],A99,Tickets[Revenue]))</f>
        <v/>
      </c>
      <c r="G99">
        <f>IF(A99="","",SUMIF(Tickets[TripKey],A99,Tickets[PK]))</f>
        <v/>
      </c>
      <c r="H99">
        <f>IF(A99="","",IFERROR(XLOOKUP(A99,Tickets[TripKey],Tickets[VehClean]),""))</f>
        <v/>
      </c>
      <c r="I99">
        <f>IF(A99="","",IFERROR(XLOOKUP(A99,Tickets[TripKey],Tickets[RouteLen]),0))</f>
        <v/>
      </c>
      <c r="J99">
        <f>IF(A99="","",IFERROR(XLOOKUP(A99,Tickets[TripKey],Tickets[Capacity]),0))</f>
        <v/>
      </c>
      <c r="K99">
        <f>IF(A99="","",I99*J99)</f>
        <v/>
      </c>
      <c r="L99">
        <f>IF(A99="","",IFERROR(MINIFS(Tickets[Trip Start Time],Tickets[TripKey],A99),""))</f>
        <v/>
      </c>
    </row>
    <row r="100">
      <c r="B100" s="8">
        <f>IF(A100="","",IFERROR(DATEVALUE(TEXTBEFORE(A100,"|")),--LEFT(A100,10)))</f>
        <v/>
      </c>
      <c r="C100">
        <f>IF(A100="","",TEXTBEFORE(TEXTAFTER(A100,"|"),"|"))</f>
        <v/>
      </c>
      <c r="D100">
        <f>IF(A100="","",TEXTAFTER(A100,"|",2))</f>
        <v/>
      </c>
      <c r="E100">
        <f>IF(A100="","",SUMIF(Tickets[TripKey],A100,Tickets[TP]))</f>
        <v/>
      </c>
      <c r="F100">
        <f>IF(A100="","",SUMIF(Tickets[TripKey],A100,Tickets[Revenue]))</f>
        <v/>
      </c>
      <c r="G100">
        <f>IF(A100="","",SUMIF(Tickets[TripKey],A100,Tickets[PK]))</f>
        <v/>
      </c>
      <c r="H100">
        <f>IF(A100="","",IFERROR(XLOOKUP(A100,Tickets[TripKey],Tickets[VehClean]),""))</f>
        <v/>
      </c>
      <c r="I100">
        <f>IF(A100="","",IFERROR(XLOOKUP(A100,Tickets[TripKey],Tickets[RouteLen]),0))</f>
        <v/>
      </c>
      <c r="J100">
        <f>IF(A100="","",IFERROR(XLOOKUP(A100,Tickets[TripKey],Tickets[Capacity]),0))</f>
        <v/>
      </c>
      <c r="K100">
        <f>IF(A100="","",I100*J100)</f>
        <v/>
      </c>
      <c r="L100">
        <f>IF(A100="","",IFERROR(MINIFS(Tickets[Trip Start Time],Tickets[TripKey],A100),""))</f>
        <v/>
      </c>
    </row>
    <row r="101">
      <c r="B101" s="8">
        <f>IF(A101="","",IFERROR(DATEVALUE(TEXTBEFORE(A101,"|")),--LEFT(A101,10)))</f>
        <v/>
      </c>
      <c r="C101">
        <f>IF(A101="","",TEXTBEFORE(TEXTAFTER(A101,"|"),"|"))</f>
        <v/>
      </c>
      <c r="D101">
        <f>IF(A101="","",TEXTAFTER(A101,"|",2))</f>
        <v/>
      </c>
      <c r="E101">
        <f>IF(A101="","",SUMIF(Tickets[TripKey],A101,Tickets[TP]))</f>
        <v/>
      </c>
      <c r="F101">
        <f>IF(A101="","",SUMIF(Tickets[TripKey],A101,Tickets[Revenue]))</f>
        <v/>
      </c>
      <c r="G101">
        <f>IF(A101="","",SUMIF(Tickets[TripKey],A101,Tickets[PK]))</f>
        <v/>
      </c>
      <c r="H101">
        <f>IF(A101="","",IFERROR(XLOOKUP(A101,Tickets[TripKey],Tickets[VehClean]),""))</f>
        <v/>
      </c>
      <c r="I101">
        <f>IF(A101="","",IFERROR(XLOOKUP(A101,Tickets[TripKey],Tickets[RouteLen]),0))</f>
        <v/>
      </c>
      <c r="J101">
        <f>IF(A101="","",IFERROR(XLOOKUP(A101,Tickets[TripKey],Tickets[Capacity]),0))</f>
        <v/>
      </c>
      <c r="K101">
        <f>IF(A101="","",I101*J101)</f>
        <v/>
      </c>
      <c r="L101">
        <f>IF(A101="","",IFERROR(MINIFS(Tickets[Trip Start Time],Tickets[TripKey],A101),""))</f>
        <v/>
      </c>
    </row>
    <row r="102">
      <c r="B102" s="8">
        <f>IF(A102="","",IFERROR(DATEVALUE(TEXTBEFORE(A102,"|")),--LEFT(A102,10)))</f>
        <v/>
      </c>
      <c r="C102">
        <f>IF(A102="","",TEXTBEFORE(TEXTAFTER(A102,"|"),"|"))</f>
        <v/>
      </c>
      <c r="D102">
        <f>IF(A102="","",TEXTAFTER(A102,"|",2))</f>
        <v/>
      </c>
      <c r="E102">
        <f>IF(A102="","",SUMIF(Tickets[TripKey],A102,Tickets[TP]))</f>
        <v/>
      </c>
      <c r="F102">
        <f>IF(A102="","",SUMIF(Tickets[TripKey],A102,Tickets[Revenue]))</f>
        <v/>
      </c>
      <c r="G102">
        <f>IF(A102="","",SUMIF(Tickets[TripKey],A102,Tickets[PK]))</f>
        <v/>
      </c>
      <c r="H102">
        <f>IF(A102="","",IFERROR(XLOOKUP(A102,Tickets[TripKey],Tickets[VehClean]),""))</f>
        <v/>
      </c>
      <c r="I102">
        <f>IF(A102="","",IFERROR(XLOOKUP(A102,Tickets[TripKey],Tickets[RouteLen]),0))</f>
        <v/>
      </c>
      <c r="J102">
        <f>IF(A102="","",IFERROR(XLOOKUP(A102,Tickets[TripKey],Tickets[Capacity]),0))</f>
        <v/>
      </c>
      <c r="K102">
        <f>IF(A102="","",I102*J102)</f>
        <v/>
      </c>
      <c r="L102">
        <f>IF(A102="","",IFERROR(MINIFS(Tickets[Trip Start Time],Tickets[TripKey],A102),""))</f>
        <v/>
      </c>
    </row>
    <row r="103">
      <c r="B103" s="8">
        <f>IF(A103="","",IFERROR(DATEVALUE(TEXTBEFORE(A103,"|")),--LEFT(A103,10)))</f>
        <v/>
      </c>
      <c r="C103">
        <f>IF(A103="","",TEXTBEFORE(TEXTAFTER(A103,"|"),"|"))</f>
        <v/>
      </c>
      <c r="D103">
        <f>IF(A103="","",TEXTAFTER(A103,"|",2))</f>
        <v/>
      </c>
      <c r="E103">
        <f>IF(A103="","",SUMIF(Tickets[TripKey],A103,Tickets[TP]))</f>
        <v/>
      </c>
      <c r="F103">
        <f>IF(A103="","",SUMIF(Tickets[TripKey],A103,Tickets[Revenue]))</f>
        <v/>
      </c>
      <c r="G103">
        <f>IF(A103="","",SUMIF(Tickets[TripKey],A103,Tickets[PK]))</f>
        <v/>
      </c>
      <c r="H103">
        <f>IF(A103="","",IFERROR(XLOOKUP(A103,Tickets[TripKey],Tickets[VehClean]),""))</f>
        <v/>
      </c>
      <c r="I103">
        <f>IF(A103="","",IFERROR(XLOOKUP(A103,Tickets[TripKey],Tickets[RouteLen]),0))</f>
        <v/>
      </c>
      <c r="J103">
        <f>IF(A103="","",IFERROR(XLOOKUP(A103,Tickets[TripKey],Tickets[Capacity]),0))</f>
        <v/>
      </c>
      <c r="K103">
        <f>IF(A103="","",I103*J103)</f>
        <v/>
      </c>
      <c r="L103">
        <f>IF(A103="","",IFERROR(MINIFS(Tickets[Trip Start Time],Tickets[TripKey],A103),""))</f>
        <v/>
      </c>
    </row>
    <row r="104">
      <c r="B104" s="8">
        <f>IF(A104="","",IFERROR(DATEVALUE(TEXTBEFORE(A104,"|")),--LEFT(A104,10)))</f>
        <v/>
      </c>
      <c r="C104">
        <f>IF(A104="","",TEXTBEFORE(TEXTAFTER(A104,"|"),"|"))</f>
        <v/>
      </c>
      <c r="D104">
        <f>IF(A104="","",TEXTAFTER(A104,"|",2))</f>
        <v/>
      </c>
      <c r="E104">
        <f>IF(A104="","",SUMIF(Tickets[TripKey],A104,Tickets[TP]))</f>
        <v/>
      </c>
      <c r="F104">
        <f>IF(A104="","",SUMIF(Tickets[TripKey],A104,Tickets[Revenue]))</f>
        <v/>
      </c>
      <c r="G104">
        <f>IF(A104="","",SUMIF(Tickets[TripKey],A104,Tickets[PK]))</f>
        <v/>
      </c>
      <c r="H104">
        <f>IF(A104="","",IFERROR(XLOOKUP(A104,Tickets[TripKey],Tickets[VehClean]),""))</f>
        <v/>
      </c>
      <c r="I104">
        <f>IF(A104="","",IFERROR(XLOOKUP(A104,Tickets[TripKey],Tickets[RouteLen]),0))</f>
        <v/>
      </c>
      <c r="J104">
        <f>IF(A104="","",IFERROR(XLOOKUP(A104,Tickets[TripKey],Tickets[Capacity]),0))</f>
        <v/>
      </c>
      <c r="K104">
        <f>IF(A104="","",I104*J104)</f>
        <v/>
      </c>
      <c r="L104">
        <f>IF(A104="","",IFERROR(MINIFS(Tickets[Trip Start Time],Tickets[TripKey],A104),""))</f>
        <v/>
      </c>
    </row>
    <row r="105">
      <c r="B105" s="8">
        <f>IF(A105="","",IFERROR(DATEVALUE(TEXTBEFORE(A105,"|")),--LEFT(A105,10)))</f>
        <v/>
      </c>
      <c r="C105">
        <f>IF(A105="","",TEXTBEFORE(TEXTAFTER(A105,"|"),"|"))</f>
        <v/>
      </c>
      <c r="D105">
        <f>IF(A105="","",TEXTAFTER(A105,"|",2))</f>
        <v/>
      </c>
      <c r="E105">
        <f>IF(A105="","",SUMIF(Tickets[TripKey],A105,Tickets[TP]))</f>
        <v/>
      </c>
      <c r="F105">
        <f>IF(A105="","",SUMIF(Tickets[TripKey],A105,Tickets[Revenue]))</f>
        <v/>
      </c>
      <c r="G105">
        <f>IF(A105="","",SUMIF(Tickets[TripKey],A105,Tickets[PK]))</f>
        <v/>
      </c>
      <c r="H105">
        <f>IF(A105="","",IFERROR(XLOOKUP(A105,Tickets[TripKey],Tickets[VehClean]),""))</f>
        <v/>
      </c>
      <c r="I105">
        <f>IF(A105="","",IFERROR(XLOOKUP(A105,Tickets[TripKey],Tickets[RouteLen]),0))</f>
        <v/>
      </c>
      <c r="J105">
        <f>IF(A105="","",IFERROR(XLOOKUP(A105,Tickets[TripKey],Tickets[Capacity]),0))</f>
        <v/>
      </c>
      <c r="K105">
        <f>IF(A105="","",I105*J105)</f>
        <v/>
      </c>
      <c r="L105">
        <f>IF(A105="","",IFERROR(MINIFS(Tickets[Trip Start Time],Tickets[TripKey],A105),""))</f>
        <v/>
      </c>
    </row>
    <row r="106">
      <c r="B106" s="8">
        <f>IF(A106="","",IFERROR(DATEVALUE(TEXTBEFORE(A106,"|")),--LEFT(A106,10)))</f>
        <v/>
      </c>
      <c r="C106">
        <f>IF(A106="","",TEXTBEFORE(TEXTAFTER(A106,"|"),"|"))</f>
        <v/>
      </c>
      <c r="D106">
        <f>IF(A106="","",TEXTAFTER(A106,"|",2))</f>
        <v/>
      </c>
      <c r="E106">
        <f>IF(A106="","",SUMIF(Tickets[TripKey],A106,Tickets[TP]))</f>
        <v/>
      </c>
      <c r="F106">
        <f>IF(A106="","",SUMIF(Tickets[TripKey],A106,Tickets[Revenue]))</f>
        <v/>
      </c>
      <c r="G106">
        <f>IF(A106="","",SUMIF(Tickets[TripKey],A106,Tickets[PK]))</f>
        <v/>
      </c>
      <c r="H106">
        <f>IF(A106="","",IFERROR(XLOOKUP(A106,Tickets[TripKey],Tickets[VehClean]),""))</f>
        <v/>
      </c>
      <c r="I106">
        <f>IF(A106="","",IFERROR(XLOOKUP(A106,Tickets[TripKey],Tickets[RouteLen]),0))</f>
        <v/>
      </c>
      <c r="J106">
        <f>IF(A106="","",IFERROR(XLOOKUP(A106,Tickets[TripKey],Tickets[Capacity]),0))</f>
        <v/>
      </c>
      <c r="K106">
        <f>IF(A106="","",I106*J106)</f>
        <v/>
      </c>
      <c r="L106">
        <f>IF(A106="","",IFERROR(MINIFS(Tickets[Trip Start Time],Tickets[TripKey],A106),""))</f>
        <v/>
      </c>
    </row>
    <row r="107">
      <c r="B107" s="8">
        <f>IF(A107="","",IFERROR(DATEVALUE(TEXTBEFORE(A107,"|")),--LEFT(A107,10)))</f>
        <v/>
      </c>
      <c r="C107">
        <f>IF(A107="","",TEXTBEFORE(TEXTAFTER(A107,"|"),"|"))</f>
        <v/>
      </c>
      <c r="D107">
        <f>IF(A107="","",TEXTAFTER(A107,"|",2))</f>
        <v/>
      </c>
      <c r="E107">
        <f>IF(A107="","",SUMIF(Tickets[TripKey],A107,Tickets[TP]))</f>
        <v/>
      </c>
      <c r="F107">
        <f>IF(A107="","",SUMIF(Tickets[TripKey],A107,Tickets[Revenue]))</f>
        <v/>
      </c>
      <c r="G107">
        <f>IF(A107="","",SUMIF(Tickets[TripKey],A107,Tickets[PK]))</f>
        <v/>
      </c>
      <c r="H107">
        <f>IF(A107="","",IFERROR(XLOOKUP(A107,Tickets[TripKey],Tickets[VehClean]),""))</f>
        <v/>
      </c>
      <c r="I107">
        <f>IF(A107="","",IFERROR(XLOOKUP(A107,Tickets[TripKey],Tickets[RouteLen]),0))</f>
        <v/>
      </c>
      <c r="J107">
        <f>IF(A107="","",IFERROR(XLOOKUP(A107,Tickets[TripKey],Tickets[Capacity]),0))</f>
        <v/>
      </c>
      <c r="K107">
        <f>IF(A107="","",I107*J107)</f>
        <v/>
      </c>
      <c r="L107">
        <f>IF(A107="","",IFERROR(MINIFS(Tickets[Trip Start Time],Tickets[TripKey],A107),""))</f>
        <v/>
      </c>
    </row>
    <row r="108">
      <c r="B108" s="8">
        <f>IF(A108="","",IFERROR(DATEVALUE(TEXTBEFORE(A108,"|")),--LEFT(A108,10)))</f>
        <v/>
      </c>
      <c r="C108">
        <f>IF(A108="","",TEXTBEFORE(TEXTAFTER(A108,"|"),"|"))</f>
        <v/>
      </c>
      <c r="D108">
        <f>IF(A108="","",TEXTAFTER(A108,"|",2))</f>
        <v/>
      </c>
      <c r="E108">
        <f>IF(A108="","",SUMIF(Tickets[TripKey],A108,Tickets[TP]))</f>
        <v/>
      </c>
      <c r="F108">
        <f>IF(A108="","",SUMIF(Tickets[TripKey],A108,Tickets[Revenue]))</f>
        <v/>
      </c>
      <c r="G108">
        <f>IF(A108="","",SUMIF(Tickets[TripKey],A108,Tickets[PK]))</f>
        <v/>
      </c>
      <c r="H108">
        <f>IF(A108="","",IFERROR(XLOOKUP(A108,Tickets[TripKey],Tickets[VehClean]),""))</f>
        <v/>
      </c>
      <c r="I108">
        <f>IF(A108="","",IFERROR(XLOOKUP(A108,Tickets[TripKey],Tickets[RouteLen]),0))</f>
        <v/>
      </c>
      <c r="J108">
        <f>IF(A108="","",IFERROR(XLOOKUP(A108,Tickets[TripKey],Tickets[Capacity]),0))</f>
        <v/>
      </c>
      <c r="K108">
        <f>IF(A108="","",I108*J108)</f>
        <v/>
      </c>
      <c r="L108">
        <f>IF(A108="","",IFERROR(MINIFS(Tickets[Trip Start Time],Tickets[TripKey],A108),""))</f>
        <v/>
      </c>
    </row>
    <row r="109">
      <c r="B109" s="8">
        <f>IF(A109="","",IFERROR(DATEVALUE(TEXTBEFORE(A109,"|")),--LEFT(A109,10)))</f>
        <v/>
      </c>
      <c r="C109">
        <f>IF(A109="","",TEXTBEFORE(TEXTAFTER(A109,"|"),"|"))</f>
        <v/>
      </c>
      <c r="D109">
        <f>IF(A109="","",TEXTAFTER(A109,"|",2))</f>
        <v/>
      </c>
      <c r="E109">
        <f>IF(A109="","",SUMIF(Tickets[TripKey],A109,Tickets[TP]))</f>
        <v/>
      </c>
      <c r="F109">
        <f>IF(A109="","",SUMIF(Tickets[TripKey],A109,Tickets[Revenue]))</f>
        <v/>
      </c>
      <c r="G109">
        <f>IF(A109="","",SUMIF(Tickets[TripKey],A109,Tickets[PK]))</f>
        <v/>
      </c>
      <c r="H109">
        <f>IF(A109="","",IFERROR(XLOOKUP(A109,Tickets[TripKey],Tickets[VehClean]),""))</f>
        <v/>
      </c>
      <c r="I109">
        <f>IF(A109="","",IFERROR(XLOOKUP(A109,Tickets[TripKey],Tickets[RouteLen]),0))</f>
        <v/>
      </c>
      <c r="J109">
        <f>IF(A109="","",IFERROR(XLOOKUP(A109,Tickets[TripKey],Tickets[Capacity]),0))</f>
        <v/>
      </c>
      <c r="K109">
        <f>IF(A109="","",I109*J109)</f>
        <v/>
      </c>
      <c r="L109">
        <f>IF(A109="","",IFERROR(MINIFS(Tickets[Trip Start Time],Tickets[TripKey],A109),""))</f>
        <v/>
      </c>
    </row>
    <row r="110">
      <c r="B110" s="8">
        <f>IF(A110="","",IFERROR(DATEVALUE(TEXTBEFORE(A110,"|")),--LEFT(A110,10)))</f>
        <v/>
      </c>
      <c r="C110">
        <f>IF(A110="","",TEXTBEFORE(TEXTAFTER(A110,"|"),"|"))</f>
        <v/>
      </c>
      <c r="D110">
        <f>IF(A110="","",TEXTAFTER(A110,"|",2))</f>
        <v/>
      </c>
      <c r="E110">
        <f>IF(A110="","",SUMIF(Tickets[TripKey],A110,Tickets[TP]))</f>
        <v/>
      </c>
      <c r="F110">
        <f>IF(A110="","",SUMIF(Tickets[TripKey],A110,Tickets[Revenue]))</f>
        <v/>
      </c>
      <c r="G110">
        <f>IF(A110="","",SUMIF(Tickets[TripKey],A110,Tickets[PK]))</f>
        <v/>
      </c>
      <c r="H110">
        <f>IF(A110="","",IFERROR(XLOOKUP(A110,Tickets[TripKey],Tickets[VehClean]),""))</f>
        <v/>
      </c>
      <c r="I110">
        <f>IF(A110="","",IFERROR(XLOOKUP(A110,Tickets[TripKey],Tickets[RouteLen]),0))</f>
        <v/>
      </c>
      <c r="J110">
        <f>IF(A110="","",IFERROR(XLOOKUP(A110,Tickets[TripKey],Tickets[Capacity]),0))</f>
        <v/>
      </c>
      <c r="K110">
        <f>IF(A110="","",I110*J110)</f>
        <v/>
      </c>
      <c r="L110">
        <f>IF(A110="","",IFERROR(MINIFS(Tickets[Trip Start Time],Tickets[TripKey],A110),""))</f>
        <v/>
      </c>
    </row>
    <row r="111">
      <c r="B111" s="8">
        <f>IF(A111="","",IFERROR(DATEVALUE(TEXTBEFORE(A111,"|")),--LEFT(A111,10)))</f>
        <v/>
      </c>
      <c r="C111">
        <f>IF(A111="","",TEXTBEFORE(TEXTAFTER(A111,"|"),"|"))</f>
        <v/>
      </c>
      <c r="D111">
        <f>IF(A111="","",TEXTAFTER(A111,"|",2))</f>
        <v/>
      </c>
      <c r="E111">
        <f>IF(A111="","",SUMIF(Tickets[TripKey],A111,Tickets[TP]))</f>
        <v/>
      </c>
      <c r="F111">
        <f>IF(A111="","",SUMIF(Tickets[TripKey],A111,Tickets[Revenue]))</f>
        <v/>
      </c>
      <c r="G111">
        <f>IF(A111="","",SUMIF(Tickets[TripKey],A111,Tickets[PK]))</f>
        <v/>
      </c>
      <c r="H111">
        <f>IF(A111="","",IFERROR(XLOOKUP(A111,Tickets[TripKey],Tickets[VehClean]),""))</f>
        <v/>
      </c>
      <c r="I111">
        <f>IF(A111="","",IFERROR(XLOOKUP(A111,Tickets[TripKey],Tickets[RouteLen]),0))</f>
        <v/>
      </c>
      <c r="J111">
        <f>IF(A111="","",IFERROR(XLOOKUP(A111,Tickets[TripKey],Tickets[Capacity]),0))</f>
        <v/>
      </c>
      <c r="K111">
        <f>IF(A111="","",I111*J111)</f>
        <v/>
      </c>
      <c r="L111">
        <f>IF(A111="","",IFERROR(MINIFS(Tickets[Trip Start Time],Tickets[TripKey],A111),""))</f>
        <v/>
      </c>
    </row>
    <row r="112">
      <c r="B112" s="8">
        <f>IF(A112="","",IFERROR(DATEVALUE(TEXTBEFORE(A112,"|")),--LEFT(A112,10)))</f>
        <v/>
      </c>
      <c r="C112">
        <f>IF(A112="","",TEXTBEFORE(TEXTAFTER(A112,"|"),"|"))</f>
        <v/>
      </c>
      <c r="D112">
        <f>IF(A112="","",TEXTAFTER(A112,"|",2))</f>
        <v/>
      </c>
      <c r="E112">
        <f>IF(A112="","",SUMIF(Tickets[TripKey],A112,Tickets[TP]))</f>
        <v/>
      </c>
      <c r="F112">
        <f>IF(A112="","",SUMIF(Tickets[TripKey],A112,Tickets[Revenue]))</f>
        <v/>
      </c>
      <c r="G112">
        <f>IF(A112="","",SUMIF(Tickets[TripKey],A112,Tickets[PK]))</f>
        <v/>
      </c>
      <c r="H112">
        <f>IF(A112="","",IFERROR(XLOOKUP(A112,Tickets[TripKey],Tickets[VehClean]),""))</f>
        <v/>
      </c>
      <c r="I112">
        <f>IF(A112="","",IFERROR(XLOOKUP(A112,Tickets[TripKey],Tickets[RouteLen]),0))</f>
        <v/>
      </c>
      <c r="J112">
        <f>IF(A112="","",IFERROR(XLOOKUP(A112,Tickets[TripKey],Tickets[Capacity]),0))</f>
        <v/>
      </c>
      <c r="K112">
        <f>IF(A112="","",I112*J112)</f>
        <v/>
      </c>
      <c r="L112">
        <f>IF(A112="","",IFERROR(MINIFS(Tickets[Trip Start Time],Tickets[TripKey],A112),""))</f>
        <v/>
      </c>
    </row>
    <row r="113">
      <c r="B113" s="8">
        <f>IF(A113="","",IFERROR(DATEVALUE(TEXTBEFORE(A113,"|")),--LEFT(A113,10)))</f>
        <v/>
      </c>
      <c r="C113">
        <f>IF(A113="","",TEXTBEFORE(TEXTAFTER(A113,"|"),"|"))</f>
        <v/>
      </c>
      <c r="D113">
        <f>IF(A113="","",TEXTAFTER(A113,"|",2))</f>
        <v/>
      </c>
      <c r="E113">
        <f>IF(A113="","",SUMIF(Tickets[TripKey],A113,Tickets[TP]))</f>
        <v/>
      </c>
      <c r="F113">
        <f>IF(A113="","",SUMIF(Tickets[TripKey],A113,Tickets[Revenue]))</f>
        <v/>
      </c>
      <c r="G113">
        <f>IF(A113="","",SUMIF(Tickets[TripKey],A113,Tickets[PK]))</f>
        <v/>
      </c>
      <c r="H113">
        <f>IF(A113="","",IFERROR(XLOOKUP(A113,Tickets[TripKey],Tickets[VehClean]),""))</f>
        <v/>
      </c>
      <c r="I113">
        <f>IF(A113="","",IFERROR(XLOOKUP(A113,Tickets[TripKey],Tickets[RouteLen]),0))</f>
        <v/>
      </c>
      <c r="J113">
        <f>IF(A113="","",IFERROR(XLOOKUP(A113,Tickets[TripKey],Tickets[Capacity]),0))</f>
        <v/>
      </c>
      <c r="K113">
        <f>IF(A113="","",I113*J113)</f>
        <v/>
      </c>
      <c r="L113">
        <f>IF(A113="","",IFERROR(MINIFS(Tickets[Trip Start Time],Tickets[TripKey],A113),""))</f>
        <v/>
      </c>
    </row>
    <row r="114">
      <c r="B114" s="8">
        <f>IF(A114="","",IFERROR(DATEVALUE(TEXTBEFORE(A114,"|")),--LEFT(A114,10)))</f>
        <v/>
      </c>
      <c r="C114">
        <f>IF(A114="","",TEXTBEFORE(TEXTAFTER(A114,"|"),"|"))</f>
        <v/>
      </c>
      <c r="D114">
        <f>IF(A114="","",TEXTAFTER(A114,"|",2))</f>
        <v/>
      </c>
      <c r="E114">
        <f>IF(A114="","",SUMIF(Tickets[TripKey],A114,Tickets[TP]))</f>
        <v/>
      </c>
      <c r="F114">
        <f>IF(A114="","",SUMIF(Tickets[TripKey],A114,Tickets[Revenue]))</f>
        <v/>
      </c>
      <c r="G114">
        <f>IF(A114="","",SUMIF(Tickets[TripKey],A114,Tickets[PK]))</f>
        <v/>
      </c>
      <c r="H114">
        <f>IF(A114="","",IFERROR(XLOOKUP(A114,Tickets[TripKey],Tickets[VehClean]),""))</f>
        <v/>
      </c>
      <c r="I114">
        <f>IF(A114="","",IFERROR(XLOOKUP(A114,Tickets[TripKey],Tickets[RouteLen]),0))</f>
        <v/>
      </c>
      <c r="J114">
        <f>IF(A114="","",IFERROR(XLOOKUP(A114,Tickets[TripKey],Tickets[Capacity]),0))</f>
        <v/>
      </c>
      <c r="K114">
        <f>IF(A114="","",I114*J114)</f>
        <v/>
      </c>
      <c r="L114">
        <f>IF(A114="","",IFERROR(MINIFS(Tickets[Trip Start Time],Tickets[TripKey],A114),""))</f>
        <v/>
      </c>
    </row>
    <row r="115">
      <c r="B115" s="8">
        <f>IF(A115="","",IFERROR(DATEVALUE(TEXTBEFORE(A115,"|")),--LEFT(A115,10)))</f>
        <v/>
      </c>
      <c r="C115">
        <f>IF(A115="","",TEXTBEFORE(TEXTAFTER(A115,"|"),"|"))</f>
        <v/>
      </c>
      <c r="D115">
        <f>IF(A115="","",TEXTAFTER(A115,"|",2))</f>
        <v/>
      </c>
      <c r="E115">
        <f>IF(A115="","",SUMIF(Tickets[TripKey],A115,Tickets[TP]))</f>
        <v/>
      </c>
      <c r="F115">
        <f>IF(A115="","",SUMIF(Tickets[TripKey],A115,Tickets[Revenue]))</f>
        <v/>
      </c>
      <c r="G115">
        <f>IF(A115="","",SUMIF(Tickets[TripKey],A115,Tickets[PK]))</f>
        <v/>
      </c>
      <c r="H115">
        <f>IF(A115="","",IFERROR(XLOOKUP(A115,Tickets[TripKey],Tickets[VehClean]),""))</f>
        <v/>
      </c>
      <c r="I115">
        <f>IF(A115="","",IFERROR(XLOOKUP(A115,Tickets[TripKey],Tickets[RouteLen]),0))</f>
        <v/>
      </c>
      <c r="J115">
        <f>IF(A115="","",IFERROR(XLOOKUP(A115,Tickets[TripKey],Tickets[Capacity]),0))</f>
        <v/>
      </c>
      <c r="K115">
        <f>IF(A115="","",I115*J115)</f>
        <v/>
      </c>
      <c r="L115">
        <f>IF(A115="","",IFERROR(MINIFS(Tickets[Trip Start Time],Tickets[TripKey],A115),""))</f>
        <v/>
      </c>
    </row>
    <row r="116">
      <c r="B116" s="8">
        <f>IF(A116="","",IFERROR(DATEVALUE(TEXTBEFORE(A116,"|")),--LEFT(A116,10)))</f>
        <v/>
      </c>
      <c r="C116">
        <f>IF(A116="","",TEXTBEFORE(TEXTAFTER(A116,"|"),"|"))</f>
        <v/>
      </c>
      <c r="D116">
        <f>IF(A116="","",TEXTAFTER(A116,"|",2))</f>
        <v/>
      </c>
      <c r="E116">
        <f>IF(A116="","",SUMIF(Tickets[TripKey],A116,Tickets[TP]))</f>
        <v/>
      </c>
      <c r="F116">
        <f>IF(A116="","",SUMIF(Tickets[TripKey],A116,Tickets[Revenue]))</f>
        <v/>
      </c>
      <c r="G116">
        <f>IF(A116="","",SUMIF(Tickets[TripKey],A116,Tickets[PK]))</f>
        <v/>
      </c>
      <c r="H116">
        <f>IF(A116="","",IFERROR(XLOOKUP(A116,Tickets[TripKey],Tickets[VehClean]),""))</f>
        <v/>
      </c>
      <c r="I116">
        <f>IF(A116="","",IFERROR(XLOOKUP(A116,Tickets[TripKey],Tickets[RouteLen]),0))</f>
        <v/>
      </c>
      <c r="J116">
        <f>IF(A116="","",IFERROR(XLOOKUP(A116,Tickets[TripKey],Tickets[Capacity]),0))</f>
        <v/>
      </c>
      <c r="K116">
        <f>IF(A116="","",I116*J116)</f>
        <v/>
      </c>
      <c r="L116">
        <f>IF(A116="","",IFERROR(MINIFS(Tickets[Trip Start Time],Tickets[TripKey],A116),""))</f>
        <v/>
      </c>
    </row>
    <row r="117">
      <c r="B117" s="8">
        <f>IF(A117="","",IFERROR(DATEVALUE(TEXTBEFORE(A117,"|")),--LEFT(A117,10)))</f>
        <v/>
      </c>
      <c r="C117">
        <f>IF(A117="","",TEXTBEFORE(TEXTAFTER(A117,"|"),"|"))</f>
        <v/>
      </c>
      <c r="D117">
        <f>IF(A117="","",TEXTAFTER(A117,"|",2))</f>
        <v/>
      </c>
      <c r="E117">
        <f>IF(A117="","",SUMIF(Tickets[TripKey],A117,Tickets[TP]))</f>
        <v/>
      </c>
      <c r="F117">
        <f>IF(A117="","",SUMIF(Tickets[TripKey],A117,Tickets[Revenue]))</f>
        <v/>
      </c>
      <c r="G117">
        <f>IF(A117="","",SUMIF(Tickets[TripKey],A117,Tickets[PK]))</f>
        <v/>
      </c>
      <c r="H117">
        <f>IF(A117="","",IFERROR(XLOOKUP(A117,Tickets[TripKey],Tickets[VehClean]),""))</f>
        <v/>
      </c>
      <c r="I117">
        <f>IF(A117="","",IFERROR(XLOOKUP(A117,Tickets[TripKey],Tickets[RouteLen]),0))</f>
        <v/>
      </c>
      <c r="J117">
        <f>IF(A117="","",IFERROR(XLOOKUP(A117,Tickets[TripKey],Tickets[Capacity]),0))</f>
        <v/>
      </c>
      <c r="K117">
        <f>IF(A117="","",I117*J117)</f>
        <v/>
      </c>
      <c r="L117">
        <f>IF(A117="","",IFERROR(MINIFS(Tickets[Trip Start Time],Tickets[TripKey],A117),""))</f>
        <v/>
      </c>
    </row>
    <row r="118">
      <c r="B118" s="8">
        <f>IF(A118="","",IFERROR(DATEVALUE(TEXTBEFORE(A118,"|")),--LEFT(A118,10)))</f>
        <v/>
      </c>
      <c r="C118">
        <f>IF(A118="","",TEXTBEFORE(TEXTAFTER(A118,"|"),"|"))</f>
        <v/>
      </c>
      <c r="D118">
        <f>IF(A118="","",TEXTAFTER(A118,"|",2))</f>
        <v/>
      </c>
      <c r="E118">
        <f>IF(A118="","",SUMIF(Tickets[TripKey],A118,Tickets[TP]))</f>
        <v/>
      </c>
      <c r="F118">
        <f>IF(A118="","",SUMIF(Tickets[TripKey],A118,Tickets[Revenue]))</f>
        <v/>
      </c>
      <c r="G118">
        <f>IF(A118="","",SUMIF(Tickets[TripKey],A118,Tickets[PK]))</f>
        <v/>
      </c>
      <c r="H118">
        <f>IF(A118="","",IFERROR(XLOOKUP(A118,Tickets[TripKey],Tickets[VehClean]),""))</f>
        <v/>
      </c>
      <c r="I118">
        <f>IF(A118="","",IFERROR(XLOOKUP(A118,Tickets[TripKey],Tickets[RouteLen]),0))</f>
        <v/>
      </c>
      <c r="J118">
        <f>IF(A118="","",IFERROR(XLOOKUP(A118,Tickets[TripKey],Tickets[Capacity]),0))</f>
        <v/>
      </c>
      <c r="K118">
        <f>IF(A118="","",I118*J118)</f>
        <v/>
      </c>
      <c r="L118">
        <f>IF(A118="","",IFERROR(MINIFS(Tickets[Trip Start Time],Tickets[TripKey],A118),""))</f>
        <v/>
      </c>
    </row>
    <row r="119">
      <c r="B119" s="8">
        <f>IF(A119="","",IFERROR(DATEVALUE(TEXTBEFORE(A119,"|")),--LEFT(A119,10)))</f>
        <v/>
      </c>
      <c r="C119">
        <f>IF(A119="","",TEXTBEFORE(TEXTAFTER(A119,"|"),"|"))</f>
        <v/>
      </c>
      <c r="D119">
        <f>IF(A119="","",TEXTAFTER(A119,"|",2))</f>
        <v/>
      </c>
      <c r="E119">
        <f>IF(A119="","",SUMIF(Tickets[TripKey],A119,Tickets[TP]))</f>
        <v/>
      </c>
      <c r="F119">
        <f>IF(A119="","",SUMIF(Tickets[TripKey],A119,Tickets[Revenue]))</f>
        <v/>
      </c>
      <c r="G119">
        <f>IF(A119="","",SUMIF(Tickets[TripKey],A119,Tickets[PK]))</f>
        <v/>
      </c>
      <c r="H119">
        <f>IF(A119="","",IFERROR(XLOOKUP(A119,Tickets[TripKey],Tickets[VehClean]),""))</f>
        <v/>
      </c>
      <c r="I119">
        <f>IF(A119="","",IFERROR(XLOOKUP(A119,Tickets[TripKey],Tickets[RouteLen]),0))</f>
        <v/>
      </c>
      <c r="J119">
        <f>IF(A119="","",IFERROR(XLOOKUP(A119,Tickets[TripKey],Tickets[Capacity]),0))</f>
        <v/>
      </c>
      <c r="K119">
        <f>IF(A119="","",I119*J119)</f>
        <v/>
      </c>
      <c r="L119">
        <f>IF(A119="","",IFERROR(MINIFS(Tickets[Trip Start Time],Tickets[TripKey],A119),""))</f>
        <v/>
      </c>
    </row>
    <row r="120">
      <c r="B120" s="8">
        <f>IF(A120="","",IFERROR(DATEVALUE(TEXTBEFORE(A120,"|")),--LEFT(A120,10)))</f>
        <v/>
      </c>
      <c r="C120">
        <f>IF(A120="","",TEXTBEFORE(TEXTAFTER(A120,"|"),"|"))</f>
        <v/>
      </c>
      <c r="D120">
        <f>IF(A120="","",TEXTAFTER(A120,"|",2))</f>
        <v/>
      </c>
      <c r="E120">
        <f>IF(A120="","",SUMIF(Tickets[TripKey],A120,Tickets[TP]))</f>
        <v/>
      </c>
      <c r="F120">
        <f>IF(A120="","",SUMIF(Tickets[TripKey],A120,Tickets[Revenue]))</f>
        <v/>
      </c>
      <c r="G120">
        <f>IF(A120="","",SUMIF(Tickets[TripKey],A120,Tickets[PK]))</f>
        <v/>
      </c>
      <c r="H120">
        <f>IF(A120="","",IFERROR(XLOOKUP(A120,Tickets[TripKey],Tickets[VehClean]),""))</f>
        <v/>
      </c>
      <c r="I120">
        <f>IF(A120="","",IFERROR(XLOOKUP(A120,Tickets[TripKey],Tickets[RouteLen]),0))</f>
        <v/>
      </c>
      <c r="J120">
        <f>IF(A120="","",IFERROR(XLOOKUP(A120,Tickets[TripKey],Tickets[Capacity]),0))</f>
        <v/>
      </c>
      <c r="K120">
        <f>IF(A120="","",I120*J120)</f>
        <v/>
      </c>
      <c r="L120">
        <f>IF(A120="","",IFERROR(MINIFS(Tickets[Trip Start Time],Tickets[TripKey],A120),""))</f>
        <v/>
      </c>
    </row>
    <row r="121">
      <c r="B121" s="8">
        <f>IF(A121="","",IFERROR(DATEVALUE(TEXTBEFORE(A121,"|")),--LEFT(A121,10)))</f>
        <v/>
      </c>
      <c r="C121">
        <f>IF(A121="","",TEXTBEFORE(TEXTAFTER(A121,"|"),"|"))</f>
        <v/>
      </c>
      <c r="D121">
        <f>IF(A121="","",TEXTAFTER(A121,"|",2))</f>
        <v/>
      </c>
      <c r="E121">
        <f>IF(A121="","",SUMIF(Tickets[TripKey],A121,Tickets[TP]))</f>
        <v/>
      </c>
      <c r="F121">
        <f>IF(A121="","",SUMIF(Tickets[TripKey],A121,Tickets[Revenue]))</f>
        <v/>
      </c>
      <c r="G121">
        <f>IF(A121="","",SUMIF(Tickets[TripKey],A121,Tickets[PK]))</f>
        <v/>
      </c>
      <c r="H121">
        <f>IF(A121="","",IFERROR(XLOOKUP(A121,Tickets[TripKey],Tickets[VehClean]),""))</f>
        <v/>
      </c>
      <c r="I121">
        <f>IF(A121="","",IFERROR(XLOOKUP(A121,Tickets[TripKey],Tickets[RouteLen]),0))</f>
        <v/>
      </c>
      <c r="J121">
        <f>IF(A121="","",IFERROR(XLOOKUP(A121,Tickets[TripKey],Tickets[Capacity]),0))</f>
        <v/>
      </c>
      <c r="K121">
        <f>IF(A121="","",I121*J121)</f>
        <v/>
      </c>
      <c r="L121">
        <f>IF(A121="","",IFERROR(MINIFS(Tickets[Trip Start Time],Tickets[TripKey],A121),""))</f>
        <v/>
      </c>
    </row>
    <row r="122">
      <c r="B122" s="8">
        <f>IF(A122="","",IFERROR(DATEVALUE(TEXTBEFORE(A122,"|")),--LEFT(A122,10)))</f>
        <v/>
      </c>
      <c r="C122">
        <f>IF(A122="","",TEXTBEFORE(TEXTAFTER(A122,"|"),"|"))</f>
        <v/>
      </c>
      <c r="D122">
        <f>IF(A122="","",TEXTAFTER(A122,"|",2))</f>
        <v/>
      </c>
      <c r="E122">
        <f>IF(A122="","",SUMIF(Tickets[TripKey],A122,Tickets[TP]))</f>
        <v/>
      </c>
      <c r="F122">
        <f>IF(A122="","",SUMIF(Tickets[TripKey],A122,Tickets[Revenue]))</f>
        <v/>
      </c>
      <c r="G122">
        <f>IF(A122="","",SUMIF(Tickets[TripKey],A122,Tickets[PK]))</f>
        <v/>
      </c>
      <c r="H122">
        <f>IF(A122="","",IFERROR(XLOOKUP(A122,Tickets[TripKey],Tickets[VehClean]),""))</f>
        <v/>
      </c>
      <c r="I122">
        <f>IF(A122="","",IFERROR(XLOOKUP(A122,Tickets[TripKey],Tickets[RouteLen]),0))</f>
        <v/>
      </c>
      <c r="J122">
        <f>IF(A122="","",IFERROR(XLOOKUP(A122,Tickets[TripKey],Tickets[Capacity]),0))</f>
        <v/>
      </c>
      <c r="K122">
        <f>IF(A122="","",I122*J122)</f>
        <v/>
      </c>
      <c r="L122">
        <f>IF(A122="","",IFERROR(MINIFS(Tickets[Trip Start Time],Tickets[TripKey],A122),""))</f>
        <v/>
      </c>
    </row>
    <row r="123">
      <c r="B123" s="8">
        <f>IF(A123="","",IFERROR(DATEVALUE(TEXTBEFORE(A123,"|")),--LEFT(A123,10)))</f>
        <v/>
      </c>
      <c r="C123">
        <f>IF(A123="","",TEXTBEFORE(TEXTAFTER(A123,"|"),"|"))</f>
        <v/>
      </c>
      <c r="D123">
        <f>IF(A123="","",TEXTAFTER(A123,"|",2))</f>
        <v/>
      </c>
      <c r="E123">
        <f>IF(A123="","",SUMIF(Tickets[TripKey],A123,Tickets[TP]))</f>
        <v/>
      </c>
      <c r="F123">
        <f>IF(A123="","",SUMIF(Tickets[TripKey],A123,Tickets[Revenue]))</f>
        <v/>
      </c>
      <c r="G123">
        <f>IF(A123="","",SUMIF(Tickets[TripKey],A123,Tickets[PK]))</f>
        <v/>
      </c>
      <c r="H123">
        <f>IF(A123="","",IFERROR(XLOOKUP(A123,Tickets[TripKey],Tickets[VehClean]),""))</f>
        <v/>
      </c>
      <c r="I123">
        <f>IF(A123="","",IFERROR(XLOOKUP(A123,Tickets[TripKey],Tickets[RouteLen]),0))</f>
        <v/>
      </c>
      <c r="J123">
        <f>IF(A123="","",IFERROR(XLOOKUP(A123,Tickets[TripKey],Tickets[Capacity]),0))</f>
        <v/>
      </c>
      <c r="K123">
        <f>IF(A123="","",I123*J123)</f>
        <v/>
      </c>
      <c r="L123">
        <f>IF(A123="","",IFERROR(MINIFS(Tickets[Trip Start Time],Tickets[TripKey],A123),""))</f>
        <v/>
      </c>
    </row>
    <row r="124">
      <c r="B124" s="8">
        <f>IF(A124="","",IFERROR(DATEVALUE(TEXTBEFORE(A124,"|")),--LEFT(A124,10)))</f>
        <v/>
      </c>
      <c r="C124">
        <f>IF(A124="","",TEXTBEFORE(TEXTAFTER(A124,"|"),"|"))</f>
        <v/>
      </c>
      <c r="D124">
        <f>IF(A124="","",TEXTAFTER(A124,"|",2))</f>
        <v/>
      </c>
      <c r="E124">
        <f>IF(A124="","",SUMIF(Tickets[TripKey],A124,Tickets[TP]))</f>
        <v/>
      </c>
      <c r="F124">
        <f>IF(A124="","",SUMIF(Tickets[TripKey],A124,Tickets[Revenue]))</f>
        <v/>
      </c>
      <c r="G124">
        <f>IF(A124="","",SUMIF(Tickets[TripKey],A124,Tickets[PK]))</f>
        <v/>
      </c>
      <c r="H124">
        <f>IF(A124="","",IFERROR(XLOOKUP(A124,Tickets[TripKey],Tickets[VehClean]),""))</f>
        <v/>
      </c>
      <c r="I124">
        <f>IF(A124="","",IFERROR(XLOOKUP(A124,Tickets[TripKey],Tickets[RouteLen]),0))</f>
        <v/>
      </c>
      <c r="J124">
        <f>IF(A124="","",IFERROR(XLOOKUP(A124,Tickets[TripKey],Tickets[Capacity]),0))</f>
        <v/>
      </c>
      <c r="K124">
        <f>IF(A124="","",I124*J124)</f>
        <v/>
      </c>
      <c r="L124">
        <f>IF(A124="","",IFERROR(MINIFS(Tickets[Trip Start Time],Tickets[TripKey],A124),""))</f>
        <v/>
      </c>
    </row>
    <row r="125">
      <c r="B125" s="8">
        <f>IF(A125="","",IFERROR(DATEVALUE(TEXTBEFORE(A125,"|")),--LEFT(A125,10)))</f>
        <v/>
      </c>
      <c r="C125">
        <f>IF(A125="","",TEXTBEFORE(TEXTAFTER(A125,"|"),"|"))</f>
        <v/>
      </c>
      <c r="D125">
        <f>IF(A125="","",TEXTAFTER(A125,"|",2))</f>
        <v/>
      </c>
      <c r="E125">
        <f>IF(A125="","",SUMIF(Tickets[TripKey],A125,Tickets[TP]))</f>
        <v/>
      </c>
      <c r="F125">
        <f>IF(A125="","",SUMIF(Tickets[TripKey],A125,Tickets[Revenue]))</f>
        <v/>
      </c>
      <c r="G125">
        <f>IF(A125="","",SUMIF(Tickets[TripKey],A125,Tickets[PK]))</f>
        <v/>
      </c>
      <c r="H125">
        <f>IF(A125="","",IFERROR(XLOOKUP(A125,Tickets[TripKey],Tickets[VehClean]),""))</f>
        <v/>
      </c>
      <c r="I125">
        <f>IF(A125="","",IFERROR(XLOOKUP(A125,Tickets[TripKey],Tickets[RouteLen]),0))</f>
        <v/>
      </c>
      <c r="J125">
        <f>IF(A125="","",IFERROR(XLOOKUP(A125,Tickets[TripKey],Tickets[Capacity]),0))</f>
        <v/>
      </c>
      <c r="K125">
        <f>IF(A125="","",I125*J125)</f>
        <v/>
      </c>
      <c r="L125">
        <f>IF(A125="","",IFERROR(MINIFS(Tickets[Trip Start Time],Tickets[TripKey],A125),""))</f>
        <v/>
      </c>
    </row>
    <row r="126">
      <c r="B126" s="8">
        <f>IF(A126="","",IFERROR(DATEVALUE(TEXTBEFORE(A126,"|")),--LEFT(A126,10)))</f>
        <v/>
      </c>
      <c r="C126">
        <f>IF(A126="","",TEXTBEFORE(TEXTAFTER(A126,"|"),"|"))</f>
        <v/>
      </c>
      <c r="D126">
        <f>IF(A126="","",TEXTAFTER(A126,"|",2))</f>
        <v/>
      </c>
      <c r="E126">
        <f>IF(A126="","",SUMIF(Tickets[TripKey],A126,Tickets[TP]))</f>
        <v/>
      </c>
      <c r="F126">
        <f>IF(A126="","",SUMIF(Tickets[TripKey],A126,Tickets[Revenue]))</f>
        <v/>
      </c>
      <c r="G126">
        <f>IF(A126="","",SUMIF(Tickets[TripKey],A126,Tickets[PK]))</f>
        <v/>
      </c>
      <c r="H126">
        <f>IF(A126="","",IFERROR(XLOOKUP(A126,Tickets[TripKey],Tickets[VehClean]),""))</f>
        <v/>
      </c>
      <c r="I126">
        <f>IF(A126="","",IFERROR(XLOOKUP(A126,Tickets[TripKey],Tickets[RouteLen]),0))</f>
        <v/>
      </c>
      <c r="J126">
        <f>IF(A126="","",IFERROR(XLOOKUP(A126,Tickets[TripKey],Tickets[Capacity]),0))</f>
        <v/>
      </c>
      <c r="K126">
        <f>IF(A126="","",I126*J126)</f>
        <v/>
      </c>
      <c r="L126">
        <f>IF(A126="","",IFERROR(MINIFS(Tickets[Trip Start Time],Tickets[TripKey],A126),""))</f>
        <v/>
      </c>
    </row>
    <row r="127">
      <c r="B127" s="8">
        <f>IF(A127="","",IFERROR(DATEVALUE(TEXTBEFORE(A127,"|")),--LEFT(A127,10)))</f>
        <v/>
      </c>
      <c r="C127">
        <f>IF(A127="","",TEXTBEFORE(TEXTAFTER(A127,"|"),"|"))</f>
        <v/>
      </c>
      <c r="D127">
        <f>IF(A127="","",TEXTAFTER(A127,"|",2))</f>
        <v/>
      </c>
      <c r="E127">
        <f>IF(A127="","",SUMIF(Tickets[TripKey],A127,Tickets[TP]))</f>
        <v/>
      </c>
      <c r="F127">
        <f>IF(A127="","",SUMIF(Tickets[TripKey],A127,Tickets[Revenue]))</f>
        <v/>
      </c>
      <c r="G127">
        <f>IF(A127="","",SUMIF(Tickets[TripKey],A127,Tickets[PK]))</f>
        <v/>
      </c>
      <c r="H127">
        <f>IF(A127="","",IFERROR(XLOOKUP(A127,Tickets[TripKey],Tickets[VehClean]),""))</f>
        <v/>
      </c>
      <c r="I127">
        <f>IF(A127="","",IFERROR(XLOOKUP(A127,Tickets[TripKey],Tickets[RouteLen]),0))</f>
        <v/>
      </c>
      <c r="J127">
        <f>IF(A127="","",IFERROR(XLOOKUP(A127,Tickets[TripKey],Tickets[Capacity]),0))</f>
        <v/>
      </c>
      <c r="K127">
        <f>IF(A127="","",I127*J127)</f>
        <v/>
      </c>
      <c r="L127">
        <f>IF(A127="","",IFERROR(MINIFS(Tickets[Trip Start Time],Tickets[TripKey],A127),""))</f>
        <v/>
      </c>
    </row>
    <row r="128">
      <c r="B128" s="8">
        <f>IF(A128="","",IFERROR(DATEVALUE(TEXTBEFORE(A128,"|")),--LEFT(A128,10)))</f>
        <v/>
      </c>
      <c r="C128">
        <f>IF(A128="","",TEXTBEFORE(TEXTAFTER(A128,"|"),"|"))</f>
        <v/>
      </c>
      <c r="D128">
        <f>IF(A128="","",TEXTAFTER(A128,"|",2))</f>
        <v/>
      </c>
      <c r="E128">
        <f>IF(A128="","",SUMIF(Tickets[TripKey],A128,Tickets[TP]))</f>
        <v/>
      </c>
      <c r="F128">
        <f>IF(A128="","",SUMIF(Tickets[TripKey],A128,Tickets[Revenue]))</f>
        <v/>
      </c>
      <c r="G128">
        <f>IF(A128="","",SUMIF(Tickets[TripKey],A128,Tickets[PK]))</f>
        <v/>
      </c>
      <c r="H128">
        <f>IF(A128="","",IFERROR(XLOOKUP(A128,Tickets[TripKey],Tickets[VehClean]),""))</f>
        <v/>
      </c>
      <c r="I128">
        <f>IF(A128="","",IFERROR(XLOOKUP(A128,Tickets[TripKey],Tickets[RouteLen]),0))</f>
        <v/>
      </c>
      <c r="J128">
        <f>IF(A128="","",IFERROR(XLOOKUP(A128,Tickets[TripKey],Tickets[Capacity]),0))</f>
        <v/>
      </c>
      <c r="K128">
        <f>IF(A128="","",I128*J128)</f>
        <v/>
      </c>
      <c r="L128">
        <f>IF(A128="","",IFERROR(MINIFS(Tickets[Trip Start Time],Tickets[TripKey],A128),""))</f>
        <v/>
      </c>
    </row>
    <row r="129">
      <c r="B129" s="8">
        <f>IF(A129="","",IFERROR(DATEVALUE(TEXTBEFORE(A129,"|")),--LEFT(A129,10)))</f>
        <v/>
      </c>
      <c r="C129">
        <f>IF(A129="","",TEXTBEFORE(TEXTAFTER(A129,"|"),"|"))</f>
        <v/>
      </c>
      <c r="D129">
        <f>IF(A129="","",TEXTAFTER(A129,"|",2))</f>
        <v/>
      </c>
      <c r="E129">
        <f>IF(A129="","",SUMIF(Tickets[TripKey],A129,Tickets[TP]))</f>
        <v/>
      </c>
      <c r="F129">
        <f>IF(A129="","",SUMIF(Tickets[TripKey],A129,Tickets[Revenue]))</f>
        <v/>
      </c>
      <c r="G129">
        <f>IF(A129="","",SUMIF(Tickets[TripKey],A129,Tickets[PK]))</f>
        <v/>
      </c>
      <c r="H129">
        <f>IF(A129="","",IFERROR(XLOOKUP(A129,Tickets[TripKey],Tickets[VehClean]),""))</f>
        <v/>
      </c>
      <c r="I129">
        <f>IF(A129="","",IFERROR(XLOOKUP(A129,Tickets[TripKey],Tickets[RouteLen]),0))</f>
        <v/>
      </c>
      <c r="J129">
        <f>IF(A129="","",IFERROR(XLOOKUP(A129,Tickets[TripKey],Tickets[Capacity]),0))</f>
        <v/>
      </c>
      <c r="K129">
        <f>IF(A129="","",I129*J129)</f>
        <v/>
      </c>
      <c r="L129">
        <f>IF(A129="","",IFERROR(MINIFS(Tickets[Trip Start Time],Tickets[TripKey],A129),""))</f>
        <v/>
      </c>
    </row>
    <row r="130">
      <c r="B130" s="8">
        <f>IF(A130="","",IFERROR(DATEVALUE(TEXTBEFORE(A130,"|")),--LEFT(A130,10)))</f>
        <v/>
      </c>
      <c r="C130">
        <f>IF(A130="","",TEXTBEFORE(TEXTAFTER(A130,"|"),"|"))</f>
        <v/>
      </c>
      <c r="D130">
        <f>IF(A130="","",TEXTAFTER(A130,"|",2))</f>
        <v/>
      </c>
      <c r="E130">
        <f>IF(A130="","",SUMIF(Tickets[TripKey],A130,Tickets[TP]))</f>
        <v/>
      </c>
      <c r="F130">
        <f>IF(A130="","",SUMIF(Tickets[TripKey],A130,Tickets[Revenue]))</f>
        <v/>
      </c>
      <c r="G130">
        <f>IF(A130="","",SUMIF(Tickets[TripKey],A130,Tickets[PK]))</f>
        <v/>
      </c>
      <c r="H130">
        <f>IF(A130="","",IFERROR(XLOOKUP(A130,Tickets[TripKey],Tickets[VehClean]),""))</f>
        <v/>
      </c>
      <c r="I130">
        <f>IF(A130="","",IFERROR(XLOOKUP(A130,Tickets[TripKey],Tickets[RouteLen]),0))</f>
        <v/>
      </c>
      <c r="J130">
        <f>IF(A130="","",IFERROR(XLOOKUP(A130,Tickets[TripKey],Tickets[Capacity]),0))</f>
        <v/>
      </c>
      <c r="K130">
        <f>IF(A130="","",I130*J130)</f>
        <v/>
      </c>
      <c r="L130">
        <f>IF(A130="","",IFERROR(MINIFS(Tickets[Trip Start Time],Tickets[TripKey],A130),""))</f>
        <v/>
      </c>
    </row>
    <row r="131">
      <c r="B131" s="8">
        <f>IF(A131="","",IFERROR(DATEVALUE(TEXTBEFORE(A131,"|")),--LEFT(A131,10)))</f>
        <v/>
      </c>
      <c r="C131">
        <f>IF(A131="","",TEXTBEFORE(TEXTAFTER(A131,"|"),"|"))</f>
        <v/>
      </c>
      <c r="D131">
        <f>IF(A131="","",TEXTAFTER(A131,"|",2))</f>
        <v/>
      </c>
      <c r="E131">
        <f>IF(A131="","",SUMIF(Tickets[TripKey],A131,Tickets[TP]))</f>
        <v/>
      </c>
      <c r="F131">
        <f>IF(A131="","",SUMIF(Tickets[TripKey],A131,Tickets[Revenue]))</f>
        <v/>
      </c>
      <c r="G131">
        <f>IF(A131="","",SUMIF(Tickets[TripKey],A131,Tickets[PK]))</f>
        <v/>
      </c>
      <c r="H131">
        <f>IF(A131="","",IFERROR(XLOOKUP(A131,Tickets[TripKey],Tickets[VehClean]),""))</f>
        <v/>
      </c>
      <c r="I131">
        <f>IF(A131="","",IFERROR(XLOOKUP(A131,Tickets[TripKey],Tickets[RouteLen]),0))</f>
        <v/>
      </c>
      <c r="J131">
        <f>IF(A131="","",IFERROR(XLOOKUP(A131,Tickets[TripKey],Tickets[Capacity]),0))</f>
        <v/>
      </c>
      <c r="K131">
        <f>IF(A131="","",I131*J131)</f>
        <v/>
      </c>
      <c r="L131">
        <f>IF(A131="","",IFERROR(MINIFS(Tickets[Trip Start Time],Tickets[TripKey],A131),""))</f>
        <v/>
      </c>
    </row>
    <row r="132">
      <c r="B132" s="8">
        <f>IF(A132="","",IFERROR(DATEVALUE(TEXTBEFORE(A132,"|")),--LEFT(A132,10)))</f>
        <v/>
      </c>
      <c r="C132">
        <f>IF(A132="","",TEXTBEFORE(TEXTAFTER(A132,"|"),"|"))</f>
        <v/>
      </c>
      <c r="D132">
        <f>IF(A132="","",TEXTAFTER(A132,"|",2))</f>
        <v/>
      </c>
      <c r="E132">
        <f>IF(A132="","",SUMIF(Tickets[TripKey],A132,Tickets[TP]))</f>
        <v/>
      </c>
      <c r="F132">
        <f>IF(A132="","",SUMIF(Tickets[TripKey],A132,Tickets[Revenue]))</f>
        <v/>
      </c>
      <c r="G132">
        <f>IF(A132="","",SUMIF(Tickets[TripKey],A132,Tickets[PK]))</f>
        <v/>
      </c>
      <c r="H132">
        <f>IF(A132="","",IFERROR(XLOOKUP(A132,Tickets[TripKey],Tickets[VehClean]),""))</f>
        <v/>
      </c>
      <c r="I132">
        <f>IF(A132="","",IFERROR(XLOOKUP(A132,Tickets[TripKey],Tickets[RouteLen]),0))</f>
        <v/>
      </c>
      <c r="J132">
        <f>IF(A132="","",IFERROR(XLOOKUP(A132,Tickets[TripKey],Tickets[Capacity]),0))</f>
        <v/>
      </c>
      <c r="K132">
        <f>IF(A132="","",I132*J132)</f>
        <v/>
      </c>
      <c r="L132">
        <f>IF(A132="","",IFERROR(MINIFS(Tickets[Trip Start Time],Tickets[TripKey],A132),""))</f>
        <v/>
      </c>
    </row>
    <row r="133">
      <c r="B133" s="8">
        <f>IF(A133="","",IFERROR(DATEVALUE(TEXTBEFORE(A133,"|")),--LEFT(A133,10)))</f>
        <v/>
      </c>
      <c r="C133">
        <f>IF(A133="","",TEXTBEFORE(TEXTAFTER(A133,"|"),"|"))</f>
        <v/>
      </c>
      <c r="D133">
        <f>IF(A133="","",TEXTAFTER(A133,"|",2))</f>
        <v/>
      </c>
      <c r="E133">
        <f>IF(A133="","",SUMIF(Tickets[TripKey],A133,Tickets[TP]))</f>
        <v/>
      </c>
      <c r="F133">
        <f>IF(A133="","",SUMIF(Tickets[TripKey],A133,Tickets[Revenue]))</f>
        <v/>
      </c>
      <c r="G133">
        <f>IF(A133="","",SUMIF(Tickets[TripKey],A133,Tickets[PK]))</f>
        <v/>
      </c>
      <c r="H133">
        <f>IF(A133="","",IFERROR(XLOOKUP(A133,Tickets[TripKey],Tickets[VehClean]),""))</f>
        <v/>
      </c>
      <c r="I133">
        <f>IF(A133="","",IFERROR(XLOOKUP(A133,Tickets[TripKey],Tickets[RouteLen]),0))</f>
        <v/>
      </c>
      <c r="J133">
        <f>IF(A133="","",IFERROR(XLOOKUP(A133,Tickets[TripKey],Tickets[Capacity]),0))</f>
        <v/>
      </c>
      <c r="K133">
        <f>IF(A133="","",I133*J133)</f>
        <v/>
      </c>
      <c r="L133">
        <f>IF(A133="","",IFERROR(MINIFS(Tickets[Trip Start Time],Tickets[TripKey],A133),""))</f>
        <v/>
      </c>
    </row>
    <row r="134">
      <c r="B134" s="8">
        <f>IF(A134="","",IFERROR(DATEVALUE(TEXTBEFORE(A134,"|")),--LEFT(A134,10)))</f>
        <v/>
      </c>
      <c r="C134">
        <f>IF(A134="","",TEXTBEFORE(TEXTAFTER(A134,"|"),"|"))</f>
        <v/>
      </c>
      <c r="D134">
        <f>IF(A134="","",TEXTAFTER(A134,"|",2))</f>
        <v/>
      </c>
      <c r="E134">
        <f>IF(A134="","",SUMIF(Tickets[TripKey],A134,Tickets[TP]))</f>
        <v/>
      </c>
      <c r="F134">
        <f>IF(A134="","",SUMIF(Tickets[TripKey],A134,Tickets[Revenue]))</f>
        <v/>
      </c>
      <c r="G134">
        <f>IF(A134="","",SUMIF(Tickets[TripKey],A134,Tickets[PK]))</f>
        <v/>
      </c>
      <c r="H134">
        <f>IF(A134="","",IFERROR(XLOOKUP(A134,Tickets[TripKey],Tickets[VehClean]),""))</f>
        <v/>
      </c>
      <c r="I134">
        <f>IF(A134="","",IFERROR(XLOOKUP(A134,Tickets[TripKey],Tickets[RouteLen]),0))</f>
        <v/>
      </c>
      <c r="J134">
        <f>IF(A134="","",IFERROR(XLOOKUP(A134,Tickets[TripKey],Tickets[Capacity]),0))</f>
        <v/>
      </c>
      <c r="K134">
        <f>IF(A134="","",I134*J134)</f>
        <v/>
      </c>
      <c r="L134">
        <f>IF(A134="","",IFERROR(MINIFS(Tickets[Trip Start Time],Tickets[TripKey],A134),""))</f>
        <v/>
      </c>
    </row>
    <row r="135">
      <c r="B135" s="8">
        <f>IF(A135="","",IFERROR(DATEVALUE(TEXTBEFORE(A135,"|")),--LEFT(A135,10)))</f>
        <v/>
      </c>
      <c r="C135">
        <f>IF(A135="","",TEXTBEFORE(TEXTAFTER(A135,"|"),"|"))</f>
        <v/>
      </c>
      <c r="D135">
        <f>IF(A135="","",TEXTAFTER(A135,"|",2))</f>
        <v/>
      </c>
      <c r="E135">
        <f>IF(A135="","",SUMIF(Tickets[TripKey],A135,Tickets[TP]))</f>
        <v/>
      </c>
      <c r="F135">
        <f>IF(A135="","",SUMIF(Tickets[TripKey],A135,Tickets[Revenue]))</f>
        <v/>
      </c>
      <c r="G135">
        <f>IF(A135="","",SUMIF(Tickets[TripKey],A135,Tickets[PK]))</f>
        <v/>
      </c>
      <c r="H135">
        <f>IF(A135="","",IFERROR(XLOOKUP(A135,Tickets[TripKey],Tickets[VehClean]),""))</f>
        <v/>
      </c>
      <c r="I135">
        <f>IF(A135="","",IFERROR(XLOOKUP(A135,Tickets[TripKey],Tickets[RouteLen]),0))</f>
        <v/>
      </c>
      <c r="J135">
        <f>IF(A135="","",IFERROR(XLOOKUP(A135,Tickets[TripKey],Tickets[Capacity]),0))</f>
        <v/>
      </c>
      <c r="K135">
        <f>IF(A135="","",I135*J135)</f>
        <v/>
      </c>
      <c r="L135">
        <f>IF(A135="","",IFERROR(MINIFS(Tickets[Trip Start Time],Tickets[TripKey],A135),""))</f>
        <v/>
      </c>
    </row>
    <row r="136">
      <c r="B136" s="8">
        <f>IF(A136="","",IFERROR(DATEVALUE(TEXTBEFORE(A136,"|")),--LEFT(A136,10)))</f>
        <v/>
      </c>
      <c r="C136">
        <f>IF(A136="","",TEXTBEFORE(TEXTAFTER(A136,"|"),"|"))</f>
        <v/>
      </c>
      <c r="D136">
        <f>IF(A136="","",TEXTAFTER(A136,"|",2))</f>
        <v/>
      </c>
      <c r="E136">
        <f>IF(A136="","",SUMIF(Tickets[TripKey],A136,Tickets[TP]))</f>
        <v/>
      </c>
      <c r="F136">
        <f>IF(A136="","",SUMIF(Tickets[TripKey],A136,Tickets[Revenue]))</f>
        <v/>
      </c>
      <c r="G136">
        <f>IF(A136="","",SUMIF(Tickets[TripKey],A136,Tickets[PK]))</f>
        <v/>
      </c>
      <c r="H136">
        <f>IF(A136="","",IFERROR(XLOOKUP(A136,Tickets[TripKey],Tickets[VehClean]),""))</f>
        <v/>
      </c>
      <c r="I136">
        <f>IF(A136="","",IFERROR(XLOOKUP(A136,Tickets[TripKey],Tickets[RouteLen]),0))</f>
        <v/>
      </c>
      <c r="J136">
        <f>IF(A136="","",IFERROR(XLOOKUP(A136,Tickets[TripKey],Tickets[Capacity]),0))</f>
        <v/>
      </c>
      <c r="K136">
        <f>IF(A136="","",I136*J136)</f>
        <v/>
      </c>
      <c r="L136">
        <f>IF(A136="","",IFERROR(MINIFS(Tickets[Trip Start Time],Tickets[TripKey],A136),""))</f>
        <v/>
      </c>
    </row>
    <row r="137">
      <c r="B137" s="8">
        <f>IF(A137="","",IFERROR(DATEVALUE(TEXTBEFORE(A137,"|")),--LEFT(A137,10)))</f>
        <v/>
      </c>
      <c r="C137">
        <f>IF(A137="","",TEXTBEFORE(TEXTAFTER(A137,"|"),"|"))</f>
        <v/>
      </c>
      <c r="D137">
        <f>IF(A137="","",TEXTAFTER(A137,"|",2))</f>
        <v/>
      </c>
      <c r="E137">
        <f>IF(A137="","",SUMIF(Tickets[TripKey],A137,Tickets[TP]))</f>
        <v/>
      </c>
      <c r="F137">
        <f>IF(A137="","",SUMIF(Tickets[TripKey],A137,Tickets[Revenue]))</f>
        <v/>
      </c>
      <c r="G137">
        <f>IF(A137="","",SUMIF(Tickets[TripKey],A137,Tickets[PK]))</f>
        <v/>
      </c>
      <c r="H137">
        <f>IF(A137="","",IFERROR(XLOOKUP(A137,Tickets[TripKey],Tickets[VehClean]),""))</f>
        <v/>
      </c>
      <c r="I137">
        <f>IF(A137="","",IFERROR(XLOOKUP(A137,Tickets[TripKey],Tickets[RouteLen]),0))</f>
        <v/>
      </c>
      <c r="J137">
        <f>IF(A137="","",IFERROR(XLOOKUP(A137,Tickets[TripKey],Tickets[Capacity]),0))</f>
        <v/>
      </c>
      <c r="K137">
        <f>IF(A137="","",I137*J137)</f>
        <v/>
      </c>
      <c r="L137">
        <f>IF(A137="","",IFERROR(MINIFS(Tickets[Trip Start Time],Tickets[TripKey],A137),""))</f>
        <v/>
      </c>
    </row>
    <row r="138">
      <c r="B138" s="8">
        <f>IF(A138="","",IFERROR(DATEVALUE(TEXTBEFORE(A138,"|")),--LEFT(A138,10)))</f>
        <v/>
      </c>
      <c r="C138">
        <f>IF(A138="","",TEXTBEFORE(TEXTAFTER(A138,"|"),"|"))</f>
        <v/>
      </c>
      <c r="D138">
        <f>IF(A138="","",TEXTAFTER(A138,"|",2))</f>
        <v/>
      </c>
      <c r="E138">
        <f>IF(A138="","",SUMIF(Tickets[TripKey],A138,Tickets[TP]))</f>
        <v/>
      </c>
      <c r="F138">
        <f>IF(A138="","",SUMIF(Tickets[TripKey],A138,Tickets[Revenue]))</f>
        <v/>
      </c>
      <c r="G138">
        <f>IF(A138="","",SUMIF(Tickets[TripKey],A138,Tickets[PK]))</f>
        <v/>
      </c>
      <c r="H138">
        <f>IF(A138="","",IFERROR(XLOOKUP(A138,Tickets[TripKey],Tickets[VehClean]),""))</f>
        <v/>
      </c>
      <c r="I138">
        <f>IF(A138="","",IFERROR(XLOOKUP(A138,Tickets[TripKey],Tickets[RouteLen]),0))</f>
        <v/>
      </c>
      <c r="J138">
        <f>IF(A138="","",IFERROR(XLOOKUP(A138,Tickets[TripKey],Tickets[Capacity]),0))</f>
        <v/>
      </c>
      <c r="K138">
        <f>IF(A138="","",I138*J138)</f>
        <v/>
      </c>
      <c r="L138">
        <f>IF(A138="","",IFERROR(MINIFS(Tickets[Trip Start Time],Tickets[TripKey],A138),""))</f>
        <v/>
      </c>
    </row>
    <row r="139">
      <c r="B139" s="8">
        <f>IF(A139="","",IFERROR(DATEVALUE(TEXTBEFORE(A139,"|")),--LEFT(A139,10)))</f>
        <v/>
      </c>
      <c r="C139">
        <f>IF(A139="","",TEXTBEFORE(TEXTAFTER(A139,"|"),"|"))</f>
        <v/>
      </c>
      <c r="D139">
        <f>IF(A139="","",TEXTAFTER(A139,"|",2))</f>
        <v/>
      </c>
      <c r="E139">
        <f>IF(A139="","",SUMIF(Tickets[TripKey],A139,Tickets[TP]))</f>
        <v/>
      </c>
      <c r="F139">
        <f>IF(A139="","",SUMIF(Tickets[TripKey],A139,Tickets[Revenue]))</f>
        <v/>
      </c>
      <c r="G139">
        <f>IF(A139="","",SUMIF(Tickets[TripKey],A139,Tickets[PK]))</f>
        <v/>
      </c>
      <c r="H139">
        <f>IF(A139="","",IFERROR(XLOOKUP(A139,Tickets[TripKey],Tickets[VehClean]),""))</f>
        <v/>
      </c>
      <c r="I139">
        <f>IF(A139="","",IFERROR(XLOOKUP(A139,Tickets[TripKey],Tickets[RouteLen]),0))</f>
        <v/>
      </c>
      <c r="J139">
        <f>IF(A139="","",IFERROR(XLOOKUP(A139,Tickets[TripKey],Tickets[Capacity]),0))</f>
        <v/>
      </c>
      <c r="K139">
        <f>IF(A139="","",I139*J139)</f>
        <v/>
      </c>
      <c r="L139">
        <f>IF(A139="","",IFERROR(MINIFS(Tickets[Trip Start Time],Tickets[TripKey],A139),""))</f>
        <v/>
      </c>
    </row>
    <row r="140">
      <c r="B140" s="8">
        <f>IF(A140="","",IFERROR(DATEVALUE(TEXTBEFORE(A140,"|")),--LEFT(A140,10)))</f>
        <v/>
      </c>
      <c r="C140">
        <f>IF(A140="","",TEXTBEFORE(TEXTAFTER(A140,"|"),"|"))</f>
        <v/>
      </c>
      <c r="D140">
        <f>IF(A140="","",TEXTAFTER(A140,"|",2))</f>
        <v/>
      </c>
      <c r="E140">
        <f>IF(A140="","",SUMIF(Tickets[TripKey],A140,Tickets[TP]))</f>
        <v/>
      </c>
      <c r="F140">
        <f>IF(A140="","",SUMIF(Tickets[TripKey],A140,Tickets[Revenue]))</f>
        <v/>
      </c>
      <c r="G140">
        <f>IF(A140="","",SUMIF(Tickets[TripKey],A140,Tickets[PK]))</f>
        <v/>
      </c>
      <c r="H140">
        <f>IF(A140="","",IFERROR(XLOOKUP(A140,Tickets[TripKey],Tickets[VehClean]),""))</f>
        <v/>
      </c>
      <c r="I140">
        <f>IF(A140="","",IFERROR(XLOOKUP(A140,Tickets[TripKey],Tickets[RouteLen]),0))</f>
        <v/>
      </c>
      <c r="J140">
        <f>IF(A140="","",IFERROR(XLOOKUP(A140,Tickets[TripKey],Tickets[Capacity]),0))</f>
        <v/>
      </c>
      <c r="K140">
        <f>IF(A140="","",I140*J140)</f>
        <v/>
      </c>
      <c r="L140">
        <f>IF(A140="","",IFERROR(MINIFS(Tickets[Trip Start Time],Tickets[TripKey],A140),""))</f>
        <v/>
      </c>
    </row>
    <row r="141">
      <c r="B141" s="8">
        <f>IF(A141="","",IFERROR(DATEVALUE(TEXTBEFORE(A141,"|")),--LEFT(A141,10)))</f>
        <v/>
      </c>
      <c r="C141">
        <f>IF(A141="","",TEXTBEFORE(TEXTAFTER(A141,"|"),"|"))</f>
        <v/>
      </c>
      <c r="D141">
        <f>IF(A141="","",TEXTAFTER(A141,"|",2))</f>
        <v/>
      </c>
      <c r="E141">
        <f>IF(A141="","",SUMIF(Tickets[TripKey],A141,Tickets[TP]))</f>
        <v/>
      </c>
      <c r="F141">
        <f>IF(A141="","",SUMIF(Tickets[TripKey],A141,Tickets[Revenue]))</f>
        <v/>
      </c>
      <c r="G141">
        <f>IF(A141="","",SUMIF(Tickets[TripKey],A141,Tickets[PK]))</f>
        <v/>
      </c>
      <c r="H141">
        <f>IF(A141="","",IFERROR(XLOOKUP(A141,Tickets[TripKey],Tickets[VehClean]),""))</f>
        <v/>
      </c>
      <c r="I141">
        <f>IF(A141="","",IFERROR(XLOOKUP(A141,Tickets[TripKey],Tickets[RouteLen]),0))</f>
        <v/>
      </c>
      <c r="J141">
        <f>IF(A141="","",IFERROR(XLOOKUP(A141,Tickets[TripKey],Tickets[Capacity]),0))</f>
        <v/>
      </c>
      <c r="K141">
        <f>IF(A141="","",I141*J141)</f>
        <v/>
      </c>
      <c r="L141">
        <f>IF(A141="","",IFERROR(MINIFS(Tickets[Trip Start Time],Tickets[TripKey],A141),""))</f>
        <v/>
      </c>
    </row>
    <row r="142">
      <c r="B142" s="8">
        <f>IF(A142="","",IFERROR(DATEVALUE(TEXTBEFORE(A142,"|")),--LEFT(A142,10)))</f>
        <v/>
      </c>
      <c r="C142">
        <f>IF(A142="","",TEXTBEFORE(TEXTAFTER(A142,"|"),"|"))</f>
        <v/>
      </c>
      <c r="D142">
        <f>IF(A142="","",TEXTAFTER(A142,"|",2))</f>
        <v/>
      </c>
      <c r="E142">
        <f>IF(A142="","",SUMIF(Tickets[TripKey],A142,Tickets[TP]))</f>
        <v/>
      </c>
      <c r="F142">
        <f>IF(A142="","",SUMIF(Tickets[TripKey],A142,Tickets[Revenue]))</f>
        <v/>
      </c>
      <c r="G142">
        <f>IF(A142="","",SUMIF(Tickets[TripKey],A142,Tickets[PK]))</f>
        <v/>
      </c>
      <c r="H142">
        <f>IF(A142="","",IFERROR(XLOOKUP(A142,Tickets[TripKey],Tickets[VehClean]),""))</f>
        <v/>
      </c>
      <c r="I142">
        <f>IF(A142="","",IFERROR(XLOOKUP(A142,Tickets[TripKey],Tickets[RouteLen]),0))</f>
        <v/>
      </c>
      <c r="J142">
        <f>IF(A142="","",IFERROR(XLOOKUP(A142,Tickets[TripKey],Tickets[Capacity]),0))</f>
        <v/>
      </c>
      <c r="K142">
        <f>IF(A142="","",I142*J142)</f>
        <v/>
      </c>
      <c r="L142">
        <f>IF(A142="","",IFERROR(MINIFS(Tickets[Trip Start Time],Tickets[TripKey],A142),""))</f>
        <v/>
      </c>
    </row>
    <row r="143">
      <c r="B143" s="8">
        <f>IF(A143="","",IFERROR(DATEVALUE(TEXTBEFORE(A143,"|")),--LEFT(A143,10)))</f>
        <v/>
      </c>
      <c r="C143">
        <f>IF(A143="","",TEXTBEFORE(TEXTAFTER(A143,"|"),"|"))</f>
        <v/>
      </c>
      <c r="D143">
        <f>IF(A143="","",TEXTAFTER(A143,"|",2))</f>
        <v/>
      </c>
      <c r="E143">
        <f>IF(A143="","",SUMIF(Tickets[TripKey],A143,Tickets[TP]))</f>
        <v/>
      </c>
      <c r="F143">
        <f>IF(A143="","",SUMIF(Tickets[TripKey],A143,Tickets[Revenue]))</f>
        <v/>
      </c>
      <c r="G143">
        <f>IF(A143="","",SUMIF(Tickets[TripKey],A143,Tickets[PK]))</f>
        <v/>
      </c>
      <c r="H143">
        <f>IF(A143="","",IFERROR(XLOOKUP(A143,Tickets[TripKey],Tickets[VehClean]),""))</f>
        <v/>
      </c>
      <c r="I143">
        <f>IF(A143="","",IFERROR(XLOOKUP(A143,Tickets[TripKey],Tickets[RouteLen]),0))</f>
        <v/>
      </c>
      <c r="J143">
        <f>IF(A143="","",IFERROR(XLOOKUP(A143,Tickets[TripKey],Tickets[Capacity]),0))</f>
        <v/>
      </c>
      <c r="K143">
        <f>IF(A143="","",I143*J143)</f>
        <v/>
      </c>
      <c r="L143">
        <f>IF(A143="","",IFERROR(MINIFS(Tickets[Trip Start Time],Tickets[TripKey],A143),""))</f>
        <v/>
      </c>
    </row>
    <row r="144">
      <c r="B144" s="8">
        <f>IF(A144="","",IFERROR(DATEVALUE(TEXTBEFORE(A144,"|")),--LEFT(A144,10)))</f>
        <v/>
      </c>
      <c r="C144">
        <f>IF(A144="","",TEXTBEFORE(TEXTAFTER(A144,"|"),"|"))</f>
        <v/>
      </c>
      <c r="D144">
        <f>IF(A144="","",TEXTAFTER(A144,"|",2))</f>
        <v/>
      </c>
      <c r="E144">
        <f>IF(A144="","",SUMIF(Tickets[TripKey],A144,Tickets[TP]))</f>
        <v/>
      </c>
      <c r="F144">
        <f>IF(A144="","",SUMIF(Tickets[TripKey],A144,Tickets[Revenue]))</f>
        <v/>
      </c>
      <c r="G144">
        <f>IF(A144="","",SUMIF(Tickets[TripKey],A144,Tickets[PK]))</f>
        <v/>
      </c>
      <c r="H144">
        <f>IF(A144="","",IFERROR(XLOOKUP(A144,Tickets[TripKey],Tickets[VehClean]),""))</f>
        <v/>
      </c>
      <c r="I144">
        <f>IF(A144="","",IFERROR(XLOOKUP(A144,Tickets[TripKey],Tickets[RouteLen]),0))</f>
        <v/>
      </c>
      <c r="J144">
        <f>IF(A144="","",IFERROR(XLOOKUP(A144,Tickets[TripKey],Tickets[Capacity]),0))</f>
        <v/>
      </c>
      <c r="K144">
        <f>IF(A144="","",I144*J144)</f>
        <v/>
      </c>
      <c r="L144">
        <f>IF(A144="","",IFERROR(MINIFS(Tickets[Trip Start Time],Tickets[TripKey],A144),""))</f>
        <v/>
      </c>
    </row>
    <row r="145">
      <c r="B145" s="8">
        <f>IF(A145="","",IFERROR(DATEVALUE(TEXTBEFORE(A145,"|")),--LEFT(A145,10)))</f>
        <v/>
      </c>
      <c r="C145">
        <f>IF(A145="","",TEXTBEFORE(TEXTAFTER(A145,"|"),"|"))</f>
        <v/>
      </c>
      <c r="D145">
        <f>IF(A145="","",TEXTAFTER(A145,"|",2))</f>
        <v/>
      </c>
      <c r="E145">
        <f>IF(A145="","",SUMIF(Tickets[TripKey],A145,Tickets[TP]))</f>
        <v/>
      </c>
      <c r="F145">
        <f>IF(A145="","",SUMIF(Tickets[TripKey],A145,Tickets[Revenue]))</f>
        <v/>
      </c>
      <c r="G145">
        <f>IF(A145="","",SUMIF(Tickets[TripKey],A145,Tickets[PK]))</f>
        <v/>
      </c>
      <c r="H145">
        <f>IF(A145="","",IFERROR(XLOOKUP(A145,Tickets[TripKey],Tickets[VehClean]),""))</f>
        <v/>
      </c>
      <c r="I145">
        <f>IF(A145="","",IFERROR(XLOOKUP(A145,Tickets[TripKey],Tickets[RouteLen]),0))</f>
        <v/>
      </c>
      <c r="J145">
        <f>IF(A145="","",IFERROR(XLOOKUP(A145,Tickets[TripKey],Tickets[Capacity]),0))</f>
        <v/>
      </c>
      <c r="K145">
        <f>IF(A145="","",I145*J145)</f>
        <v/>
      </c>
      <c r="L145">
        <f>IF(A145="","",IFERROR(MINIFS(Tickets[Trip Start Time],Tickets[TripKey],A145),""))</f>
        <v/>
      </c>
    </row>
    <row r="146">
      <c r="B146" s="8">
        <f>IF(A146="","",IFERROR(DATEVALUE(TEXTBEFORE(A146,"|")),--LEFT(A146,10)))</f>
        <v/>
      </c>
      <c r="C146">
        <f>IF(A146="","",TEXTBEFORE(TEXTAFTER(A146,"|"),"|"))</f>
        <v/>
      </c>
      <c r="D146">
        <f>IF(A146="","",TEXTAFTER(A146,"|",2))</f>
        <v/>
      </c>
      <c r="E146">
        <f>IF(A146="","",SUMIF(Tickets[TripKey],A146,Tickets[TP]))</f>
        <v/>
      </c>
      <c r="F146">
        <f>IF(A146="","",SUMIF(Tickets[TripKey],A146,Tickets[Revenue]))</f>
        <v/>
      </c>
      <c r="G146">
        <f>IF(A146="","",SUMIF(Tickets[TripKey],A146,Tickets[PK]))</f>
        <v/>
      </c>
      <c r="H146">
        <f>IF(A146="","",IFERROR(XLOOKUP(A146,Tickets[TripKey],Tickets[VehClean]),""))</f>
        <v/>
      </c>
      <c r="I146">
        <f>IF(A146="","",IFERROR(XLOOKUP(A146,Tickets[TripKey],Tickets[RouteLen]),0))</f>
        <v/>
      </c>
      <c r="J146">
        <f>IF(A146="","",IFERROR(XLOOKUP(A146,Tickets[TripKey],Tickets[Capacity]),0))</f>
        <v/>
      </c>
      <c r="K146">
        <f>IF(A146="","",I146*J146)</f>
        <v/>
      </c>
      <c r="L146">
        <f>IF(A146="","",IFERROR(MINIFS(Tickets[Trip Start Time],Tickets[TripKey],A146),""))</f>
        <v/>
      </c>
    </row>
    <row r="147">
      <c r="B147" s="8">
        <f>IF(A147="","",IFERROR(DATEVALUE(TEXTBEFORE(A147,"|")),--LEFT(A147,10)))</f>
        <v/>
      </c>
      <c r="C147">
        <f>IF(A147="","",TEXTBEFORE(TEXTAFTER(A147,"|"),"|"))</f>
        <v/>
      </c>
      <c r="D147">
        <f>IF(A147="","",TEXTAFTER(A147,"|",2))</f>
        <v/>
      </c>
      <c r="E147">
        <f>IF(A147="","",SUMIF(Tickets[TripKey],A147,Tickets[TP]))</f>
        <v/>
      </c>
      <c r="F147">
        <f>IF(A147="","",SUMIF(Tickets[TripKey],A147,Tickets[Revenue]))</f>
        <v/>
      </c>
      <c r="G147">
        <f>IF(A147="","",SUMIF(Tickets[TripKey],A147,Tickets[PK]))</f>
        <v/>
      </c>
      <c r="H147">
        <f>IF(A147="","",IFERROR(XLOOKUP(A147,Tickets[TripKey],Tickets[VehClean]),""))</f>
        <v/>
      </c>
      <c r="I147">
        <f>IF(A147="","",IFERROR(XLOOKUP(A147,Tickets[TripKey],Tickets[RouteLen]),0))</f>
        <v/>
      </c>
      <c r="J147">
        <f>IF(A147="","",IFERROR(XLOOKUP(A147,Tickets[TripKey],Tickets[Capacity]),0))</f>
        <v/>
      </c>
      <c r="K147">
        <f>IF(A147="","",I147*J147)</f>
        <v/>
      </c>
      <c r="L147">
        <f>IF(A147="","",IFERROR(MINIFS(Tickets[Trip Start Time],Tickets[TripKey],A147),""))</f>
        <v/>
      </c>
    </row>
    <row r="148">
      <c r="B148" s="8">
        <f>IF(A148="","",IFERROR(DATEVALUE(TEXTBEFORE(A148,"|")),--LEFT(A148,10)))</f>
        <v/>
      </c>
      <c r="C148">
        <f>IF(A148="","",TEXTBEFORE(TEXTAFTER(A148,"|"),"|"))</f>
        <v/>
      </c>
      <c r="D148">
        <f>IF(A148="","",TEXTAFTER(A148,"|",2))</f>
        <v/>
      </c>
      <c r="E148">
        <f>IF(A148="","",SUMIF(Tickets[TripKey],A148,Tickets[TP]))</f>
        <v/>
      </c>
      <c r="F148">
        <f>IF(A148="","",SUMIF(Tickets[TripKey],A148,Tickets[Revenue]))</f>
        <v/>
      </c>
      <c r="G148">
        <f>IF(A148="","",SUMIF(Tickets[TripKey],A148,Tickets[PK]))</f>
        <v/>
      </c>
      <c r="H148">
        <f>IF(A148="","",IFERROR(XLOOKUP(A148,Tickets[TripKey],Tickets[VehClean]),""))</f>
        <v/>
      </c>
      <c r="I148">
        <f>IF(A148="","",IFERROR(XLOOKUP(A148,Tickets[TripKey],Tickets[RouteLen]),0))</f>
        <v/>
      </c>
      <c r="J148">
        <f>IF(A148="","",IFERROR(XLOOKUP(A148,Tickets[TripKey],Tickets[Capacity]),0))</f>
        <v/>
      </c>
      <c r="K148">
        <f>IF(A148="","",I148*J148)</f>
        <v/>
      </c>
      <c r="L148">
        <f>IF(A148="","",IFERROR(MINIFS(Tickets[Trip Start Time],Tickets[TripKey],A148),""))</f>
        <v/>
      </c>
    </row>
    <row r="149">
      <c r="B149" s="8">
        <f>IF(A149="","",IFERROR(DATEVALUE(TEXTBEFORE(A149,"|")),--LEFT(A149,10)))</f>
        <v/>
      </c>
      <c r="C149">
        <f>IF(A149="","",TEXTBEFORE(TEXTAFTER(A149,"|"),"|"))</f>
        <v/>
      </c>
      <c r="D149">
        <f>IF(A149="","",TEXTAFTER(A149,"|",2))</f>
        <v/>
      </c>
      <c r="E149">
        <f>IF(A149="","",SUMIF(Tickets[TripKey],A149,Tickets[TP]))</f>
        <v/>
      </c>
      <c r="F149">
        <f>IF(A149="","",SUMIF(Tickets[TripKey],A149,Tickets[Revenue]))</f>
        <v/>
      </c>
      <c r="G149">
        <f>IF(A149="","",SUMIF(Tickets[TripKey],A149,Tickets[PK]))</f>
        <v/>
      </c>
      <c r="H149">
        <f>IF(A149="","",IFERROR(XLOOKUP(A149,Tickets[TripKey],Tickets[VehClean]),""))</f>
        <v/>
      </c>
      <c r="I149">
        <f>IF(A149="","",IFERROR(XLOOKUP(A149,Tickets[TripKey],Tickets[RouteLen]),0))</f>
        <v/>
      </c>
      <c r="J149">
        <f>IF(A149="","",IFERROR(XLOOKUP(A149,Tickets[TripKey],Tickets[Capacity]),0))</f>
        <v/>
      </c>
      <c r="K149">
        <f>IF(A149="","",I149*J149)</f>
        <v/>
      </c>
      <c r="L149">
        <f>IF(A149="","",IFERROR(MINIFS(Tickets[Trip Start Time],Tickets[TripKey],A149),""))</f>
        <v/>
      </c>
    </row>
    <row r="150">
      <c r="B150" s="8">
        <f>IF(A150="","",IFERROR(DATEVALUE(TEXTBEFORE(A150,"|")),--LEFT(A150,10)))</f>
        <v/>
      </c>
      <c r="C150">
        <f>IF(A150="","",TEXTBEFORE(TEXTAFTER(A150,"|"),"|"))</f>
        <v/>
      </c>
      <c r="D150">
        <f>IF(A150="","",TEXTAFTER(A150,"|",2))</f>
        <v/>
      </c>
      <c r="E150">
        <f>IF(A150="","",SUMIF(Tickets[TripKey],A150,Tickets[TP]))</f>
        <v/>
      </c>
      <c r="F150">
        <f>IF(A150="","",SUMIF(Tickets[TripKey],A150,Tickets[Revenue]))</f>
        <v/>
      </c>
      <c r="G150">
        <f>IF(A150="","",SUMIF(Tickets[TripKey],A150,Tickets[PK]))</f>
        <v/>
      </c>
      <c r="H150">
        <f>IF(A150="","",IFERROR(XLOOKUP(A150,Tickets[TripKey],Tickets[VehClean]),""))</f>
        <v/>
      </c>
      <c r="I150">
        <f>IF(A150="","",IFERROR(XLOOKUP(A150,Tickets[TripKey],Tickets[RouteLen]),0))</f>
        <v/>
      </c>
      <c r="J150">
        <f>IF(A150="","",IFERROR(XLOOKUP(A150,Tickets[TripKey],Tickets[Capacity]),0))</f>
        <v/>
      </c>
      <c r="K150">
        <f>IF(A150="","",I150*J150)</f>
        <v/>
      </c>
      <c r="L150">
        <f>IF(A150="","",IFERROR(MINIFS(Tickets[Trip Start Time],Tickets[TripKey],A150),""))</f>
        <v/>
      </c>
    </row>
    <row r="151">
      <c r="B151" s="8">
        <f>IF(A151="","",IFERROR(DATEVALUE(TEXTBEFORE(A151,"|")),--LEFT(A151,10)))</f>
        <v/>
      </c>
      <c r="C151">
        <f>IF(A151="","",TEXTBEFORE(TEXTAFTER(A151,"|"),"|"))</f>
        <v/>
      </c>
      <c r="D151">
        <f>IF(A151="","",TEXTAFTER(A151,"|",2))</f>
        <v/>
      </c>
      <c r="E151">
        <f>IF(A151="","",SUMIF(Tickets[TripKey],A151,Tickets[TP]))</f>
        <v/>
      </c>
      <c r="F151">
        <f>IF(A151="","",SUMIF(Tickets[TripKey],A151,Tickets[Revenue]))</f>
        <v/>
      </c>
      <c r="G151">
        <f>IF(A151="","",SUMIF(Tickets[TripKey],A151,Tickets[PK]))</f>
        <v/>
      </c>
      <c r="H151">
        <f>IF(A151="","",IFERROR(XLOOKUP(A151,Tickets[TripKey],Tickets[VehClean]),""))</f>
        <v/>
      </c>
      <c r="I151">
        <f>IF(A151="","",IFERROR(XLOOKUP(A151,Tickets[TripKey],Tickets[RouteLen]),0))</f>
        <v/>
      </c>
      <c r="J151">
        <f>IF(A151="","",IFERROR(XLOOKUP(A151,Tickets[TripKey],Tickets[Capacity]),0))</f>
        <v/>
      </c>
      <c r="K151">
        <f>IF(A151="","",I151*J151)</f>
        <v/>
      </c>
      <c r="L151">
        <f>IF(A151="","",IFERROR(MINIFS(Tickets[Trip Start Time],Tickets[TripKey],A151),""))</f>
        <v/>
      </c>
    </row>
    <row r="152">
      <c r="B152" s="8">
        <f>IF(A152="","",IFERROR(DATEVALUE(TEXTBEFORE(A152,"|")),--LEFT(A152,10)))</f>
        <v/>
      </c>
      <c r="C152">
        <f>IF(A152="","",TEXTBEFORE(TEXTAFTER(A152,"|"),"|"))</f>
        <v/>
      </c>
      <c r="D152">
        <f>IF(A152="","",TEXTAFTER(A152,"|",2))</f>
        <v/>
      </c>
      <c r="E152">
        <f>IF(A152="","",SUMIF(Tickets[TripKey],A152,Tickets[TP]))</f>
        <v/>
      </c>
      <c r="F152">
        <f>IF(A152="","",SUMIF(Tickets[TripKey],A152,Tickets[Revenue]))</f>
        <v/>
      </c>
      <c r="G152">
        <f>IF(A152="","",SUMIF(Tickets[TripKey],A152,Tickets[PK]))</f>
        <v/>
      </c>
      <c r="H152">
        <f>IF(A152="","",IFERROR(XLOOKUP(A152,Tickets[TripKey],Tickets[VehClean]),""))</f>
        <v/>
      </c>
      <c r="I152">
        <f>IF(A152="","",IFERROR(XLOOKUP(A152,Tickets[TripKey],Tickets[RouteLen]),0))</f>
        <v/>
      </c>
      <c r="J152">
        <f>IF(A152="","",IFERROR(XLOOKUP(A152,Tickets[TripKey],Tickets[Capacity]),0))</f>
        <v/>
      </c>
      <c r="K152">
        <f>IF(A152="","",I152*J152)</f>
        <v/>
      </c>
      <c r="L152">
        <f>IF(A152="","",IFERROR(MINIFS(Tickets[Trip Start Time],Tickets[TripKey],A152),""))</f>
        <v/>
      </c>
    </row>
    <row r="153">
      <c r="B153" s="8">
        <f>IF(A153="","",IFERROR(DATEVALUE(TEXTBEFORE(A153,"|")),--LEFT(A153,10)))</f>
        <v/>
      </c>
      <c r="C153">
        <f>IF(A153="","",TEXTBEFORE(TEXTAFTER(A153,"|"),"|"))</f>
        <v/>
      </c>
      <c r="D153">
        <f>IF(A153="","",TEXTAFTER(A153,"|",2))</f>
        <v/>
      </c>
      <c r="E153">
        <f>IF(A153="","",SUMIF(Tickets[TripKey],A153,Tickets[TP]))</f>
        <v/>
      </c>
      <c r="F153">
        <f>IF(A153="","",SUMIF(Tickets[TripKey],A153,Tickets[Revenue]))</f>
        <v/>
      </c>
      <c r="G153">
        <f>IF(A153="","",SUMIF(Tickets[TripKey],A153,Tickets[PK]))</f>
        <v/>
      </c>
      <c r="H153">
        <f>IF(A153="","",IFERROR(XLOOKUP(A153,Tickets[TripKey],Tickets[VehClean]),""))</f>
        <v/>
      </c>
      <c r="I153">
        <f>IF(A153="","",IFERROR(XLOOKUP(A153,Tickets[TripKey],Tickets[RouteLen]),0))</f>
        <v/>
      </c>
      <c r="J153">
        <f>IF(A153="","",IFERROR(XLOOKUP(A153,Tickets[TripKey],Tickets[Capacity]),0))</f>
        <v/>
      </c>
      <c r="K153">
        <f>IF(A153="","",I153*J153)</f>
        <v/>
      </c>
      <c r="L153">
        <f>IF(A153="","",IFERROR(MINIFS(Tickets[Trip Start Time],Tickets[TripKey],A153),""))</f>
        <v/>
      </c>
    </row>
    <row r="154">
      <c r="B154" s="8">
        <f>IF(A154="","",IFERROR(DATEVALUE(TEXTBEFORE(A154,"|")),--LEFT(A154,10)))</f>
        <v/>
      </c>
      <c r="C154">
        <f>IF(A154="","",TEXTBEFORE(TEXTAFTER(A154,"|"),"|"))</f>
        <v/>
      </c>
      <c r="D154">
        <f>IF(A154="","",TEXTAFTER(A154,"|",2))</f>
        <v/>
      </c>
      <c r="E154">
        <f>IF(A154="","",SUMIF(Tickets[TripKey],A154,Tickets[TP]))</f>
        <v/>
      </c>
      <c r="F154">
        <f>IF(A154="","",SUMIF(Tickets[TripKey],A154,Tickets[Revenue]))</f>
        <v/>
      </c>
      <c r="G154">
        <f>IF(A154="","",SUMIF(Tickets[TripKey],A154,Tickets[PK]))</f>
        <v/>
      </c>
      <c r="H154">
        <f>IF(A154="","",IFERROR(XLOOKUP(A154,Tickets[TripKey],Tickets[VehClean]),""))</f>
        <v/>
      </c>
      <c r="I154">
        <f>IF(A154="","",IFERROR(XLOOKUP(A154,Tickets[TripKey],Tickets[RouteLen]),0))</f>
        <v/>
      </c>
      <c r="J154">
        <f>IF(A154="","",IFERROR(XLOOKUP(A154,Tickets[TripKey],Tickets[Capacity]),0))</f>
        <v/>
      </c>
      <c r="K154">
        <f>IF(A154="","",I154*J154)</f>
        <v/>
      </c>
      <c r="L154">
        <f>IF(A154="","",IFERROR(MINIFS(Tickets[Trip Start Time],Tickets[TripKey],A154),""))</f>
        <v/>
      </c>
    </row>
    <row r="155">
      <c r="B155" s="8">
        <f>IF(A155="","",IFERROR(DATEVALUE(TEXTBEFORE(A155,"|")),--LEFT(A155,10)))</f>
        <v/>
      </c>
      <c r="C155">
        <f>IF(A155="","",TEXTBEFORE(TEXTAFTER(A155,"|"),"|"))</f>
        <v/>
      </c>
      <c r="D155">
        <f>IF(A155="","",TEXTAFTER(A155,"|",2))</f>
        <v/>
      </c>
      <c r="E155">
        <f>IF(A155="","",SUMIF(Tickets[TripKey],A155,Tickets[TP]))</f>
        <v/>
      </c>
      <c r="F155">
        <f>IF(A155="","",SUMIF(Tickets[TripKey],A155,Tickets[Revenue]))</f>
        <v/>
      </c>
      <c r="G155">
        <f>IF(A155="","",SUMIF(Tickets[TripKey],A155,Tickets[PK]))</f>
        <v/>
      </c>
      <c r="H155">
        <f>IF(A155="","",IFERROR(XLOOKUP(A155,Tickets[TripKey],Tickets[VehClean]),""))</f>
        <v/>
      </c>
      <c r="I155">
        <f>IF(A155="","",IFERROR(XLOOKUP(A155,Tickets[TripKey],Tickets[RouteLen]),0))</f>
        <v/>
      </c>
      <c r="J155">
        <f>IF(A155="","",IFERROR(XLOOKUP(A155,Tickets[TripKey],Tickets[Capacity]),0))</f>
        <v/>
      </c>
      <c r="K155">
        <f>IF(A155="","",I155*J155)</f>
        <v/>
      </c>
      <c r="L155">
        <f>IF(A155="","",IFERROR(MINIFS(Tickets[Trip Start Time],Tickets[TripKey],A155),""))</f>
        <v/>
      </c>
    </row>
    <row r="156">
      <c r="B156" s="8">
        <f>IF(A156="","",IFERROR(DATEVALUE(TEXTBEFORE(A156,"|")),--LEFT(A156,10)))</f>
        <v/>
      </c>
      <c r="C156">
        <f>IF(A156="","",TEXTBEFORE(TEXTAFTER(A156,"|"),"|"))</f>
        <v/>
      </c>
      <c r="D156">
        <f>IF(A156="","",TEXTAFTER(A156,"|",2))</f>
        <v/>
      </c>
      <c r="E156">
        <f>IF(A156="","",SUMIF(Tickets[TripKey],A156,Tickets[TP]))</f>
        <v/>
      </c>
      <c r="F156">
        <f>IF(A156="","",SUMIF(Tickets[TripKey],A156,Tickets[Revenue]))</f>
        <v/>
      </c>
      <c r="G156">
        <f>IF(A156="","",SUMIF(Tickets[TripKey],A156,Tickets[PK]))</f>
        <v/>
      </c>
      <c r="H156">
        <f>IF(A156="","",IFERROR(XLOOKUP(A156,Tickets[TripKey],Tickets[VehClean]),""))</f>
        <v/>
      </c>
      <c r="I156">
        <f>IF(A156="","",IFERROR(XLOOKUP(A156,Tickets[TripKey],Tickets[RouteLen]),0))</f>
        <v/>
      </c>
      <c r="J156">
        <f>IF(A156="","",IFERROR(XLOOKUP(A156,Tickets[TripKey],Tickets[Capacity]),0))</f>
        <v/>
      </c>
      <c r="K156">
        <f>IF(A156="","",I156*J156)</f>
        <v/>
      </c>
      <c r="L156">
        <f>IF(A156="","",IFERROR(MINIFS(Tickets[Trip Start Time],Tickets[TripKey],A156),""))</f>
        <v/>
      </c>
    </row>
    <row r="157">
      <c r="B157" s="8">
        <f>IF(A157="","",IFERROR(DATEVALUE(TEXTBEFORE(A157,"|")),--LEFT(A157,10)))</f>
        <v/>
      </c>
      <c r="C157">
        <f>IF(A157="","",TEXTBEFORE(TEXTAFTER(A157,"|"),"|"))</f>
        <v/>
      </c>
      <c r="D157">
        <f>IF(A157="","",TEXTAFTER(A157,"|",2))</f>
        <v/>
      </c>
      <c r="E157">
        <f>IF(A157="","",SUMIF(Tickets[TripKey],A157,Tickets[TP]))</f>
        <v/>
      </c>
      <c r="F157">
        <f>IF(A157="","",SUMIF(Tickets[TripKey],A157,Tickets[Revenue]))</f>
        <v/>
      </c>
      <c r="G157">
        <f>IF(A157="","",SUMIF(Tickets[TripKey],A157,Tickets[PK]))</f>
        <v/>
      </c>
      <c r="H157">
        <f>IF(A157="","",IFERROR(XLOOKUP(A157,Tickets[TripKey],Tickets[VehClean]),""))</f>
        <v/>
      </c>
      <c r="I157">
        <f>IF(A157="","",IFERROR(XLOOKUP(A157,Tickets[TripKey],Tickets[RouteLen]),0))</f>
        <v/>
      </c>
      <c r="J157">
        <f>IF(A157="","",IFERROR(XLOOKUP(A157,Tickets[TripKey],Tickets[Capacity]),0))</f>
        <v/>
      </c>
      <c r="K157">
        <f>IF(A157="","",I157*J157)</f>
        <v/>
      </c>
      <c r="L157">
        <f>IF(A157="","",IFERROR(MINIFS(Tickets[Trip Start Time],Tickets[TripKey],A157),""))</f>
        <v/>
      </c>
    </row>
    <row r="158">
      <c r="B158" s="8">
        <f>IF(A158="","",IFERROR(DATEVALUE(TEXTBEFORE(A158,"|")),--LEFT(A158,10)))</f>
        <v/>
      </c>
      <c r="C158">
        <f>IF(A158="","",TEXTBEFORE(TEXTAFTER(A158,"|"),"|"))</f>
        <v/>
      </c>
      <c r="D158">
        <f>IF(A158="","",TEXTAFTER(A158,"|",2))</f>
        <v/>
      </c>
      <c r="E158">
        <f>IF(A158="","",SUMIF(Tickets[TripKey],A158,Tickets[TP]))</f>
        <v/>
      </c>
      <c r="F158">
        <f>IF(A158="","",SUMIF(Tickets[TripKey],A158,Tickets[Revenue]))</f>
        <v/>
      </c>
      <c r="G158">
        <f>IF(A158="","",SUMIF(Tickets[TripKey],A158,Tickets[PK]))</f>
        <v/>
      </c>
      <c r="H158">
        <f>IF(A158="","",IFERROR(XLOOKUP(A158,Tickets[TripKey],Tickets[VehClean]),""))</f>
        <v/>
      </c>
      <c r="I158">
        <f>IF(A158="","",IFERROR(XLOOKUP(A158,Tickets[TripKey],Tickets[RouteLen]),0))</f>
        <v/>
      </c>
      <c r="J158">
        <f>IF(A158="","",IFERROR(XLOOKUP(A158,Tickets[TripKey],Tickets[Capacity]),0))</f>
        <v/>
      </c>
      <c r="K158">
        <f>IF(A158="","",I158*J158)</f>
        <v/>
      </c>
      <c r="L158">
        <f>IF(A158="","",IFERROR(MINIFS(Tickets[Trip Start Time],Tickets[TripKey],A158),""))</f>
        <v/>
      </c>
    </row>
    <row r="159">
      <c r="B159" s="8">
        <f>IF(A159="","",IFERROR(DATEVALUE(TEXTBEFORE(A159,"|")),--LEFT(A159,10)))</f>
        <v/>
      </c>
      <c r="C159">
        <f>IF(A159="","",TEXTBEFORE(TEXTAFTER(A159,"|"),"|"))</f>
        <v/>
      </c>
      <c r="D159">
        <f>IF(A159="","",TEXTAFTER(A159,"|",2))</f>
        <v/>
      </c>
      <c r="E159">
        <f>IF(A159="","",SUMIF(Tickets[TripKey],A159,Tickets[TP]))</f>
        <v/>
      </c>
      <c r="F159">
        <f>IF(A159="","",SUMIF(Tickets[TripKey],A159,Tickets[Revenue]))</f>
        <v/>
      </c>
      <c r="G159">
        <f>IF(A159="","",SUMIF(Tickets[TripKey],A159,Tickets[PK]))</f>
        <v/>
      </c>
      <c r="H159">
        <f>IF(A159="","",IFERROR(XLOOKUP(A159,Tickets[TripKey],Tickets[VehClean]),""))</f>
        <v/>
      </c>
      <c r="I159">
        <f>IF(A159="","",IFERROR(XLOOKUP(A159,Tickets[TripKey],Tickets[RouteLen]),0))</f>
        <v/>
      </c>
      <c r="J159">
        <f>IF(A159="","",IFERROR(XLOOKUP(A159,Tickets[TripKey],Tickets[Capacity]),0))</f>
        <v/>
      </c>
      <c r="K159">
        <f>IF(A159="","",I159*J159)</f>
        <v/>
      </c>
      <c r="L159">
        <f>IF(A159="","",IFERROR(MINIFS(Tickets[Trip Start Time],Tickets[TripKey],A159),""))</f>
        <v/>
      </c>
    </row>
    <row r="160">
      <c r="B160" s="8">
        <f>IF(A160="","",IFERROR(DATEVALUE(TEXTBEFORE(A160,"|")),--LEFT(A160,10)))</f>
        <v/>
      </c>
      <c r="C160">
        <f>IF(A160="","",TEXTBEFORE(TEXTAFTER(A160,"|"),"|"))</f>
        <v/>
      </c>
      <c r="D160">
        <f>IF(A160="","",TEXTAFTER(A160,"|",2))</f>
        <v/>
      </c>
      <c r="E160">
        <f>IF(A160="","",SUMIF(Tickets[TripKey],A160,Tickets[TP]))</f>
        <v/>
      </c>
      <c r="F160">
        <f>IF(A160="","",SUMIF(Tickets[TripKey],A160,Tickets[Revenue]))</f>
        <v/>
      </c>
      <c r="G160">
        <f>IF(A160="","",SUMIF(Tickets[TripKey],A160,Tickets[PK]))</f>
        <v/>
      </c>
      <c r="H160">
        <f>IF(A160="","",IFERROR(XLOOKUP(A160,Tickets[TripKey],Tickets[VehClean]),""))</f>
        <v/>
      </c>
      <c r="I160">
        <f>IF(A160="","",IFERROR(XLOOKUP(A160,Tickets[TripKey],Tickets[RouteLen]),0))</f>
        <v/>
      </c>
      <c r="J160">
        <f>IF(A160="","",IFERROR(XLOOKUP(A160,Tickets[TripKey],Tickets[Capacity]),0))</f>
        <v/>
      </c>
      <c r="K160">
        <f>IF(A160="","",I160*J160)</f>
        <v/>
      </c>
      <c r="L160">
        <f>IF(A160="","",IFERROR(MINIFS(Tickets[Trip Start Time],Tickets[TripKey],A160),""))</f>
        <v/>
      </c>
    </row>
    <row r="161">
      <c r="B161" s="8">
        <f>IF(A161="","",IFERROR(DATEVALUE(TEXTBEFORE(A161,"|")),--LEFT(A161,10)))</f>
        <v/>
      </c>
      <c r="C161">
        <f>IF(A161="","",TEXTBEFORE(TEXTAFTER(A161,"|"),"|"))</f>
        <v/>
      </c>
      <c r="D161">
        <f>IF(A161="","",TEXTAFTER(A161,"|",2))</f>
        <v/>
      </c>
      <c r="E161">
        <f>IF(A161="","",SUMIF(Tickets[TripKey],A161,Tickets[TP]))</f>
        <v/>
      </c>
      <c r="F161">
        <f>IF(A161="","",SUMIF(Tickets[TripKey],A161,Tickets[Revenue]))</f>
        <v/>
      </c>
      <c r="G161">
        <f>IF(A161="","",SUMIF(Tickets[TripKey],A161,Tickets[PK]))</f>
        <v/>
      </c>
      <c r="H161">
        <f>IF(A161="","",IFERROR(XLOOKUP(A161,Tickets[TripKey],Tickets[VehClean]),""))</f>
        <v/>
      </c>
      <c r="I161">
        <f>IF(A161="","",IFERROR(XLOOKUP(A161,Tickets[TripKey],Tickets[RouteLen]),0))</f>
        <v/>
      </c>
      <c r="J161">
        <f>IF(A161="","",IFERROR(XLOOKUP(A161,Tickets[TripKey],Tickets[Capacity]),0))</f>
        <v/>
      </c>
      <c r="K161">
        <f>IF(A161="","",I161*J161)</f>
        <v/>
      </c>
      <c r="L161">
        <f>IF(A161="","",IFERROR(MINIFS(Tickets[Trip Start Time],Tickets[TripKey],A161),""))</f>
        <v/>
      </c>
    </row>
    <row r="162">
      <c r="B162" s="8">
        <f>IF(A162="","",IFERROR(DATEVALUE(TEXTBEFORE(A162,"|")),--LEFT(A162,10)))</f>
        <v/>
      </c>
      <c r="C162">
        <f>IF(A162="","",TEXTBEFORE(TEXTAFTER(A162,"|"),"|"))</f>
        <v/>
      </c>
      <c r="D162">
        <f>IF(A162="","",TEXTAFTER(A162,"|",2))</f>
        <v/>
      </c>
      <c r="E162">
        <f>IF(A162="","",SUMIF(Tickets[TripKey],A162,Tickets[TP]))</f>
        <v/>
      </c>
      <c r="F162">
        <f>IF(A162="","",SUMIF(Tickets[TripKey],A162,Tickets[Revenue]))</f>
        <v/>
      </c>
      <c r="G162">
        <f>IF(A162="","",SUMIF(Tickets[TripKey],A162,Tickets[PK]))</f>
        <v/>
      </c>
      <c r="H162">
        <f>IF(A162="","",IFERROR(XLOOKUP(A162,Tickets[TripKey],Tickets[VehClean]),""))</f>
        <v/>
      </c>
      <c r="I162">
        <f>IF(A162="","",IFERROR(XLOOKUP(A162,Tickets[TripKey],Tickets[RouteLen]),0))</f>
        <v/>
      </c>
      <c r="J162">
        <f>IF(A162="","",IFERROR(XLOOKUP(A162,Tickets[TripKey],Tickets[Capacity]),0))</f>
        <v/>
      </c>
      <c r="K162">
        <f>IF(A162="","",I162*J162)</f>
        <v/>
      </c>
      <c r="L162">
        <f>IF(A162="","",IFERROR(MINIFS(Tickets[Trip Start Time],Tickets[TripKey],A162),""))</f>
        <v/>
      </c>
    </row>
    <row r="163">
      <c r="B163" s="8">
        <f>IF(A163="","",IFERROR(DATEVALUE(TEXTBEFORE(A163,"|")),--LEFT(A163,10)))</f>
        <v/>
      </c>
      <c r="C163">
        <f>IF(A163="","",TEXTBEFORE(TEXTAFTER(A163,"|"),"|"))</f>
        <v/>
      </c>
      <c r="D163">
        <f>IF(A163="","",TEXTAFTER(A163,"|",2))</f>
        <v/>
      </c>
      <c r="E163">
        <f>IF(A163="","",SUMIF(Tickets[TripKey],A163,Tickets[TP]))</f>
        <v/>
      </c>
      <c r="F163">
        <f>IF(A163="","",SUMIF(Tickets[TripKey],A163,Tickets[Revenue]))</f>
        <v/>
      </c>
      <c r="G163">
        <f>IF(A163="","",SUMIF(Tickets[TripKey],A163,Tickets[PK]))</f>
        <v/>
      </c>
      <c r="H163">
        <f>IF(A163="","",IFERROR(XLOOKUP(A163,Tickets[TripKey],Tickets[VehClean]),""))</f>
        <v/>
      </c>
      <c r="I163">
        <f>IF(A163="","",IFERROR(XLOOKUP(A163,Tickets[TripKey],Tickets[RouteLen]),0))</f>
        <v/>
      </c>
      <c r="J163">
        <f>IF(A163="","",IFERROR(XLOOKUP(A163,Tickets[TripKey],Tickets[Capacity]),0))</f>
        <v/>
      </c>
      <c r="K163">
        <f>IF(A163="","",I163*J163)</f>
        <v/>
      </c>
      <c r="L163">
        <f>IF(A163="","",IFERROR(MINIFS(Tickets[Trip Start Time],Tickets[TripKey],A163),""))</f>
        <v/>
      </c>
    </row>
    <row r="164">
      <c r="B164" s="8">
        <f>IF(A164="","",IFERROR(DATEVALUE(TEXTBEFORE(A164,"|")),--LEFT(A164,10)))</f>
        <v/>
      </c>
      <c r="C164">
        <f>IF(A164="","",TEXTBEFORE(TEXTAFTER(A164,"|"),"|"))</f>
        <v/>
      </c>
      <c r="D164">
        <f>IF(A164="","",TEXTAFTER(A164,"|",2))</f>
        <v/>
      </c>
      <c r="E164">
        <f>IF(A164="","",SUMIF(Tickets[TripKey],A164,Tickets[TP]))</f>
        <v/>
      </c>
      <c r="F164">
        <f>IF(A164="","",SUMIF(Tickets[TripKey],A164,Tickets[Revenue]))</f>
        <v/>
      </c>
      <c r="G164">
        <f>IF(A164="","",SUMIF(Tickets[TripKey],A164,Tickets[PK]))</f>
        <v/>
      </c>
      <c r="H164">
        <f>IF(A164="","",IFERROR(XLOOKUP(A164,Tickets[TripKey],Tickets[VehClean]),""))</f>
        <v/>
      </c>
      <c r="I164">
        <f>IF(A164="","",IFERROR(XLOOKUP(A164,Tickets[TripKey],Tickets[RouteLen]),0))</f>
        <v/>
      </c>
      <c r="J164">
        <f>IF(A164="","",IFERROR(XLOOKUP(A164,Tickets[TripKey],Tickets[Capacity]),0))</f>
        <v/>
      </c>
      <c r="K164">
        <f>IF(A164="","",I164*J164)</f>
        <v/>
      </c>
      <c r="L164">
        <f>IF(A164="","",IFERROR(MINIFS(Tickets[Trip Start Time],Tickets[TripKey],A164),""))</f>
        <v/>
      </c>
    </row>
    <row r="165">
      <c r="B165" s="8">
        <f>IF(A165="","",IFERROR(DATEVALUE(TEXTBEFORE(A165,"|")),--LEFT(A165,10)))</f>
        <v/>
      </c>
      <c r="C165">
        <f>IF(A165="","",TEXTBEFORE(TEXTAFTER(A165,"|"),"|"))</f>
        <v/>
      </c>
      <c r="D165">
        <f>IF(A165="","",TEXTAFTER(A165,"|",2))</f>
        <v/>
      </c>
      <c r="E165">
        <f>IF(A165="","",SUMIF(Tickets[TripKey],A165,Tickets[TP]))</f>
        <v/>
      </c>
      <c r="F165">
        <f>IF(A165="","",SUMIF(Tickets[TripKey],A165,Tickets[Revenue]))</f>
        <v/>
      </c>
      <c r="G165">
        <f>IF(A165="","",SUMIF(Tickets[TripKey],A165,Tickets[PK]))</f>
        <v/>
      </c>
      <c r="H165">
        <f>IF(A165="","",IFERROR(XLOOKUP(A165,Tickets[TripKey],Tickets[VehClean]),""))</f>
        <v/>
      </c>
      <c r="I165">
        <f>IF(A165="","",IFERROR(XLOOKUP(A165,Tickets[TripKey],Tickets[RouteLen]),0))</f>
        <v/>
      </c>
      <c r="J165">
        <f>IF(A165="","",IFERROR(XLOOKUP(A165,Tickets[TripKey],Tickets[Capacity]),0))</f>
        <v/>
      </c>
      <c r="K165">
        <f>IF(A165="","",I165*J165)</f>
        <v/>
      </c>
      <c r="L165">
        <f>IF(A165="","",IFERROR(MINIFS(Tickets[Trip Start Time],Tickets[TripKey],A165),""))</f>
        <v/>
      </c>
    </row>
    <row r="166">
      <c r="B166" s="8">
        <f>IF(A166="","",IFERROR(DATEVALUE(TEXTBEFORE(A166,"|")),--LEFT(A166,10)))</f>
        <v/>
      </c>
      <c r="C166">
        <f>IF(A166="","",TEXTBEFORE(TEXTAFTER(A166,"|"),"|"))</f>
        <v/>
      </c>
      <c r="D166">
        <f>IF(A166="","",TEXTAFTER(A166,"|",2))</f>
        <v/>
      </c>
      <c r="E166">
        <f>IF(A166="","",SUMIF(Tickets[TripKey],A166,Tickets[TP]))</f>
        <v/>
      </c>
      <c r="F166">
        <f>IF(A166="","",SUMIF(Tickets[TripKey],A166,Tickets[Revenue]))</f>
        <v/>
      </c>
      <c r="G166">
        <f>IF(A166="","",SUMIF(Tickets[TripKey],A166,Tickets[PK]))</f>
        <v/>
      </c>
      <c r="H166">
        <f>IF(A166="","",IFERROR(XLOOKUP(A166,Tickets[TripKey],Tickets[VehClean]),""))</f>
        <v/>
      </c>
      <c r="I166">
        <f>IF(A166="","",IFERROR(XLOOKUP(A166,Tickets[TripKey],Tickets[RouteLen]),0))</f>
        <v/>
      </c>
      <c r="J166">
        <f>IF(A166="","",IFERROR(XLOOKUP(A166,Tickets[TripKey],Tickets[Capacity]),0))</f>
        <v/>
      </c>
      <c r="K166">
        <f>IF(A166="","",I166*J166)</f>
        <v/>
      </c>
      <c r="L166">
        <f>IF(A166="","",IFERROR(MINIFS(Tickets[Trip Start Time],Tickets[TripKey],A166),""))</f>
        <v/>
      </c>
    </row>
    <row r="167">
      <c r="B167" s="8">
        <f>IF(A167="","",IFERROR(DATEVALUE(TEXTBEFORE(A167,"|")),--LEFT(A167,10)))</f>
        <v/>
      </c>
      <c r="C167">
        <f>IF(A167="","",TEXTBEFORE(TEXTAFTER(A167,"|"),"|"))</f>
        <v/>
      </c>
      <c r="D167">
        <f>IF(A167="","",TEXTAFTER(A167,"|",2))</f>
        <v/>
      </c>
      <c r="E167">
        <f>IF(A167="","",SUMIF(Tickets[TripKey],A167,Tickets[TP]))</f>
        <v/>
      </c>
      <c r="F167">
        <f>IF(A167="","",SUMIF(Tickets[TripKey],A167,Tickets[Revenue]))</f>
        <v/>
      </c>
      <c r="G167">
        <f>IF(A167="","",SUMIF(Tickets[TripKey],A167,Tickets[PK]))</f>
        <v/>
      </c>
      <c r="H167">
        <f>IF(A167="","",IFERROR(XLOOKUP(A167,Tickets[TripKey],Tickets[VehClean]),""))</f>
        <v/>
      </c>
      <c r="I167">
        <f>IF(A167="","",IFERROR(XLOOKUP(A167,Tickets[TripKey],Tickets[RouteLen]),0))</f>
        <v/>
      </c>
      <c r="J167">
        <f>IF(A167="","",IFERROR(XLOOKUP(A167,Tickets[TripKey],Tickets[Capacity]),0))</f>
        <v/>
      </c>
      <c r="K167">
        <f>IF(A167="","",I167*J167)</f>
        <v/>
      </c>
      <c r="L167">
        <f>IF(A167="","",IFERROR(MINIFS(Tickets[Trip Start Time],Tickets[TripKey],A167),""))</f>
        <v/>
      </c>
    </row>
    <row r="168">
      <c r="B168" s="8">
        <f>IF(A168="","",IFERROR(DATEVALUE(TEXTBEFORE(A168,"|")),--LEFT(A168,10)))</f>
        <v/>
      </c>
      <c r="C168">
        <f>IF(A168="","",TEXTBEFORE(TEXTAFTER(A168,"|"),"|"))</f>
        <v/>
      </c>
      <c r="D168">
        <f>IF(A168="","",TEXTAFTER(A168,"|",2))</f>
        <v/>
      </c>
      <c r="E168">
        <f>IF(A168="","",SUMIF(Tickets[TripKey],A168,Tickets[TP]))</f>
        <v/>
      </c>
      <c r="F168">
        <f>IF(A168="","",SUMIF(Tickets[TripKey],A168,Tickets[Revenue]))</f>
        <v/>
      </c>
      <c r="G168">
        <f>IF(A168="","",SUMIF(Tickets[TripKey],A168,Tickets[PK]))</f>
        <v/>
      </c>
      <c r="H168">
        <f>IF(A168="","",IFERROR(XLOOKUP(A168,Tickets[TripKey],Tickets[VehClean]),""))</f>
        <v/>
      </c>
      <c r="I168">
        <f>IF(A168="","",IFERROR(XLOOKUP(A168,Tickets[TripKey],Tickets[RouteLen]),0))</f>
        <v/>
      </c>
      <c r="J168">
        <f>IF(A168="","",IFERROR(XLOOKUP(A168,Tickets[TripKey],Tickets[Capacity]),0))</f>
        <v/>
      </c>
      <c r="K168">
        <f>IF(A168="","",I168*J168)</f>
        <v/>
      </c>
      <c r="L168">
        <f>IF(A168="","",IFERROR(MINIFS(Tickets[Trip Start Time],Tickets[TripKey],A168),""))</f>
        <v/>
      </c>
    </row>
    <row r="169">
      <c r="B169" s="8">
        <f>IF(A169="","",IFERROR(DATEVALUE(TEXTBEFORE(A169,"|")),--LEFT(A169,10)))</f>
        <v/>
      </c>
      <c r="C169">
        <f>IF(A169="","",TEXTBEFORE(TEXTAFTER(A169,"|"),"|"))</f>
        <v/>
      </c>
      <c r="D169">
        <f>IF(A169="","",TEXTAFTER(A169,"|",2))</f>
        <v/>
      </c>
      <c r="E169">
        <f>IF(A169="","",SUMIF(Tickets[TripKey],A169,Tickets[TP]))</f>
        <v/>
      </c>
      <c r="F169">
        <f>IF(A169="","",SUMIF(Tickets[TripKey],A169,Tickets[Revenue]))</f>
        <v/>
      </c>
      <c r="G169">
        <f>IF(A169="","",SUMIF(Tickets[TripKey],A169,Tickets[PK]))</f>
        <v/>
      </c>
      <c r="H169">
        <f>IF(A169="","",IFERROR(XLOOKUP(A169,Tickets[TripKey],Tickets[VehClean]),""))</f>
        <v/>
      </c>
      <c r="I169">
        <f>IF(A169="","",IFERROR(XLOOKUP(A169,Tickets[TripKey],Tickets[RouteLen]),0))</f>
        <v/>
      </c>
      <c r="J169">
        <f>IF(A169="","",IFERROR(XLOOKUP(A169,Tickets[TripKey],Tickets[Capacity]),0))</f>
        <v/>
      </c>
      <c r="K169">
        <f>IF(A169="","",I169*J169)</f>
        <v/>
      </c>
      <c r="L169">
        <f>IF(A169="","",IFERROR(MINIFS(Tickets[Trip Start Time],Tickets[TripKey],A169),""))</f>
        <v/>
      </c>
    </row>
    <row r="170">
      <c r="B170" s="8">
        <f>IF(A170="","",IFERROR(DATEVALUE(TEXTBEFORE(A170,"|")),--LEFT(A170,10)))</f>
        <v/>
      </c>
      <c r="C170">
        <f>IF(A170="","",TEXTBEFORE(TEXTAFTER(A170,"|"),"|"))</f>
        <v/>
      </c>
      <c r="D170">
        <f>IF(A170="","",TEXTAFTER(A170,"|",2))</f>
        <v/>
      </c>
      <c r="E170">
        <f>IF(A170="","",SUMIF(Tickets[TripKey],A170,Tickets[TP]))</f>
        <v/>
      </c>
      <c r="F170">
        <f>IF(A170="","",SUMIF(Tickets[TripKey],A170,Tickets[Revenue]))</f>
        <v/>
      </c>
      <c r="G170">
        <f>IF(A170="","",SUMIF(Tickets[TripKey],A170,Tickets[PK]))</f>
        <v/>
      </c>
      <c r="H170">
        <f>IF(A170="","",IFERROR(XLOOKUP(A170,Tickets[TripKey],Tickets[VehClean]),""))</f>
        <v/>
      </c>
      <c r="I170">
        <f>IF(A170="","",IFERROR(XLOOKUP(A170,Tickets[TripKey],Tickets[RouteLen]),0))</f>
        <v/>
      </c>
      <c r="J170">
        <f>IF(A170="","",IFERROR(XLOOKUP(A170,Tickets[TripKey],Tickets[Capacity]),0))</f>
        <v/>
      </c>
      <c r="K170">
        <f>IF(A170="","",I170*J170)</f>
        <v/>
      </c>
      <c r="L170">
        <f>IF(A170="","",IFERROR(MINIFS(Tickets[Trip Start Time],Tickets[TripKey],A170),""))</f>
        <v/>
      </c>
    </row>
    <row r="171">
      <c r="B171" s="8">
        <f>IF(A171="","",IFERROR(DATEVALUE(TEXTBEFORE(A171,"|")),--LEFT(A171,10)))</f>
        <v/>
      </c>
      <c r="C171">
        <f>IF(A171="","",TEXTBEFORE(TEXTAFTER(A171,"|"),"|"))</f>
        <v/>
      </c>
      <c r="D171">
        <f>IF(A171="","",TEXTAFTER(A171,"|",2))</f>
        <v/>
      </c>
      <c r="E171">
        <f>IF(A171="","",SUMIF(Tickets[TripKey],A171,Tickets[TP]))</f>
        <v/>
      </c>
      <c r="F171">
        <f>IF(A171="","",SUMIF(Tickets[TripKey],A171,Tickets[Revenue]))</f>
        <v/>
      </c>
      <c r="G171">
        <f>IF(A171="","",SUMIF(Tickets[TripKey],A171,Tickets[PK]))</f>
        <v/>
      </c>
      <c r="H171">
        <f>IF(A171="","",IFERROR(XLOOKUP(A171,Tickets[TripKey],Tickets[VehClean]),""))</f>
        <v/>
      </c>
      <c r="I171">
        <f>IF(A171="","",IFERROR(XLOOKUP(A171,Tickets[TripKey],Tickets[RouteLen]),0))</f>
        <v/>
      </c>
      <c r="J171">
        <f>IF(A171="","",IFERROR(XLOOKUP(A171,Tickets[TripKey],Tickets[Capacity]),0))</f>
        <v/>
      </c>
      <c r="K171">
        <f>IF(A171="","",I171*J171)</f>
        <v/>
      </c>
      <c r="L171">
        <f>IF(A171="","",IFERROR(MINIFS(Tickets[Trip Start Time],Tickets[TripKey],A171),""))</f>
        <v/>
      </c>
    </row>
    <row r="172">
      <c r="B172" s="8">
        <f>IF(A172="","",IFERROR(DATEVALUE(TEXTBEFORE(A172,"|")),--LEFT(A172,10)))</f>
        <v/>
      </c>
      <c r="C172">
        <f>IF(A172="","",TEXTBEFORE(TEXTAFTER(A172,"|"),"|"))</f>
        <v/>
      </c>
      <c r="D172">
        <f>IF(A172="","",TEXTAFTER(A172,"|",2))</f>
        <v/>
      </c>
      <c r="E172">
        <f>IF(A172="","",SUMIF(Tickets[TripKey],A172,Tickets[TP]))</f>
        <v/>
      </c>
      <c r="F172">
        <f>IF(A172="","",SUMIF(Tickets[TripKey],A172,Tickets[Revenue]))</f>
        <v/>
      </c>
      <c r="G172">
        <f>IF(A172="","",SUMIF(Tickets[TripKey],A172,Tickets[PK]))</f>
        <v/>
      </c>
      <c r="H172">
        <f>IF(A172="","",IFERROR(XLOOKUP(A172,Tickets[TripKey],Tickets[VehClean]),""))</f>
        <v/>
      </c>
      <c r="I172">
        <f>IF(A172="","",IFERROR(XLOOKUP(A172,Tickets[TripKey],Tickets[RouteLen]),0))</f>
        <v/>
      </c>
      <c r="J172">
        <f>IF(A172="","",IFERROR(XLOOKUP(A172,Tickets[TripKey],Tickets[Capacity]),0))</f>
        <v/>
      </c>
      <c r="K172">
        <f>IF(A172="","",I172*J172)</f>
        <v/>
      </c>
      <c r="L172">
        <f>IF(A172="","",IFERROR(MINIFS(Tickets[Trip Start Time],Tickets[TripKey],A172),""))</f>
        <v/>
      </c>
    </row>
    <row r="173">
      <c r="B173" s="8">
        <f>IF(A173="","",IFERROR(DATEVALUE(TEXTBEFORE(A173,"|")),--LEFT(A173,10)))</f>
        <v/>
      </c>
      <c r="C173">
        <f>IF(A173="","",TEXTBEFORE(TEXTAFTER(A173,"|"),"|"))</f>
        <v/>
      </c>
      <c r="D173">
        <f>IF(A173="","",TEXTAFTER(A173,"|",2))</f>
        <v/>
      </c>
      <c r="E173">
        <f>IF(A173="","",SUMIF(Tickets[TripKey],A173,Tickets[TP]))</f>
        <v/>
      </c>
      <c r="F173">
        <f>IF(A173="","",SUMIF(Tickets[TripKey],A173,Tickets[Revenue]))</f>
        <v/>
      </c>
      <c r="G173">
        <f>IF(A173="","",SUMIF(Tickets[TripKey],A173,Tickets[PK]))</f>
        <v/>
      </c>
      <c r="H173">
        <f>IF(A173="","",IFERROR(XLOOKUP(A173,Tickets[TripKey],Tickets[VehClean]),""))</f>
        <v/>
      </c>
      <c r="I173">
        <f>IF(A173="","",IFERROR(XLOOKUP(A173,Tickets[TripKey],Tickets[RouteLen]),0))</f>
        <v/>
      </c>
      <c r="J173">
        <f>IF(A173="","",IFERROR(XLOOKUP(A173,Tickets[TripKey],Tickets[Capacity]),0))</f>
        <v/>
      </c>
      <c r="K173">
        <f>IF(A173="","",I173*J173)</f>
        <v/>
      </c>
      <c r="L173">
        <f>IF(A173="","",IFERROR(MINIFS(Tickets[Trip Start Time],Tickets[TripKey],A173),""))</f>
        <v/>
      </c>
    </row>
    <row r="174">
      <c r="B174" s="8">
        <f>IF(A174="","",IFERROR(DATEVALUE(TEXTBEFORE(A174,"|")),--LEFT(A174,10)))</f>
        <v/>
      </c>
      <c r="C174">
        <f>IF(A174="","",TEXTBEFORE(TEXTAFTER(A174,"|"),"|"))</f>
        <v/>
      </c>
      <c r="D174">
        <f>IF(A174="","",TEXTAFTER(A174,"|",2))</f>
        <v/>
      </c>
      <c r="E174">
        <f>IF(A174="","",SUMIF(Tickets[TripKey],A174,Tickets[TP]))</f>
        <v/>
      </c>
      <c r="F174">
        <f>IF(A174="","",SUMIF(Tickets[TripKey],A174,Tickets[Revenue]))</f>
        <v/>
      </c>
      <c r="G174">
        <f>IF(A174="","",SUMIF(Tickets[TripKey],A174,Tickets[PK]))</f>
        <v/>
      </c>
      <c r="H174">
        <f>IF(A174="","",IFERROR(XLOOKUP(A174,Tickets[TripKey],Tickets[VehClean]),""))</f>
        <v/>
      </c>
      <c r="I174">
        <f>IF(A174="","",IFERROR(XLOOKUP(A174,Tickets[TripKey],Tickets[RouteLen]),0))</f>
        <v/>
      </c>
      <c r="J174">
        <f>IF(A174="","",IFERROR(XLOOKUP(A174,Tickets[TripKey],Tickets[Capacity]),0))</f>
        <v/>
      </c>
      <c r="K174">
        <f>IF(A174="","",I174*J174)</f>
        <v/>
      </c>
      <c r="L174">
        <f>IF(A174="","",IFERROR(MINIFS(Tickets[Trip Start Time],Tickets[TripKey],A174),""))</f>
        <v/>
      </c>
    </row>
    <row r="175">
      <c r="B175" s="8">
        <f>IF(A175="","",IFERROR(DATEVALUE(TEXTBEFORE(A175,"|")),--LEFT(A175,10)))</f>
        <v/>
      </c>
      <c r="C175">
        <f>IF(A175="","",TEXTBEFORE(TEXTAFTER(A175,"|"),"|"))</f>
        <v/>
      </c>
      <c r="D175">
        <f>IF(A175="","",TEXTAFTER(A175,"|",2))</f>
        <v/>
      </c>
      <c r="E175">
        <f>IF(A175="","",SUMIF(Tickets[TripKey],A175,Tickets[TP]))</f>
        <v/>
      </c>
      <c r="F175">
        <f>IF(A175="","",SUMIF(Tickets[TripKey],A175,Tickets[Revenue]))</f>
        <v/>
      </c>
      <c r="G175">
        <f>IF(A175="","",SUMIF(Tickets[TripKey],A175,Tickets[PK]))</f>
        <v/>
      </c>
      <c r="H175">
        <f>IF(A175="","",IFERROR(XLOOKUP(A175,Tickets[TripKey],Tickets[VehClean]),""))</f>
        <v/>
      </c>
      <c r="I175">
        <f>IF(A175="","",IFERROR(XLOOKUP(A175,Tickets[TripKey],Tickets[RouteLen]),0))</f>
        <v/>
      </c>
      <c r="J175">
        <f>IF(A175="","",IFERROR(XLOOKUP(A175,Tickets[TripKey],Tickets[Capacity]),0))</f>
        <v/>
      </c>
      <c r="K175">
        <f>IF(A175="","",I175*J175)</f>
        <v/>
      </c>
      <c r="L175">
        <f>IF(A175="","",IFERROR(MINIFS(Tickets[Trip Start Time],Tickets[TripKey],A175),""))</f>
        <v/>
      </c>
    </row>
    <row r="176">
      <c r="B176" s="8">
        <f>IF(A176="","",IFERROR(DATEVALUE(TEXTBEFORE(A176,"|")),--LEFT(A176,10)))</f>
        <v/>
      </c>
      <c r="C176">
        <f>IF(A176="","",TEXTBEFORE(TEXTAFTER(A176,"|"),"|"))</f>
        <v/>
      </c>
      <c r="D176">
        <f>IF(A176="","",TEXTAFTER(A176,"|",2))</f>
        <v/>
      </c>
      <c r="E176">
        <f>IF(A176="","",SUMIF(Tickets[TripKey],A176,Tickets[TP]))</f>
        <v/>
      </c>
      <c r="F176">
        <f>IF(A176="","",SUMIF(Tickets[TripKey],A176,Tickets[Revenue]))</f>
        <v/>
      </c>
      <c r="G176">
        <f>IF(A176="","",SUMIF(Tickets[TripKey],A176,Tickets[PK]))</f>
        <v/>
      </c>
      <c r="H176">
        <f>IF(A176="","",IFERROR(XLOOKUP(A176,Tickets[TripKey],Tickets[VehClean]),""))</f>
        <v/>
      </c>
      <c r="I176">
        <f>IF(A176="","",IFERROR(XLOOKUP(A176,Tickets[TripKey],Tickets[RouteLen]),0))</f>
        <v/>
      </c>
      <c r="J176">
        <f>IF(A176="","",IFERROR(XLOOKUP(A176,Tickets[TripKey],Tickets[Capacity]),0))</f>
        <v/>
      </c>
      <c r="K176">
        <f>IF(A176="","",I176*J176)</f>
        <v/>
      </c>
      <c r="L176">
        <f>IF(A176="","",IFERROR(MINIFS(Tickets[Trip Start Time],Tickets[TripKey],A176),""))</f>
        <v/>
      </c>
    </row>
    <row r="177">
      <c r="B177" s="8">
        <f>IF(A177="","",IFERROR(DATEVALUE(TEXTBEFORE(A177,"|")),--LEFT(A177,10)))</f>
        <v/>
      </c>
      <c r="C177">
        <f>IF(A177="","",TEXTBEFORE(TEXTAFTER(A177,"|"),"|"))</f>
        <v/>
      </c>
      <c r="D177">
        <f>IF(A177="","",TEXTAFTER(A177,"|",2))</f>
        <v/>
      </c>
      <c r="E177">
        <f>IF(A177="","",SUMIF(Tickets[TripKey],A177,Tickets[TP]))</f>
        <v/>
      </c>
      <c r="F177">
        <f>IF(A177="","",SUMIF(Tickets[TripKey],A177,Tickets[Revenue]))</f>
        <v/>
      </c>
      <c r="G177">
        <f>IF(A177="","",SUMIF(Tickets[TripKey],A177,Tickets[PK]))</f>
        <v/>
      </c>
      <c r="H177">
        <f>IF(A177="","",IFERROR(XLOOKUP(A177,Tickets[TripKey],Tickets[VehClean]),""))</f>
        <v/>
      </c>
      <c r="I177">
        <f>IF(A177="","",IFERROR(XLOOKUP(A177,Tickets[TripKey],Tickets[RouteLen]),0))</f>
        <v/>
      </c>
      <c r="J177">
        <f>IF(A177="","",IFERROR(XLOOKUP(A177,Tickets[TripKey],Tickets[Capacity]),0))</f>
        <v/>
      </c>
      <c r="K177">
        <f>IF(A177="","",I177*J177)</f>
        <v/>
      </c>
      <c r="L177">
        <f>IF(A177="","",IFERROR(MINIFS(Tickets[Trip Start Time],Tickets[TripKey],A177),""))</f>
        <v/>
      </c>
    </row>
    <row r="178">
      <c r="B178" s="8">
        <f>IF(A178="","",IFERROR(DATEVALUE(TEXTBEFORE(A178,"|")),--LEFT(A178,10)))</f>
        <v/>
      </c>
      <c r="C178">
        <f>IF(A178="","",TEXTBEFORE(TEXTAFTER(A178,"|"),"|"))</f>
        <v/>
      </c>
      <c r="D178">
        <f>IF(A178="","",TEXTAFTER(A178,"|",2))</f>
        <v/>
      </c>
      <c r="E178">
        <f>IF(A178="","",SUMIF(Tickets[TripKey],A178,Tickets[TP]))</f>
        <v/>
      </c>
      <c r="F178">
        <f>IF(A178="","",SUMIF(Tickets[TripKey],A178,Tickets[Revenue]))</f>
        <v/>
      </c>
      <c r="G178">
        <f>IF(A178="","",SUMIF(Tickets[TripKey],A178,Tickets[PK]))</f>
        <v/>
      </c>
      <c r="H178">
        <f>IF(A178="","",IFERROR(XLOOKUP(A178,Tickets[TripKey],Tickets[VehClean]),""))</f>
        <v/>
      </c>
      <c r="I178">
        <f>IF(A178="","",IFERROR(XLOOKUP(A178,Tickets[TripKey],Tickets[RouteLen]),0))</f>
        <v/>
      </c>
      <c r="J178">
        <f>IF(A178="","",IFERROR(XLOOKUP(A178,Tickets[TripKey],Tickets[Capacity]),0))</f>
        <v/>
      </c>
      <c r="K178">
        <f>IF(A178="","",I178*J178)</f>
        <v/>
      </c>
      <c r="L178">
        <f>IF(A178="","",IFERROR(MINIFS(Tickets[Trip Start Time],Tickets[TripKey],A178),""))</f>
        <v/>
      </c>
    </row>
    <row r="179">
      <c r="B179" s="8">
        <f>IF(A179="","",IFERROR(DATEVALUE(TEXTBEFORE(A179,"|")),--LEFT(A179,10)))</f>
        <v/>
      </c>
      <c r="C179">
        <f>IF(A179="","",TEXTBEFORE(TEXTAFTER(A179,"|"),"|"))</f>
        <v/>
      </c>
      <c r="D179">
        <f>IF(A179="","",TEXTAFTER(A179,"|",2))</f>
        <v/>
      </c>
      <c r="E179">
        <f>IF(A179="","",SUMIF(Tickets[TripKey],A179,Tickets[TP]))</f>
        <v/>
      </c>
      <c r="F179">
        <f>IF(A179="","",SUMIF(Tickets[TripKey],A179,Tickets[Revenue]))</f>
        <v/>
      </c>
      <c r="G179">
        <f>IF(A179="","",SUMIF(Tickets[TripKey],A179,Tickets[PK]))</f>
        <v/>
      </c>
      <c r="H179">
        <f>IF(A179="","",IFERROR(XLOOKUP(A179,Tickets[TripKey],Tickets[VehClean]),""))</f>
        <v/>
      </c>
      <c r="I179">
        <f>IF(A179="","",IFERROR(XLOOKUP(A179,Tickets[TripKey],Tickets[RouteLen]),0))</f>
        <v/>
      </c>
      <c r="J179">
        <f>IF(A179="","",IFERROR(XLOOKUP(A179,Tickets[TripKey],Tickets[Capacity]),0))</f>
        <v/>
      </c>
      <c r="K179">
        <f>IF(A179="","",I179*J179)</f>
        <v/>
      </c>
      <c r="L179">
        <f>IF(A179="","",IFERROR(MINIFS(Tickets[Trip Start Time],Tickets[TripKey],A179),""))</f>
        <v/>
      </c>
    </row>
    <row r="180">
      <c r="B180" s="8">
        <f>IF(A180="","",IFERROR(DATEVALUE(TEXTBEFORE(A180,"|")),--LEFT(A180,10)))</f>
        <v/>
      </c>
      <c r="C180">
        <f>IF(A180="","",TEXTBEFORE(TEXTAFTER(A180,"|"),"|"))</f>
        <v/>
      </c>
      <c r="D180">
        <f>IF(A180="","",TEXTAFTER(A180,"|",2))</f>
        <v/>
      </c>
      <c r="E180">
        <f>IF(A180="","",SUMIF(Tickets[TripKey],A180,Tickets[TP]))</f>
        <v/>
      </c>
      <c r="F180">
        <f>IF(A180="","",SUMIF(Tickets[TripKey],A180,Tickets[Revenue]))</f>
        <v/>
      </c>
      <c r="G180">
        <f>IF(A180="","",SUMIF(Tickets[TripKey],A180,Tickets[PK]))</f>
        <v/>
      </c>
      <c r="H180">
        <f>IF(A180="","",IFERROR(XLOOKUP(A180,Tickets[TripKey],Tickets[VehClean]),""))</f>
        <v/>
      </c>
      <c r="I180">
        <f>IF(A180="","",IFERROR(XLOOKUP(A180,Tickets[TripKey],Tickets[RouteLen]),0))</f>
        <v/>
      </c>
      <c r="J180">
        <f>IF(A180="","",IFERROR(XLOOKUP(A180,Tickets[TripKey],Tickets[Capacity]),0))</f>
        <v/>
      </c>
      <c r="K180">
        <f>IF(A180="","",I180*J180)</f>
        <v/>
      </c>
      <c r="L180">
        <f>IF(A180="","",IFERROR(MINIFS(Tickets[Trip Start Time],Tickets[TripKey],A180),""))</f>
        <v/>
      </c>
    </row>
    <row r="181">
      <c r="B181" s="8">
        <f>IF(A181="","",IFERROR(DATEVALUE(TEXTBEFORE(A181,"|")),--LEFT(A181,10)))</f>
        <v/>
      </c>
      <c r="C181">
        <f>IF(A181="","",TEXTBEFORE(TEXTAFTER(A181,"|"),"|"))</f>
        <v/>
      </c>
      <c r="D181">
        <f>IF(A181="","",TEXTAFTER(A181,"|",2))</f>
        <v/>
      </c>
      <c r="E181">
        <f>IF(A181="","",SUMIF(Tickets[TripKey],A181,Tickets[TP]))</f>
        <v/>
      </c>
      <c r="F181">
        <f>IF(A181="","",SUMIF(Tickets[TripKey],A181,Tickets[Revenue]))</f>
        <v/>
      </c>
      <c r="G181">
        <f>IF(A181="","",SUMIF(Tickets[TripKey],A181,Tickets[PK]))</f>
        <v/>
      </c>
      <c r="H181">
        <f>IF(A181="","",IFERROR(XLOOKUP(A181,Tickets[TripKey],Tickets[VehClean]),""))</f>
        <v/>
      </c>
      <c r="I181">
        <f>IF(A181="","",IFERROR(XLOOKUP(A181,Tickets[TripKey],Tickets[RouteLen]),0))</f>
        <v/>
      </c>
      <c r="J181">
        <f>IF(A181="","",IFERROR(XLOOKUP(A181,Tickets[TripKey],Tickets[Capacity]),0))</f>
        <v/>
      </c>
      <c r="K181">
        <f>IF(A181="","",I181*J181)</f>
        <v/>
      </c>
      <c r="L181">
        <f>IF(A181="","",IFERROR(MINIFS(Tickets[Trip Start Time],Tickets[TripKey],A181),""))</f>
        <v/>
      </c>
    </row>
    <row r="182">
      <c r="B182" s="8">
        <f>IF(A182="","",IFERROR(DATEVALUE(TEXTBEFORE(A182,"|")),--LEFT(A182,10)))</f>
        <v/>
      </c>
      <c r="C182">
        <f>IF(A182="","",TEXTBEFORE(TEXTAFTER(A182,"|"),"|"))</f>
        <v/>
      </c>
      <c r="D182">
        <f>IF(A182="","",TEXTAFTER(A182,"|",2))</f>
        <v/>
      </c>
      <c r="E182">
        <f>IF(A182="","",SUMIF(Tickets[TripKey],A182,Tickets[TP]))</f>
        <v/>
      </c>
      <c r="F182">
        <f>IF(A182="","",SUMIF(Tickets[TripKey],A182,Tickets[Revenue]))</f>
        <v/>
      </c>
      <c r="G182">
        <f>IF(A182="","",SUMIF(Tickets[TripKey],A182,Tickets[PK]))</f>
        <v/>
      </c>
      <c r="H182">
        <f>IF(A182="","",IFERROR(XLOOKUP(A182,Tickets[TripKey],Tickets[VehClean]),""))</f>
        <v/>
      </c>
      <c r="I182">
        <f>IF(A182="","",IFERROR(XLOOKUP(A182,Tickets[TripKey],Tickets[RouteLen]),0))</f>
        <v/>
      </c>
      <c r="J182">
        <f>IF(A182="","",IFERROR(XLOOKUP(A182,Tickets[TripKey],Tickets[Capacity]),0))</f>
        <v/>
      </c>
      <c r="K182">
        <f>IF(A182="","",I182*J182)</f>
        <v/>
      </c>
      <c r="L182">
        <f>IF(A182="","",IFERROR(MINIFS(Tickets[Trip Start Time],Tickets[TripKey],A182),""))</f>
        <v/>
      </c>
    </row>
    <row r="183">
      <c r="B183" s="8">
        <f>IF(A183="","",IFERROR(DATEVALUE(TEXTBEFORE(A183,"|")),--LEFT(A183,10)))</f>
        <v/>
      </c>
      <c r="C183">
        <f>IF(A183="","",TEXTBEFORE(TEXTAFTER(A183,"|"),"|"))</f>
        <v/>
      </c>
      <c r="D183">
        <f>IF(A183="","",TEXTAFTER(A183,"|",2))</f>
        <v/>
      </c>
      <c r="E183">
        <f>IF(A183="","",SUMIF(Tickets[TripKey],A183,Tickets[TP]))</f>
        <v/>
      </c>
      <c r="F183">
        <f>IF(A183="","",SUMIF(Tickets[TripKey],A183,Tickets[Revenue]))</f>
        <v/>
      </c>
      <c r="G183">
        <f>IF(A183="","",SUMIF(Tickets[TripKey],A183,Tickets[PK]))</f>
        <v/>
      </c>
      <c r="H183">
        <f>IF(A183="","",IFERROR(XLOOKUP(A183,Tickets[TripKey],Tickets[VehClean]),""))</f>
        <v/>
      </c>
      <c r="I183">
        <f>IF(A183="","",IFERROR(XLOOKUP(A183,Tickets[TripKey],Tickets[RouteLen]),0))</f>
        <v/>
      </c>
      <c r="J183">
        <f>IF(A183="","",IFERROR(XLOOKUP(A183,Tickets[TripKey],Tickets[Capacity]),0))</f>
        <v/>
      </c>
      <c r="K183">
        <f>IF(A183="","",I183*J183)</f>
        <v/>
      </c>
      <c r="L183">
        <f>IF(A183="","",IFERROR(MINIFS(Tickets[Trip Start Time],Tickets[TripKey],A183),""))</f>
        <v/>
      </c>
    </row>
    <row r="184">
      <c r="B184" s="8">
        <f>IF(A184="","",IFERROR(DATEVALUE(TEXTBEFORE(A184,"|")),--LEFT(A184,10)))</f>
        <v/>
      </c>
      <c r="C184">
        <f>IF(A184="","",TEXTBEFORE(TEXTAFTER(A184,"|"),"|"))</f>
        <v/>
      </c>
      <c r="D184">
        <f>IF(A184="","",TEXTAFTER(A184,"|",2))</f>
        <v/>
      </c>
      <c r="E184">
        <f>IF(A184="","",SUMIF(Tickets[TripKey],A184,Tickets[TP]))</f>
        <v/>
      </c>
      <c r="F184">
        <f>IF(A184="","",SUMIF(Tickets[TripKey],A184,Tickets[Revenue]))</f>
        <v/>
      </c>
      <c r="G184">
        <f>IF(A184="","",SUMIF(Tickets[TripKey],A184,Tickets[PK]))</f>
        <v/>
      </c>
      <c r="H184">
        <f>IF(A184="","",IFERROR(XLOOKUP(A184,Tickets[TripKey],Tickets[VehClean]),""))</f>
        <v/>
      </c>
      <c r="I184">
        <f>IF(A184="","",IFERROR(XLOOKUP(A184,Tickets[TripKey],Tickets[RouteLen]),0))</f>
        <v/>
      </c>
      <c r="J184">
        <f>IF(A184="","",IFERROR(XLOOKUP(A184,Tickets[TripKey],Tickets[Capacity]),0))</f>
        <v/>
      </c>
      <c r="K184">
        <f>IF(A184="","",I184*J184)</f>
        <v/>
      </c>
      <c r="L184">
        <f>IF(A184="","",IFERROR(MINIFS(Tickets[Trip Start Time],Tickets[TripKey],A184),""))</f>
        <v/>
      </c>
    </row>
    <row r="185">
      <c r="B185" s="8">
        <f>IF(A185="","",IFERROR(DATEVALUE(TEXTBEFORE(A185,"|")),--LEFT(A185,10)))</f>
        <v/>
      </c>
      <c r="C185">
        <f>IF(A185="","",TEXTBEFORE(TEXTAFTER(A185,"|"),"|"))</f>
        <v/>
      </c>
      <c r="D185">
        <f>IF(A185="","",TEXTAFTER(A185,"|",2))</f>
        <v/>
      </c>
      <c r="E185">
        <f>IF(A185="","",SUMIF(Tickets[TripKey],A185,Tickets[TP]))</f>
        <v/>
      </c>
      <c r="F185">
        <f>IF(A185="","",SUMIF(Tickets[TripKey],A185,Tickets[Revenue]))</f>
        <v/>
      </c>
      <c r="G185">
        <f>IF(A185="","",SUMIF(Tickets[TripKey],A185,Tickets[PK]))</f>
        <v/>
      </c>
      <c r="H185">
        <f>IF(A185="","",IFERROR(XLOOKUP(A185,Tickets[TripKey],Tickets[VehClean]),""))</f>
        <v/>
      </c>
      <c r="I185">
        <f>IF(A185="","",IFERROR(XLOOKUP(A185,Tickets[TripKey],Tickets[RouteLen]),0))</f>
        <v/>
      </c>
      <c r="J185">
        <f>IF(A185="","",IFERROR(XLOOKUP(A185,Tickets[TripKey],Tickets[Capacity]),0))</f>
        <v/>
      </c>
      <c r="K185">
        <f>IF(A185="","",I185*J185)</f>
        <v/>
      </c>
      <c r="L185">
        <f>IF(A185="","",IFERROR(MINIFS(Tickets[Trip Start Time],Tickets[TripKey],A185),""))</f>
        <v/>
      </c>
    </row>
    <row r="186">
      <c r="B186" s="8">
        <f>IF(A186="","",IFERROR(DATEVALUE(TEXTBEFORE(A186,"|")),--LEFT(A186,10)))</f>
        <v/>
      </c>
      <c r="C186">
        <f>IF(A186="","",TEXTBEFORE(TEXTAFTER(A186,"|"),"|"))</f>
        <v/>
      </c>
      <c r="D186">
        <f>IF(A186="","",TEXTAFTER(A186,"|",2))</f>
        <v/>
      </c>
      <c r="E186">
        <f>IF(A186="","",SUMIF(Tickets[TripKey],A186,Tickets[TP]))</f>
        <v/>
      </c>
      <c r="F186">
        <f>IF(A186="","",SUMIF(Tickets[TripKey],A186,Tickets[Revenue]))</f>
        <v/>
      </c>
      <c r="G186">
        <f>IF(A186="","",SUMIF(Tickets[TripKey],A186,Tickets[PK]))</f>
        <v/>
      </c>
      <c r="H186">
        <f>IF(A186="","",IFERROR(XLOOKUP(A186,Tickets[TripKey],Tickets[VehClean]),""))</f>
        <v/>
      </c>
      <c r="I186">
        <f>IF(A186="","",IFERROR(XLOOKUP(A186,Tickets[TripKey],Tickets[RouteLen]),0))</f>
        <v/>
      </c>
      <c r="J186">
        <f>IF(A186="","",IFERROR(XLOOKUP(A186,Tickets[TripKey],Tickets[Capacity]),0))</f>
        <v/>
      </c>
      <c r="K186">
        <f>IF(A186="","",I186*J186)</f>
        <v/>
      </c>
      <c r="L186">
        <f>IF(A186="","",IFERROR(MINIFS(Tickets[Trip Start Time],Tickets[TripKey],A186),""))</f>
        <v/>
      </c>
    </row>
    <row r="187">
      <c r="B187" s="8">
        <f>IF(A187="","",IFERROR(DATEVALUE(TEXTBEFORE(A187,"|")),--LEFT(A187,10)))</f>
        <v/>
      </c>
      <c r="C187">
        <f>IF(A187="","",TEXTBEFORE(TEXTAFTER(A187,"|"),"|"))</f>
        <v/>
      </c>
      <c r="D187">
        <f>IF(A187="","",TEXTAFTER(A187,"|",2))</f>
        <v/>
      </c>
      <c r="E187">
        <f>IF(A187="","",SUMIF(Tickets[TripKey],A187,Tickets[TP]))</f>
        <v/>
      </c>
      <c r="F187">
        <f>IF(A187="","",SUMIF(Tickets[TripKey],A187,Tickets[Revenue]))</f>
        <v/>
      </c>
      <c r="G187">
        <f>IF(A187="","",SUMIF(Tickets[TripKey],A187,Tickets[PK]))</f>
        <v/>
      </c>
      <c r="H187">
        <f>IF(A187="","",IFERROR(XLOOKUP(A187,Tickets[TripKey],Tickets[VehClean]),""))</f>
        <v/>
      </c>
      <c r="I187">
        <f>IF(A187="","",IFERROR(XLOOKUP(A187,Tickets[TripKey],Tickets[RouteLen]),0))</f>
        <v/>
      </c>
      <c r="J187">
        <f>IF(A187="","",IFERROR(XLOOKUP(A187,Tickets[TripKey],Tickets[Capacity]),0))</f>
        <v/>
      </c>
      <c r="K187">
        <f>IF(A187="","",I187*J187)</f>
        <v/>
      </c>
      <c r="L187">
        <f>IF(A187="","",IFERROR(MINIFS(Tickets[Trip Start Time],Tickets[TripKey],A187),""))</f>
        <v/>
      </c>
    </row>
    <row r="188">
      <c r="B188" s="8">
        <f>IF(A188="","",IFERROR(DATEVALUE(TEXTBEFORE(A188,"|")),--LEFT(A188,10)))</f>
        <v/>
      </c>
      <c r="C188">
        <f>IF(A188="","",TEXTBEFORE(TEXTAFTER(A188,"|"),"|"))</f>
        <v/>
      </c>
      <c r="D188">
        <f>IF(A188="","",TEXTAFTER(A188,"|",2))</f>
        <v/>
      </c>
      <c r="E188">
        <f>IF(A188="","",SUMIF(Tickets[TripKey],A188,Tickets[TP]))</f>
        <v/>
      </c>
      <c r="F188">
        <f>IF(A188="","",SUMIF(Tickets[TripKey],A188,Tickets[Revenue]))</f>
        <v/>
      </c>
      <c r="G188">
        <f>IF(A188="","",SUMIF(Tickets[TripKey],A188,Tickets[PK]))</f>
        <v/>
      </c>
      <c r="H188">
        <f>IF(A188="","",IFERROR(XLOOKUP(A188,Tickets[TripKey],Tickets[VehClean]),""))</f>
        <v/>
      </c>
      <c r="I188">
        <f>IF(A188="","",IFERROR(XLOOKUP(A188,Tickets[TripKey],Tickets[RouteLen]),0))</f>
        <v/>
      </c>
      <c r="J188">
        <f>IF(A188="","",IFERROR(XLOOKUP(A188,Tickets[TripKey],Tickets[Capacity]),0))</f>
        <v/>
      </c>
      <c r="K188">
        <f>IF(A188="","",I188*J188)</f>
        <v/>
      </c>
      <c r="L188">
        <f>IF(A188="","",IFERROR(MINIFS(Tickets[Trip Start Time],Tickets[TripKey],A188),""))</f>
        <v/>
      </c>
    </row>
    <row r="189">
      <c r="B189" s="8">
        <f>IF(A189="","",IFERROR(DATEVALUE(TEXTBEFORE(A189,"|")),--LEFT(A189,10)))</f>
        <v/>
      </c>
      <c r="C189">
        <f>IF(A189="","",TEXTBEFORE(TEXTAFTER(A189,"|"),"|"))</f>
        <v/>
      </c>
      <c r="D189">
        <f>IF(A189="","",TEXTAFTER(A189,"|",2))</f>
        <v/>
      </c>
      <c r="E189">
        <f>IF(A189="","",SUMIF(Tickets[TripKey],A189,Tickets[TP]))</f>
        <v/>
      </c>
      <c r="F189">
        <f>IF(A189="","",SUMIF(Tickets[TripKey],A189,Tickets[Revenue]))</f>
        <v/>
      </c>
      <c r="G189">
        <f>IF(A189="","",SUMIF(Tickets[TripKey],A189,Tickets[PK]))</f>
        <v/>
      </c>
      <c r="H189">
        <f>IF(A189="","",IFERROR(XLOOKUP(A189,Tickets[TripKey],Tickets[VehClean]),""))</f>
        <v/>
      </c>
      <c r="I189">
        <f>IF(A189="","",IFERROR(XLOOKUP(A189,Tickets[TripKey],Tickets[RouteLen]),0))</f>
        <v/>
      </c>
      <c r="J189">
        <f>IF(A189="","",IFERROR(XLOOKUP(A189,Tickets[TripKey],Tickets[Capacity]),0))</f>
        <v/>
      </c>
      <c r="K189">
        <f>IF(A189="","",I189*J189)</f>
        <v/>
      </c>
      <c r="L189">
        <f>IF(A189="","",IFERROR(MINIFS(Tickets[Trip Start Time],Tickets[TripKey],A189),""))</f>
        <v/>
      </c>
    </row>
    <row r="190">
      <c r="B190" s="8">
        <f>IF(A190="","",IFERROR(DATEVALUE(TEXTBEFORE(A190,"|")),--LEFT(A190,10)))</f>
        <v/>
      </c>
      <c r="C190">
        <f>IF(A190="","",TEXTBEFORE(TEXTAFTER(A190,"|"),"|"))</f>
        <v/>
      </c>
      <c r="D190">
        <f>IF(A190="","",TEXTAFTER(A190,"|",2))</f>
        <v/>
      </c>
      <c r="E190">
        <f>IF(A190="","",SUMIF(Tickets[TripKey],A190,Tickets[TP]))</f>
        <v/>
      </c>
      <c r="F190">
        <f>IF(A190="","",SUMIF(Tickets[TripKey],A190,Tickets[Revenue]))</f>
        <v/>
      </c>
      <c r="G190">
        <f>IF(A190="","",SUMIF(Tickets[TripKey],A190,Tickets[PK]))</f>
        <v/>
      </c>
      <c r="H190">
        <f>IF(A190="","",IFERROR(XLOOKUP(A190,Tickets[TripKey],Tickets[VehClean]),""))</f>
        <v/>
      </c>
      <c r="I190">
        <f>IF(A190="","",IFERROR(XLOOKUP(A190,Tickets[TripKey],Tickets[RouteLen]),0))</f>
        <v/>
      </c>
      <c r="J190">
        <f>IF(A190="","",IFERROR(XLOOKUP(A190,Tickets[TripKey],Tickets[Capacity]),0))</f>
        <v/>
      </c>
      <c r="K190">
        <f>IF(A190="","",I190*J190)</f>
        <v/>
      </c>
      <c r="L190">
        <f>IF(A190="","",IFERROR(MINIFS(Tickets[Trip Start Time],Tickets[TripKey],A190),""))</f>
        <v/>
      </c>
    </row>
    <row r="191">
      <c r="B191" s="8">
        <f>IF(A191="","",IFERROR(DATEVALUE(TEXTBEFORE(A191,"|")),--LEFT(A191,10)))</f>
        <v/>
      </c>
      <c r="C191">
        <f>IF(A191="","",TEXTBEFORE(TEXTAFTER(A191,"|"),"|"))</f>
        <v/>
      </c>
      <c r="D191">
        <f>IF(A191="","",TEXTAFTER(A191,"|",2))</f>
        <v/>
      </c>
      <c r="E191">
        <f>IF(A191="","",SUMIF(Tickets[TripKey],A191,Tickets[TP]))</f>
        <v/>
      </c>
      <c r="F191">
        <f>IF(A191="","",SUMIF(Tickets[TripKey],A191,Tickets[Revenue]))</f>
        <v/>
      </c>
      <c r="G191">
        <f>IF(A191="","",SUMIF(Tickets[TripKey],A191,Tickets[PK]))</f>
        <v/>
      </c>
      <c r="H191">
        <f>IF(A191="","",IFERROR(XLOOKUP(A191,Tickets[TripKey],Tickets[VehClean]),""))</f>
        <v/>
      </c>
      <c r="I191">
        <f>IF(A191="","",IFERROR(XLOOKUP(A191,Tickets[TripKey],Tickets[RouteLen]),0))</f>
        <v/>
      </c>
      <c r="J191">
        <f>IF(A191="","",IFERROR(XLOOKUP(A191,Tickets[TripKey],Tickets[Capacity]),0))</f>
        <v/>
      </c>
      <c r="K191">
        <f>IF(A191="","",I191*J191)</f>
        <v/>
      </c>
      <c r="L191">
        <f>IF(A191="","",IFERROR(MINIFS(Tickets[Trip Start Time],Tickets[TripKey],A191),""))</f>
        <v/>
      </c>
    </row>
    <row r="192">
      <c r="B192" s="8">
        <f>IF(A192="","",IFERROR(DATEVALUE(TEXTBEFORE(A192,"|")),--LEFT(A192,10)))</f>
        <v/>
      </c>
      <c r="C192">
        <f>IF(A192="","",TEXTBEFORE(TEXTAFTER(A192,"|"),"|"))</f>
        <v/>
      </c>
      <c r="D192">
        <f>IF(A192="","",TEXTAFTER(A192,"|",2))</f>
        <v/>
      </c>
      <c r="E192">
        <f>IF(A192="","",SUMIF(Tickets[TripKey],A192,Tickets[TP]))</f>
        <v/>
      </c>
      <c r="F192">
        <f>IF(A192="","",SUMIF(Tickets[TripKey],A192,Tickets[Revenue]))</f>
        <v/>
      </c>
      <c r="G192">
        <f>IF(A192="","",SUMIF(Tickets[TripKey],A192,Tickets[PK]))</f>
        <v/>
      </c>
      <c r="H192">
        <f>IF(A192="","",IFERROR(XLOOKUP(A192,Tickets[TripKey],Tickets[VehClean]),""))</f>
        <v/>
      </c>
      <c r="I192">
        <f>IF(A192="","",IFERROR(XLOOKUP(A192,Tickets[TripKey],Tickets[RouteLen]),0))</f>
        <v/>
      </c>
      <c r="J192">
        <f>IF(A192="","",IFERROR(XLOOKUP(A192,Tickets[TripKey],Tickets[Capacity]),0))</f>
        <v/>
      </c>
      <c r="K192">
        <f>IF(A192="","",I192*J192)</f>
        <v/>
      </c>
      <c r="L192">
        <f>IF(A192="","",IFERROR(MINIFS(Tickets[Trip Start Time],Tickets[TripKey],A192),""))</f>
        <v/>
      </c>
    </row>
    <row r="193">
      <c r="B193" s="8">
        <f>IF(A193="","",IFERROR(DATEVALUE(TEXTBEFORE(A193,"|")),--LEFT(A193,10)))</f>
        <v/>
      </c>
      <c r="C193">
        <f>IF(A193="","",TEXTBEFORE(TEXTAFTER(A193,"|"),"|"))</f>
        <v/>
      </c>
      <c r="D193">
        <f>IF(A193="","",TEXTAFTER(A193,"|",2))</f>
        <v/>
      </c>
      <c r="E193">
        <f>IF(A193="","",SUMIF(Tickets[TripKey],A193,Tickets[TP]))</f>
        <v/>
      </c>
      <c r="F193">
        <f>IF(A193="","",SUMIF(Tickets[TripKey],A193,Tickets[Revenue]))</f>
        <v/>
      </c>
      <c r="G193">
        <f>IF(A193="","",SUMIF(Tickets[TripKey],A193,Tickets[PK]))</f>
        <v/>
      </c>
      <c r="H193">
        <f>IF(A193="","",IFERROR(XLOOKUP(A193,Tickets[TripKey],Tickets[VehClean]),""))</f>
        <v/>
      </c>
      <c r="I193">
        <f>IF(A193="","",IFERROR(XLOOKUP(A193,Tickets[TripKey],Tickets[RouteLen]),0))</f>
        <v/>
      </c>
      <c r="J193">
        <f>IF(A193="","",IFERROR(XLOOKUP(A193,Tickets[TripKey],Tickets[Capacity]),0))</f>
        <v/>
      </c>
      <c r="K193">
        <f>IF(A193="","",I193*J193)</f>
        <v/>
      </c>
      <c r="L193">
        <f>IF(A193="","",IFERROR(MINIFS(Tickets[Trip Start Time],Tickets[TripKey],A193),""))</f>
        <v/>
      </c>
    </row>
    <row r="194">
      <c r="B194" s="8">
        <f>IF(A194="","",IFERROR(DATEVALUE(TEXTBEFORE(A194,"|")),--LEFT(A194,10)))</f>
        <v/>
      </c>
      <c r="C194">
        <f>IF(A194="","",TEXTBEFORE(TEXTAFTER(A194,"|"),"|"))</f>
        <v/>
      </c>
      <c r="D194">
        <f>IF(A194="","",TEXTAFTER(A194,"|",2))</f>
        <v/>
      </c>
      <c r="E194">
        <f>IF(A194="","",SUMIF(Tickets[TripKey],A194,Tickets[TP]))</f>
        <v/>
      </c>
      <c r="F194">
        <f>IF(A194="","",SUMIF(Tickets[TripKey],A194,Tickets[Revenue]))</f>
        <v/>
      </c>
      <c r="G194">
        <f>IF(A194="","",SUMIF(Tickets[TripKey],A194,Tickets[PK]))</f>
        <v/>
      </c>
      <c r="H194">
        <f>IF(A194="","",IFERROR(XLOOKUP(A194,Tickets[TripKey],Tickets[VehClean]),""))</f>
        <v/>
      </c>
      <c r="I194">
        <f>IF(A194="","",IFERROR(XLOOKUP(A194,Tickets[TripKey],Tickets[RouteLen]),0))</f>
        <v/>
      </c>
      <c r="J194">
        <f>IF(A194="","",IFERROR(XLOOKUP(A194,Tickets[TripKey],Tickets[Capacity]),0))</f>
        <v/>
      </c>
      <c r="K194">
        <f>IF(A194="","",I194*J194)</f>
        <v/>
      </c>
      <c r="L194">
        <f>IF(A194="","",IFERROR(MINIFS(Tickets[Trip Start Time],Tickets[TripKey],A194),""))</f>
        <v/>
      </c>
    </row>
    <row r="195">
      <c r="B195" s="8">
        <f>IF(A195="","",IFERROR(DATEVALUE(TEXTBEFORE(A195,"|")),--LEFT(A195,10)))</f>
        <v/>
      </c>
      <c r="C195">
        <f>IF(A195="","",TEXTBEFORE(TEXTAFTER(A195,"|"),"|"))</f>
        <v/>
      </c>
      <c r="D195">
        <f>IF(A195="","",TEXTAFTER(A195,"|",2))</f>
        <v/>
      </c>
      <c r="E195">
        <f>IF(A195="","",SUMIF(Tickets[TripKey],A195,Tickets[TP]))</f>
        <v/>
      </c>
      <c r="F195">
        <f>IF(A195="","",SUMIF(Tickets[TripKey],A195,Tickets[Revenue]))</f>
        <v/>
      </c>
      <c r="G195">
        <f>IF(A195="","",SUMIF(Tickets[TripKey],A195,Tickets[PK]))</f>
        <v/>
      </c>
      <c r="H195">
        <f>IF(A195="","",IFERROR(XLOOKUP(A195,Tickets[TripKey],Tickets[VehClean]),""))</f>
        <v/>
      </c>
      <c r="I195">
        <f>IF(A195="","",IFERROR(XLOOKUP(A195,Tickets[TripKey],Tickets[RouteLen]),0))</f>
        <v/>
      </c>
      <c r="J195">
        <f>IF(A195="","",IFERROR(XLOOKUP(A195,Tickets[TripKey],Tickets[Capacity]),0))</f>
        <v/>
      </c>
      <c r="K195">
        <f>IF(A195="","",I195*J195)</f>
        <v/>
      </c>
      <c r="L195">
        <f>IF(A195="","",IFERROR(MINIFS(Tickets[Trip Start Time],Tickets[TripKey],A195),""))</f>
        <v/>
      </c>
    </row>
    <row r="196">
      <c r="B196" s="8">
        <f>IF(A196="","",IFERROR(DATEVALUE(TEXTBEFORE(A196,"|")),--LEFT(A196,10)))</f>
        <v/>
      </c>
      <c r="C196">
        <f>IF(A196="","",TEXTBEFORE(TEXTAFTER(A196,"|"),"|"))</f>
        <v/>
      </c>
      <c r="D196">
        <f>IF(A196="","",TEXTAFTER(A196,"|",2))</f>
        <v/>
      </c>
      <c r="E196">
        <f>IF(A196="","",SUMIF(Tickets[TripKey],A196,Tickets[TP]))</f>
        <v/>
      </c>
      <c r="F196">
        <f>IF(A196="","",SUMIF(Tickets[TripKey],A196,Tickets[Revenue]))</f>
        <v/>
      </c>
      <c r="G196">
        <f>IF(A196="","",SUMIF(Tickets[TripKey],A196,Tickets[PK]))</f>
        <v/>
      </c>
      <c r="H196">
        <f>IF(A196="","",IFERROR(XLOOKUP(A196,Tickets[TripKey],Tickets[VehClean]),""))</f>
        <v/>
      </c>
      <c r="I196">
        <f>IF(A196="","",IFERROR(XLOOKUP(A196,Tickets[TripKey],Tickets[RouteLen]),0))</f>
        <v/>
      </c>
      <c r="J196">
        <f>IF(A196="","",IFERROR(XLOOKUP(A196,Tickets[TripKey],Tickets[Capacity]),0))</f>
        <v/>
      </c>
      <c r="K196">
        <f>IF(A196="","",I196*J196)</f>
        <v/>
      </c>
      <c r="L196">
        <f>IF(A196="","",IFERROR(MINIFS(Tickets[Trip Start Time],Tickets[TripKey],A196),""))</f>
        <v/>
      </c>
    </row>
    <row r="197">
      <c r="B197" s="8">
        <f>IF(A197="","",IFERROR(DATEVALUE(TEXTBEFORE(A197,"|")),--LEFT(A197,10)))</f>
        <v/>
      </c>
      <c r="C197">
        <f>IF(A197="","",TEXTBEFORE(TEXTAFTER(A197,"|"),"|"))</f>
        <v/>
      </c>
      <c r="D197">
        <f>IF(A197="","",TEXTAFTER(A197,"|",2))</f>
        <v/>
      </c>
      <c r="E197">
        <f>IF(A197="","",SUMIF(Tickets[TripKey],A197,Tickets[TP]))</f>
        <v/>
      </c>
      <c r="F197">
        <f>IF(A197="","",SUMIF(Tickets[TripKey],A197,Tickets[Revenue]))</f>
        <v/>
      </c>
      <c r="G197">
        <f>IF(A197="","",SUMIF(Tickets[TripKey],A197,Tickets[PK]))</f>
        <v/>
      </c>
      <c r="H197">
        <f>IF(A197="","",IFERROR(XLOOKUP(A197,Tickets[TripKey],Tickets[VehClean]),""))</f>
        <v/>
      </c>
      <c r="I197">
        <f>IF(A197="","",IFERROR(XLOOKUP(A197,Tickets[TripKey],Tickets[RouteLen]),0))</f>
        <v/>
      </c>
      <c r="J197">
        <f>IF(A197="","",IFERROR(XLOOKUP(A197,Tickets[TripKey],Tickets[Capacity]),0))</f>
        <v/>
      </c>
      <c r="K197">
        <f>IF(A197="","",I197*J197)</f>
        <v/>
      </c>
      <c r="L197">
        <f>IF(A197="","",IFERROR(MINIFS(Tickets[Trip Start Time],Tickets[TripKey],A197),""))</f>
        <v/>
      </c>
    </row>
    <row r="198">
      <c r="B198" s="8">
        <f>IF(A198="","",IFERROR(DATEVALUE(TEXTBEFORE(A198,"|")),--LEFT(A198,10)))</f>
        <v/>
      </c>
      <c r="C198">
        <f>IF(A198="","",TEXTBEFORE(TEXTAFTER(A198,"|"),"|"))</f>
        <v/>
      </c>
      <c r="D198">
        <f>IF(A198="","",TEXTAFTER(A198,"|",2))</f>
        <v/>
      </c>
      <c r="E198">
        <f>IF(A198="","",SUMIF(Tickets[TripKey],A198,Tickets[TP]))</f>
        <v/>
      </c>
      <c r="F198">
        <f>IF(A198="","",SUMIF(Tickets[TripKey],A198,Tickets[Revenue]))</f>
        <v/>
      </c>
      <c r="G198">
        <f>IF(A198="","",SUMIF(Tickets[TripKey],A198,Tickets[PK]))</f>
        <v/>
      </c>
      <c r="H198">
        <f>IF(A198="","",IFERROR(XLOOKUP(A198,Tickets[TripKey],Tickets[VehClean]),""))</f>
        <v/>
      </c>
      <c r="I198">
        <f>IF(A198="","",IFERROR(XLOOKUP(A198,Tickets[TripKey],Tickets[RouteLen]),0))</f>
        <v/>
      </c>
      <c r="J198">
        <f>IF(A198="","",IFERROR(XLOOKUP(A198,Tickets[TripKey],Tickets[Capacity]),0))</f>
        <v/>
      </c>
      <c r="K198">
        <f>IF(A198="","",I198*J198)</f>
        <v/>
      </c>
      <c r="L198">
        <f>IF(A198="","",IFERROR(MINIFS(Tickets[Trip Start Time],Tickets[TripKey],A198),""))</f>
        <v/>
      </c>
    </row>
    <row r="199">
      <c r="B199" s="8">
        <f>IF(A199="","",IFERROR(DATEVALUE(TEXTBEFORE(A199,"|")),--LEFT(A199,10)))</f>
        <v/>
      </c>
      <c r="C199">
        <f>IF(A199="","",TEXTBEFORE(TEXTAFTER(A199,"|"),"|"))</f>
        <v/>
      </c>
      <c r="D199">
        <f>IF(A199="","",TEXTAFTER(A199,"|",2))</f>
        <v/>
      </c>
      <c r="E199">
        <f>IF(A199="","",SUMIF(Tickets[TripKey],A199,Tickets[TP]))</f>
        <v/>
      </c>
      <c r="F199">
        <f>IF(A199="","",SUMIF(Tickets[TripKey],A199,Tickets[Revenue]))</f>
        <v/>
      </c>
      <c r="G199">
        <f>IF(A199="","",SUMIF(Tickets[TripKey],A199,Tickets[PK]))</f>
        <v/>
      </c>
      <c r="H199">
        <f>IF(A199="","",IFERROR(XLOOKUP(A199,Tickets[TripKey],Tickets[VehClean]),""))</f>
        <v/>
      </c>
      <c r="I199">
        <f>IF(A199="","",IFERROR(XLOOKUP(A199,Tickets[TripKey],Tickets[RouteLen]),0))</f>
        <v/>
      </c>
      <c r="J199">
        <f>IF(A199="","",IFERROR(XLOOKUP(A199,Tickets[TripKey],Tickets[Capacity]),0))</f>
        <v/>
      </c>
      <c r="K199">
        <f>IF(A199="","",I199*J199)</f>
        <v/>
      </c>
      <c r="L199">
        <f>IF(A199="","",IFERROR(MINIFS(Tickets[Trip Start Time],Tickets[TripKey],A199),""))</f>
        <v/>
      </c>
    </row>
    <row r="200">
      <c r="B200" s="8">
        <f>IF(A200="","",IFERROR(DATEVALUE(TEXTBEFORE(A200,"|")),--LEFT(A200,10)))</f>
        <v/>
      </c>
      <c r="C200">
        <f>IF(A200="","",TEXTBEFORE(TEXTAFTER(A200,"|"),"|"))</f>
        <v/>
      </c>
      <c r="D200">
        <f>IF(A200="","",TEXTAFTER(A200,"|",2))</f>
        <v/>
      </c>
      <c r="E200">
        <f>IF(A200="","",SUMIF(Tickets[TripKey],A200,Tickets[TP]))</f>
        <v/>
      </c>
      <c r="F200">
        <f>IF(A200="","",SUMIF(Tickets[TripKey],A200,Tickets[Revenue]))</f>
        <v/>
      </c>
      <c r="G200">
        <f>IF(A200="","",SUMIF(Tickets[TripKey],A200,Tickets[PK]))</f>
        <v/>
      </c>
      <c r="H200">
        <f>IF(A200="","",IFERROR(XLOOKUP(A200,Tickets[TripKey],Tickets[VehClean]),""))</f>
        <v/>
      </c>
      <c r="I200">
        <f>IF(A200="","",IFERROR(XLOOKUP(A200,Tickets[TripKey],Tickets[RouteLen]),0))</f>
        <v/>
      </c>
      <c r="J200">
        <f>IF(A200="","",IFERROR(XLOOKUP(A200,Tickets[TripKey],Tickets[Capacity]),0))</f>
        <v/>
      </c>
      <c r="K200">
        <f>IF(A200="","",I200*J200)</f>
        <v/>
      </c>
      <c r="L200">
        <f>IF(A200="","",IFERROR(MINIFS(Tickets[Trip Start Time],Tickets[TripKey],A200),""))</f>
        <v/>
      </c>
    </row>
    <row r="201">
      <c r="B201" s="8">
        <f>IF(A201="","",IFERROR(DATEVALUE(TEXTBEFORE(A201,"|")),--LEFT(A201,10)))</f>
        <v/>
      </c>
      <c r="C201">
        <f>IF(A201="","",TEXTBEFORE(TEXTAFTER(A201,"|"),"|"))</f>
        <v/>
      </c>
      <c r="D201">
        <f>IF(A201="","",TEXTAFTER(A201,"|",2))</f>
        <v/>
      </c>
      <c r="E201">
        <f>IF(A201="","",SUMIF(Tickets[TripKey],A201,Tickets[TP]))</f>
        <v/>
      </c>
      <c r="F201">
        <f>IF(A201="","",SUMIF(Tickets[TripKey],A201,Tickets[Revenue]))</f>
        <v/>
      </c>
      <c r="G201">
        <f>IF(A201="","",SUMIF(Tickets[TripKey],A201,Tickets[PK]))</f>
        <v/>
      </c>
      <c r="H201">
        <f>IF(A201="","",IFERROR(XLOOKUP(A201,Tickets[TripKey],Tickets[VehClean]),""))</f>
        <v/>
      </c>
      <c r="I201">
        <f>IF(A201="","",IFERROR(XLOOKUP(A201,Tickets[TripKey],Tickets[RouteLen]),0))</f>
        <v/>
      </c>
      <c r="J201">
        <f>IF(A201="","",IFERROR(XLOOKUP(A201,Tickets[TripKey],Tickets[Capacity]),0))</f>
        <v/>
      </c>
      <c r="K201">
        <f>IF(A201="","",I201*J201)</f>
        <v/>
      </c>
      <c r="L201">
        <f>IF(A201="","",IFERROR(MINIFS(Tickets[Trip Start Time],Tickets[TripKey],A201),""))</f>
        <v/>
      </c>
    </row>
    <row r="202">
      <c r="B202" s="8">
        <f>IF(A202="","",IFERROR(DATEVALUE(TEXTBEFORE(A202,"|")),--LEFT(A202,10)))</f>
        <v/>
      </c>
      <c r="C202">
        <f>IF(A202="","",TEXTBEFORE(TEXTAFTER(A202,"|"),"|"))</f>
        <v/>
      </c>
      <c r="D202">
        <f>IF(A202="","",TEXTAFTER(A202,"|",2))</f>
        <v/>
      </c>
      <c r="E202">
        <f>IF(A202="","",SUMIF(Tickets[TripKey],A202,Tickets[TP]))</f>
        <v/>
      </c>
      <c r="F202">
        <f>IF(A202="","",SUMIF(Tickets[TripKey],A202,Tickets[Revenue]))</f>
        <v/>
      </c>
      <c r="G202">
        <f>IF(A202="","",SUMIF(Tickets[TripKey],A202,Tickets[PK]))</f>
        <v/>
      </c>
      <c r="H202">
        <f>IF(A202="","",IFERROR(XLOOKUP(A202,Tickets[TripKey],Tickets[VehClean]),""))</f>
        <v/>
      </c>
      <c r="I202">
        <f>IF(A202="","",IFERROR(XLOOKUP(A202,Tickets[TripKey],Tickets[RouteLen]),0))</f>
        <v/>
      </c>
      <c r="J202">
        <f>IF(A202="","",IFERROR(XLOOKUP(A202,Tickets[TripKey],Tickets[Capacity]),0))</f>
        <v/>
      </c>
      <c r="K202">
        <f>IF(A202="","",I202*J202)</f>
        <v/>
      </c>
      <c r="L202">
        <f>IF(A202="","",IFERROR(MINIFS(Tickets[Trip Start Time],Tickets[TripKey],A202),""))</f>
        <v/>
      </c>
    </row>
    <row r="203">
      <c r="B203" s="8">
        <f>IF(A203="","",IFERROR(DATEVALUE(TEXTBEFORE(A203,"|")),--LEFT(A203,10)))</f>
        <v/>
      </c>
      <c r="C203">
        <f>IF(A203="","",TEXTBEFORE(TEXTAFTER(A203,"|"),"|"))</f>
        <v/>
      </c>
      <c r="D203">
        <f>IF(A203="","",TEXTAFTER(A203,"|",2))</f>
        <v/>
      </c>
      <c r="E203">
        <f>IF(A203="","",SUMIF(Tickets[TripKey],A203,Tickets[TP]))</f>
        <v/>
      </c>
      <c r="F203">
        <f>IF(A203="","",SUMIF(Tickets[TripKey],A203,Tickets[Revenue]))</f>
        <v/>
      </c>
      <c r="G203">
        <f>IF(A203="","",SUMIF(Tickets[TripKey],A203,Tickets[PK]))</f>
        <v/>
      </c>
      <c r="H203">
        <f>IF(A203="","",IFERROR(XLOOKUP(A203,Tickets[TripKey],Tickets[VehClean]),""))</f>
        <v/>
      </c>
      <c r="I203">
        <f>IF(A203="","",IFERROR(XLOOKUP(A203,Tickets[TripKey],Tickets[RouteLen]),0))</f>
        <v/>
      </c>
      <c r="J203">
        <f>IF(A203="","",IFERROR(XLOOKUP(A203,Tickets[TripKey],Tickets[Capacity]),0))</f>
        <v/>
      </c>
      <c r="K203">
        <f>IF(A203="","",I203*J203)</f>
        <v/>
      </c>
      <c r="L203">
        <f>IF(A203="","",IFERROR(MINIFS(Tickets[Trip Start Time],Tickets[TripKey],A203),""))</f>
        <v/>
      </c>
    </row>
    <row r="204">
      <c r="B204" s="8">
        <f>IF(A204="","",IFERROR(DATEVALUE(TEXTBEFORE(A204,"|")),--LEFT(A204,10)))</f>
        <v/>
      </c>
      <c r="C204">
        <f>IF(A204="","",TEXTBEFORE(TEXTAFTER(A204,"|"),"|"))</f>
        <v/>
      </c>
      <c r="D204">
        <f>IF(A204="","",TEXTAFTER(A204,"|",2))</f>
        <v/>
      </c>
      <c r="E204">
        <f>IF(A204="","",SUMIF(Tickets[TripKey],A204,Tickets[TP]))</f>
        <v/>
      </c>
      <c r="F204">
        <f>IF(A204="","",SUMIF(Tickets[TripKey],A204,Tickets[Revenue]))</f>
        <v/>
      </c>
      <c r="G204">
        <f>IF(A204="","",SUMIF(Tickets[TripKey],A204,Tickets[PK]))</f>
        <v/>
      </c>
      <c r="H204">
        <f>IF(A204="","",IFERROR(XLOOKUP(A204,Tickets[TripKey],Tickets[VehClean]),""))</f>
        <v/>
      </c>
      <c r="I204">
        <f>IF(A204="","",IFERROR(XLOOKUP(A204,Tickets[TripKey],Tickets[RouteLen]),0))</f>
        <v/>
      </c>
      <c r="J204">
        <f>IF(A204="","",IFERROR(XLOOKUP(A204,Tickets[TripKey],Tickets[Capacity]),0))</f>
        <v/>
      </c>
      <c r="K204">
        <f>IF(A204="","",I204*J204)</f>
        <v/>
      </c>
      <c r="L204">
        <f>IF(A204="","",IFERROR(MINIFS(Tickets[Trip Start Time],Tickets[TripKey],A204),""))</f>
        <v/>
      </c>
    </row>
    <row r="205">
      <c r="B205" s="8">
        <f>IF(A205="","",IFERROR(DATEVALUE(TEXTBEFORE(A205,"|")),--LEFT(A205,10)))</f>
        <v/>
      </c>
      <c r="C205">
        <f>IF(A205="","",TEXTBEFORE(TEXTAFTER(A205,"|"),"|"))</f>
        <v/>
      </c>
      <c r="D205">
        <f>IF(A205="","",TEXTAFTER(A205,"|",2))</f>
        <v/>
      </c>
      <c r="E205">
        <f>IF(A205="","",SUMIF(Tickets[TripKey],A205,Tickets[TP]))</f>
        <v/>
      </c>
      <c r="F205">
        <f>IF(A205="","",SUMIF(Tickets[TripKey],A205,Tickets[Revenue]))</f>
        <v/>
      </c>
      <c r="G205">
        <f>IF(A205="","",SUMIF(Tickets[TripKey],A205,Tickets[PK]))</f>
        <v/>
      </c>
      <c r="H205">
        <f>IF(A205="","",IFERROR(XLOOKUP(A205,Tickets[TripKey],Tickets[VehClean]),""))</f>
        <v/>
      </c>
      <c r="I205">
        <f>IF(A205="","",IFERROR(XLOOKUP(A205,Tickets[TripKey],Tickets[RouteLen]),0))</f>
        <v/>
      </c>
      <c r="J205">
        <f>IF(A205="","",IFERROR(XLOOKUP(A205,Tickets[TripKey],Tickets[Capacity]),0))</f>
        <v/>
      </c>
      <c r="K205">
        <f>IF(A205="","",I205*J205)</f>
        <v/>
      </c>
      <c r="L205">
        <f>IF(A205="","",IFERROR(MINIFS(Tickets[Trip Start Time],Tickets[TripKey],A205),""))</f>
        <v/>
      </c>
    </row>
    <row r="206">
      <c r="B206" s="8">
        <f>IF(A206="","",IFERROR(DATEVALUE(TEXTBEFORE(A206,"|")),--LEFT(A206,10)))</f>
        <v/>
      </c>
      <c r="C206">
        <f>IF(A206="","",TEXTBEFORE(TEXTAFTER(A206,"|"),"|"))</f>
        <v/>
      </c>
      <c r="D206">
        <f>IF(A206="","",TEXTAFTER(A206,"|",2))</f>
        <v/>
      </c>
      <c r="E206">
        <f>IF(A206="","",SUMIF(Tickets[TripKey],A206,Tickets[TP]))</f>
        <v/>
      </c>
      <c r="F206">
        <f>IF(A206="","",SUMIF(Tickets[TripKey],A206,Tickets[Revenue]))</f>
        <v/>
      </c>
      <c r="G206">
        <f>IF(A206="","",SUMIF(Tickets[TripKey],A206,Tickets[PK]))</f>
        <v/>
      </c>
      <c r="H206">
        <f>IF(A206="","",IFERROR(XLOOKUP(A206,Tickets[TripKey],Tickets[VehClean]),""))</f>
        <v/>
      </c>
      <c r="I206">
        <f>IF(A206="","",IFERROR(XLOOKUP(A206,Tickets[TripKey],Tickets[RouteLen]),0))</f>
        <v/>
      </c>
      <c r="J206">
        <f>IF(A206="","",IFERROR(XLOOKUP(A206,Tickets[TripKey],Tickets[Capacity]),0))</f>
        <v/>
      </c>
      <c r="K206">
        <f>IF(A206="","",I206*J206)</f>
        <v/>
      </c>
      <c r="L206">
        <f>IF(A206="","",IFERROR(MINIFS(Tickets[Trip Start Time],Tickets[TripKey],A206),""))</f>
        <v/>
      </c>
    </row>
    <row r="207">
      <c r="B207" s="8">
        <f>IF(A207="","",IFERROR(DATEVALUE(TEXTBEFORE(A207,"|")),--LEFT(A207,10)))</f>
        <v/>
      </c>
      <c r="C207">
        <f>IF(A207="","",TEXTBEFORE(TEXTAFTER(A207,"|"),"|"))</f>
        <v/>
      </c>
      <c r="D207">
        <f>IF(A207="","",TEXTAFTER(A207,"|",2))</f>
        <v/>
      </c>
      <c r="E207">
        <f>IF(A207="","",SUMIF(Tickets[TripKey],A207,Tickets[TP]))</f>
        <v/>
      </c>
      <c r="F207">
        <f>IF(A207="","",SUMIF(Tickets[TripKey],A207,Tickets[Revenue]))</f>
        <v/>
      </c>
      <c r="G207">
        <f>IF(A207="","",SUMIF(Tickets[TripKey],A207,Tickets[PK]))</f>
        <v/>
      </c>
      <c r="H207">
        <f>IF(A207="","",IFERROR(XLOOKUP(A207,Tickets[TripKey],Tickets[VehClean]),""))</f>
        <v/>
      </c>
      <c r="I207">
        <f>IF(A207="","",IFERROR(XLOOKUP(A207,Tickets[TripKey],Tickets[RouteLen]),0))</f>
        <v/>
      </c>
      <c r="J207">
        <f>IF(A207="","",IFERROR(XLOOKUP(A207,Tickets[TripKey],Tickets[Capacity]),0))</f>
        <v/>
      </c>
      <c r="K207">
        <f>IF(A207="","",I207*J207)</f>
        <v/>
      </c>
      <c r="L207">
        <f>IF(A207="","",IFERROR(MINIFS(Tickets[Trip Start Time],Tickets[TripKey],A207),""))</f>
        <v/>
      </c>
    </row>
    <row r="208">
      <c r="B208" s="8">
        <f>IF(A208="","",IFERROR(DATEVALUE(TEXTBEFORE(A208,"|")),--LEFT(A208,10)))</f>
        <v/>
      </c>
      <c r="C208">
        <f>IF(A208="","",TEXTBEFORE(TEXTAFTER(A208,"|"),"|"))</f>
        <v/>
      </c>
      <c r="D208">
        <f>IF(A208="","",TEXTAFTER(A208,"|",2))</f>
        <v/>
      </c>
      <c r="E208">
        <f>IF(A208="","",SUMIF(Tickets[TripKey],A208,Tickets[TP]))</f>
        <v/>
      </c>
      <c r="F208">
        <f>IF(A208="","",SUMIF(Tickets[TripKey],A208,Tickets[Revenue]))</f>
        <v/>
      </c>
      <c r="G208">
        <f>IF(A208="","",SUMIF(Tickets[TripKey],A208,Tickets[PK]))</f>
        <v/>
      </c>
      <c r="H208">
        <f>IF(A208="","",IFERROR(XLOOKUP(A208,Tickets[TripKey],Tickets[VehClean]),""))</f>
        <v/>
      </c>
      <c r="I208">
        <f>IF(A208="","",IFERROR(XLOOKUP(A208,Tickets[TripKey],Tickets[RouteLen]),0))</f>
        <v/>
      </c>
      <c r="J208">
        <f>IF(A208="","",IFERROR(XLOOKUP(A208,Tickets[TripKey],Tickets[Capacity]),0))</f>
        <v/>
      </c>
      <c r="K208">
        <f>IF(A208="","",I208*J208)</f>
        <v/>
      </c>
      <c r="L208">
        <f>IF(A208="","",IFERROR(MINIFS(Tickets[Trip Start Time],Tickets[TripKey],A208),""))</f>
        <v/>
      </c>
    </row>
    <row r="209">
      <c r="B209" s="8">
        <f>IF(A209="","",IFERROR(DATEVALUE(TEXTBEFORE(A209,"|")),--LEFT(A209,10)))</f>
        <v/>
      </c>
      <c r="C209">
        <f>IF(A209="","",TEXTBEFORE(TEXTAFTER(A209,"|"),"|"))</f>
        <v/>
      </c>
      <c r="D209">
        <f>IF(A209="","",TEXTAFTER(A209,"|",2))</f>
        <v/>
      </c>
      <c r="E209">
        <f>IF(A209="","",SUMIF(Tickets[TripKey],A209,Tickets[TP]))</f>
        <v/>
      </c>
      <c r="F209">
        <f>IF(A209="","",SUMIF(Tickets[TripKey],A209,Tickets[Revenue]))</f>
        <v/>
      </c>
      <c r="G209">
        <f>IF(A209="","",SUMIF(Tickets[TripKey],A209,Tickets[PK]))</f>
        <v/>
      </c>
      <c r="H209">
        <f>IF(A209="","",IFERROR(XLOOKUP(A209,Tickets[TripKey],Tickets[VehClean]),""))</f>
        <v/>
      </c>
      <c r="I209">
        <f>IF(A209="","",IFERROR(XLOOKUP(A209,Tickets[TripKey],Tickets[RouteLen]),0))</f>
        <v/>
      </c>
      <c r="J209">
        <f>IF(A209="","",IFERROR(XLOOKUP(A209,Tickets[TripKey],Tickets[Capacity]),0))</f>
        <v/>
      </c>
      <c r="K209">
        <f>IF(A209="","",I209*J209)</f>
        <v/>
      </c>
      <c r="L209">
        <f>IF(A209="","",IFERROR(MINIFS(Tickets[Trip Start Time],Tickets[TripKey],A209),""))</f>
        <v/>
      </c>
    </row>
    <row r="210">
      <c r="B210" s="8">
        <f>IF(A210="","",IFERROR(DATEVALUE(TEXTBEFORE(A210,"|")),--LEFT(A210,10)))</f>
        <v/>
      </c>
      <c r="C210">
        <f>IF(A210="","",TEXTBEFORE(TEXTAFTER(A210,"|"),"|"))</f>
        <v/>
      </c>
      <c r="D210">
        <f>IF(A210="","",TEXTAFTER(A210,"|",2))</f>
        <v/>
      </c>
      <c r="E210">
        <f>IF(A210="","",SUMIF(Tickets[TripKey],A210,Tickets[TP]))</f>
        <v/>
      </c>
      <c r="F210">
        <f>IF(A210="","",SUMIF(Tickets[TripKey],A210,Tickets[Revenue]))</f>
        <v/>
      </c>
      <c r="G210">
        <f>IF(A210="","",SUMIF(Tickets[TripKey],A210,Tickets[PK]))</f>
        <v/>
      </c>
      <c r="H210">
        <f>IF(A210="","",IFERROR(XLOOKUP(A210,Tickets[TripKey],Tickets[VehClean]),""))</f>
        <v/>
      </c>
      <c r="I210">
        <f>IF(A210="","",IFERROR(XLOOKUP(A210,Tickets[TripKey],Tickets[RouteLen]),0))</f>
        <v/>
      </c>
      <c r="J210">
        <f>IF(A210="","",IFERROR(XLOOKUP(A210,Tickets[TripKey],Tickets[Capacity]),0))</f>
        <v/>
      </c>
      <c r="K210">
        <f>IF(A210="","",I210*J210)</f>
        <v/>
      </c>
      <c r="L210">
        <f>IF(A210="","",IFERROR(MINIFS(Tickets[Trip Start Time],Tickets[TripKey],A210),""))</f>
        <v/>
      </c>
    </row>
    <row r="211">
      <c r="B211" s="8">
        <f>IF(A211="","",IFERROR(DATEVALUE(TEXTBEFORE(A211,"|")),--LEFT(A211,10)))</f>
        <v/>
      </c>
      <c r="C211">
        <f>IF(A211="","",TEXTBEFORE(TEXTAFTER(A211,"|"),"|"))</f>
        <v/>
      </c>
      <c r="D211">
        <f>IF(A211="","",TEXTAFTER(A211,"|",2))</f>
        <v/>
      </c>
      <c r="E211">
        <f>IF(A211="","",SUMIF(Tickets[TripKey],A211,Tickets[TP]))</f>
        <v/>
      </c>
      <c r="F211">
        <f>IF(A211="","",SUMIF(Tickets[TripKey],A211,Tickets[Revenue]))</f>
        <v/>
      </c>
      <c r="G211">
        <f>IF(A211="","",SUMIF(Tickets[TripKey],A211,Tickets[PK]))</f>
        <v/>
      </c>
      <c r="H211">
        <f>IF(A211="","",IFERROR(XLOOKUP(A211,Tickets[TripKey],Tickets[VehClean]),""))</f>
        <v/>
      </c>
      <c r="I211">
        <f>IF(A211="","",IFERROR(XLOOKUP(A211,Tickets[TripKey],Tickets[RouteLen]),0))</f>
        <v/>
      </c>
      <c r="J211">
        <f>IF(A211="","",IFERROR(XLOOKUP(A211,Tickets[TripKey],Tickets[Capacity]),0))</f>
        <v/>
      </c>
      <c r="K211">
        <f>IF(A211="","",I211*J211)</f>
        <v/>
      </c>
      <c r="L211">
        <f>IF(A211="","",IFERROR(MINIFS(Tickets[Trip Start Time],Tickets[TripKey],A211),""))</f>
        <v/>
      </c>
    </row>
    <row r="212">
      <c r="B212" s="8">
        <f>IF(A212="","",IFERROR(DATEVALUE(TEXTBEFORE(A212,"|")),--LEFT(A212,10)))</f>
        <v/>
      </c>
      <c r="C212">
        <f>IF(A212="","",TEXTBEFORE(TEXTAFTER(A212,"|"),"|"))</f>
        <v/>
      </c>
      <c r="D212">
        <f>IF(A212="","",TEXTAFTER(A212,"|",2))</f>
        <v/>
      </c>
      <c r="E212">
        <f>IF(A212="","",SUMIF(Tickets[TripKey],A212,Tickets[TP]))</f>
        <v/>
      </c>
      <c r="F212">
        <f>IF(A212="","",SUMIF(Tickets[TripKey],A212,Tickets[Revenue]))</f>
        <v/>
      </c>
      <c r="G212">
        <f>IF(A212="","",SUMIF(Tickets[TripKey],A212,Tickets[PK]))</f>
        <v/>
      </c>
      <c r="H212">
        <f>IF(A212="","",IFERROR(XLOOKUP(A212,Tickets[TripKey],Tickets[VehClean]),""))</f>
        <v/>
      </c>
      <c r="I212">
        <f>IF(A212="","",IFERROR(XLOOKUP(A212,Tickets[TripKey],Tickets[RouteLen]),0))</f>
        <v/>
      </c>
      <c r="J212">
        <f>IF(A212="","",IFERROR(XLOOKUP(A212,Tickets[TripKey],Tickets[Capacity]),0))</f>
        <v/>
      </c>
      <c r="K212">
        <f>IF(A212="","",I212*J212)</f>
        <v/>
      </c>
      <c r="L212">
        <f>IF(A212="","",IFERROR(MINIFS(Tickets[Trip Start Time],Tickets[TripKey],A212),""))</f>
        <v/>
      </c>
    </row>
    <row r="213">
      <c r="B213" s="8">
        <f>IF(A213="","",IFERROR(DATEVALUE(TEXTBEFORE(A213,"|")),--LEFT(A213,10)))</f>
        <v/>
      </c>
      <c r="C213">
        <f>IF(A213="","",TEXTBEFORE(TEXTAFTER(A213,"|"),"|"))</f>
        <v/>
      </c>
      <c r="D213">
        <f>IF(A213="","",TEXTAFTER(A213,"|",2))</f>
        <v/>
      </c>
      <c r="E213">
        <f>IF(A213="","",SUMIF(Tickets[TripKey],A213,Tickets[TP]))</f>
        <v/>
      </c>
      <c r="F213">
        <f>IF(A213="","",SUMIF(Tickets[TripKey],A213,Tickets[Revenue]))</f>
        <v/>
      </c>
      <c r="G213">
        <f>IF(A213="","",SUMIF(Tickets[TripKey],A213,Tickets[PK]))</f>
        <v/>
      </c>
      <c r="H213">
        <f>IF(A213="","",IFERROR(XLOOKUP(A213,Tickets[TripKey],Tickets[VehClean]),""))</f>
        <v/>
      </c>
      <c r="I213">
        <f>IF(A213="","",IFERROR(XLOOKUP(A213,Tickets[TripKey],Tickets[RouteLen]),0))</f>
        <v/>
      </c>
      <c r="J213">
        <f>IF(A213="","",IFERROR(XLOOKUP(A213,Tickets[TripKey],Tickets[Capacity]),0))</f>
        <v/>
      </c>
      <c r="K213">
        <f>IF(A213="","",I213*J213)</f>
        <v/>
      </c>
      <c r="L213">
        <f>IF(A213="","",IFERROR(MINIFS(Tickets[Trip Start Time],Tickets[TripKey],A213),""))</f>
        <v/>
      </c>
    </row>
    <row r="214">
      <c r="B214" s="8">
        <f>IF(A214="","",IFERROR(DATEVALUE(TEXTBEFORE(A214,"|")),--LEFT(A214,10)))</f>
        <v/>
      </c>
      <c r="C214">
        <f>IF(A214="","",TEXTBEFORE(TEXTAFTER(A214,"|"),"|"))</f>
        <v/>
      </c>
      <c r="D214">
        <f>IF(A214="","",TEXTAFTER(A214,"|",2))</f>
        <v/>
      </c>
      <c r="E214">
        <f>IF(A214="","",SUMIF(Tickets[TripKey],A214,Tickets[TP]))</f>
        <v/>
      </c>
      <c r="F214">
        <f>IF(A214="","",SUMIF(Tickets[TripKey],A214,Tickets[Revenue]))</f>
        <v/>
      </c>
      <c r="G214">
        <f>IF(A214="","",SUMIF(Tickets[TripKey],A214,Tickets[PK]))</f>
        <v/>
      </c>
      <c r="H214">
        <f>IF(A214="","",IFERROR(XLOOKUP(A214,Tickets[TripKey],Tickets[VehClean]),""))</f>
        <v/>
      </c>
      <c r="I214">
        <f>IF(A214="","",IFERROR(XLOOKUP(A214,Tickets[TripKey],Tickets[RouteLen]),0))</f>
        <v/>
      </c>
      <c r="J214">
        <f>IF(A214="","",IFERROR(XLOOKUP(A214,Tickets[TripKey],Tickets[Capacity]),0))</f>
        <v/>
      </c>
      <c r="K214">
        <f>IF(A214="","",I214*J214)</f>
        <v/>
      </c>
      <c r="L214">
        <f>IF(A214="","",IFERROR(MINIFS(Tickets[Trip Start Time],Tickets[TripKey],A214),""))</f>
        <v/>
      </c>
    </row>
    <row r="215">
      <c r="B215" s="8">
        <f>IF(A215="","",IFERROR(DATEVALUE(TEXTBEFORE(A215,"|")),--LEFT(A215,10)))</f>
        <v/>
      </c>
      <c r="C215">
        <f>IF(A215="","",TEXTBEFORE(TEXTAFTER(A215,"|"),"|"))</f>
        <v/>
      </c>
      <c r="D215">
        <f>IF(A215="","",TEXTAFTER(A215,"|",2))</f>
        <v/>
      </c>
      <c r="E215">
        <f>IF(A215="","",SUMIF(Tickets[TripKey],A215,Tickets[TP]))</f>
        <v/>
      </c>
      <c r="F215">
        <f>IF(A215="","",SUMIF(Tickets[TripKey],A215,Tickets[Revenue]))</f>
        <v/>
      </c>
      <c r="G215">
        <f>IF(A215="","",SUMIF(Tickets[TripKey],A215,Tickets[PK]))</f>
        <v/>
      </c>
      <c r="H215">
        <f>IF(A215="","",IFERROR(XLOOKUP(A215,Tickets[TripKey],Tickets[VehClean]),""))</f>
        <v/>
      </c>
      <c r="I215">
        <f>IF(A215="","",IFERROR(XLOOKUP(A215,Tickets[TripKey],Tickets[RouteLen]),0))</f>
        <v/>
      </c>
      <c r="J215">
        <f>IF(A215="","",IFERROR(XLOOKUP(A215,Tickets[TripKey],Tickets[Capacity]),0))</f>
        <v/>
      </c>
      <c r="K215">
        <f>IF(A215="","",I215*J215)</f>
        <v/>
      </c>
      <c r="L215">
        <f>IF(A215="","",IFERROR(MINIFS(Tickets[Trip Start Time],Tickets[TripKey],A215),""))</f>
        <v/>
      </c>
    </row>
    <row r="216">
      <c r="B216" s="8">
        <f>IF(A216="","",IFERROR(DATEVALUE(TEXTBEFORE(A216,"|")),--LEFT(A216,10)))</f>
        <v/>
      </c>
      <c r="C216">
        <f>IF(A216="","",TEXTBEFORE(TEXTAFTER(A216,"|"),"|"))</f>
        <v/>
      </c>
      <c r="D216">
        <f>IF(A216="","",TEXTAFTER(A216,"|",2))</f>
        <v/>
      </c>
      <c r="E216">
        <f>IF(A216="","",SUMIF(Tickets[TripKey],A216,Tickets[TP]))</f>
        <v/>
      </c>
      <c r="F216">
        <f>IF(A216="","",SUMIF(Tickets[TripKey],A216,Tickets[Revenue]))</f>
        <v/>
      </c>
      <c r="G216">
        <f>IF(A216="","",SUMIF(Tickets[TripKey],A216,Tickets[PK]))</f>
        <v/>
      </c>
      <c r="H216">
        <f>IF(A216="","",IFERROR(XLOOKUP(A216,Tickets[TripKey],Tickets[VehClean]),""))</f>
        <v/>
      </c>
      <c r="I216">
        <f>IF(A216="","",IFERROR(XLOOKUP(A216,Tickets[TripKey],Tickets[RouteLen]),0))</f>
        <v/>
      </c>
      <c r="J216">
        <f>IF(A216="","",IFERROR(XLOOKUP(A216,Tickets[TripKey],Tickets[Capacity]),0))</f>
        <v/>
      </c>
      <c r="K216">
        <f>IF(A216="","",I216*J216)</f>
        <v/>
      </c>
      <c r="L216">
        <f>IF(A216="","",IFERROR(MINIFS(Tickets[Trip Start Time],Tickets[TripKey],A216),""))</f>
        <v/>
      </c>
    </row>
    <row r="217">
      <c r="B217" s="8">
        <f>IF(A217="","",IFERROR(DATEVALUE(TEXTBEFORE(A217,"|")),--LEFT(A217,10)))</f>
        <v/>
      </c>
      <c r="C217">
        <f>IF(A217="","",TEXTBEFORE(TEXTAFTER(A217,"|"),"|"))</f>
        <v/>
      </c>
      <c r="D217">
        <f>IF(A217="","",TEXTAFTER(A217,"|",2))</f>
        <v/>
      </c>
      <c r="E217">
        <f>IF(A217="","",SUMIF(Tickets[TripKey],A217,Tickets[TP]))</f>
        <v/>
      </c>
      <c r="F217">
        <f>IF(A217="","",SUMIF(Tickets[TripKey],A217,Tickets[Revenue]))</f>
        <v/>
      </c>
      <c r="G217">
        <f>IF(A217="","",SUMIF(Tickets[TripKey],A217,Tickets[PK]))</f>
        <v/>
      </c>
      <c r="H217">
        <f>IF(A217="","",IFERROR(XLOOKUP(A217,Tickets[TripKey],Tickets[VehClean]),""))</f>
        <v/>
      </c>
      <c r="I217">
        <f>IF(A217="","",IFERROR(XLOOKUP(A217,Tickets[TripKey],Tickets[RouteLen]),0))</f>
        <v/>
      </c>
      <c r="J217">
        <f>IF(A217="","",IFERROR(XLOOKUP(A217,Tickets[TripKey],Tickets[Capacity]),0))</f>
        <v/>
      </c>
      <c r="K217">
        <f>IF(A217="","",I217*J217)</f>
        <v/>
      </c>
      <c r="L217">
        <f>IF(A217="","",IFERROR(MINIFS(Tickets[Trip Start Time],Tickets[TripKey],A217),""))</f>
        <v/>
      </c>
    </row>
    <row r="218">
      <c r="B218" s="8">
        <f>IF(A218="","",IFERROR(DATEVALUE(TEXTBEFORE(A218,"|")),--LEFT(A218,10)))</f>
        <v/>
      </c>
      <c r="C218">
        <f>IF(A218="","",TEXTBEFORE(TEXTAFTER(A218,"|"),"|"))</f>
        <v/>
      </c>
      <c r="D218">
        <f>IF(A218="","",TEXTAFTER(A218,"|",2))</f>
        <v/>
      </c>
      <c r="E218">
        <f>IF(A218="","",SUMIF(Tickets[TripKey],A218,Tickets[TP]))</f>
        <v/>
      </c>
      <c r="F218">
        <f>IF(A218="","",SUMIF(Tickets[TripKey],A218,Tickets[Revenue]))</f>
        <v/>
      </c>
      <c r="G218">
        <f>IF(A218="","",SUMIF(Tickets[TripKey],A218,Tickets[PK]))</f>
        <v/>
      </c>
      <c r="H218">
        <f>IF(A218="","",IFERROR(XLOOKUP(A218,Tickets[TripKey],Tickets[VehClean]),""))</f>
        <v/>
      </c>
      <c r="I218">
        <f>IF(A218="","",IFERROR(XLOOKUP(A218,Tickets[TripKey],Tickets[RouteLen]),0))</f>
        <v/>
      </c>
      <c r="J218">
        <f>IF(A218="","",IFERROR(XLOOKUP(A218,Tickets[TripKey],Tickets[Capacity]),0))</f>
        <v/>
      </c>
      <c r="K218">
        <f>IF(A218="","",I218*J218)</f>
        <v/>
      </c>
      <c r="L218">
        <f>IF(A218="","",IFERROR(MINIFS(Tickets[Trip Start Time],Tickets[TripKey],A218),""))</f>
        <v/>
      </c>
    </row>
    <row r="219">
      <c r="B219" s="8">
        <f>IF(A219="","",IFERROR(DATEVALUE(TEXTBEFORE(A219,"|")),--LEFT(A219,10)))</f>
        <v/>
      </c>
      <c r="C219">
        <f>IF(A219="","",TEXTBEFORE(TEXTAFTER(A219,"|"),"|"))</f>
        <v/>
      </c>
      <c r="D219">
        <f>IF(A219="","",TEXTAFTER(A219,"|",2))</f>
        <v/>
      </c>
      <c r="E219">
        <f>IF(A219="","",SUMIF(Tickets[TripKey],A219,Tickets[TP]))</f>
        <v/>
      </c>
      <c r="F219">
        <f>IF(A219="","",SUMIF(Tickets[TripKey],A219,Tickets[Revenue]))</f>
        <v/>
      </c>
      <c r="G219">
        <f>IF(A219="","",SUMIF(Tickets[TripKey],A219,Tickets[PK]))</f>
        <v/>
      </c>
      <c r="H219">
        <f>IF(A219="","",IFERROR(XLOOKUP(A219,Tickets[TripKey],Tickets[VehClean]),""))</f>
        <v/>
      </c>
      <c r="I219">
        <f>IF(A219="","",IFERROR(XLOOKUP(A219,Tickets[TripKey],Tickets[RouteLen]),0))</f>
        <v/>
      </c>
      <c r="J219">
        <f>IF(A219="","",IFERROR(XLOOKUP(A219,Tickets[TripKey],Tickets[Capacity]),0))</f>
        <v/>
      </c>
      <c r="K219">
        <f>IF(A219="","",I219*J219)</f>
        <v/>
      </c>
      <c r="L219">
        <f>IF(A219="","",IFERROR(MINIFS(Tickets[Trip Start Time],Tickets[TripKey],A219),""))</f>
        <v/>
      </c>
    </row>
    <row r="220">
      <c r="B220" s="8">
        <f>IF(A220="","",IFERROR(DATEVALUE(TEXTBEFORE(A220,"|")),--LEFT(A220,10)))</f>
        <v/>
      </c>
      <c r="C220">
        <f>IF(A220="","",TEXTBEFORE(TEXTAFTER(A220,"|"),"|"))</f>
        <v/>
      </c>
      <c r="D220">
        <f>IF(A220="","",TEXTAFTER(A220,"|",2))</f>
        <v/>
      </c>
      <c r="E220">
        <f>IF(A220="","",SUMIF(Tickets[TripKey],A220,Tickets[TP]))</f>
        <v/>
      </c>
      <c r="F220">
        <f>IF(A220="","",SUMIF(Tickets[TripKey],A220,Tickets[Revenue]))</f>
        <v/>
      </c>
      <c r="G220">
        <f>IF(A220="","",SUMIF(Tickets[TripKey],A220,Tickets[PK]))</f>
        <v/>
      </c>
      <c r="H220">
        <f>IF(A220="","",IFERROR(XLOOKUP(A220,Tickets[TripKey],Tickets[VehClean]),""))</f>
        <v/>
      </c>
      <c r="I220">
        <f>IF(A220="","",IFERROR(XLOOKUP(A220,Tickets[TripKey],Tickets[RouteLen]),0))</f>
        <v/>
      </c>
      <c r="J220">
        <f>IF(A220="","",IFERROR(XLOOKUP(A220,Tickets[TripKey],Tickets[Capacity]),0))</f>
        <v/>
      </c>
      <c r="K220">
        <f>IF(A220="","",I220*J220)</f>
        <v/>
      </c>
      <c r="L220">
        <f>IF(A220="","",IFERROR(MINIFS(Tickets[Trip Start Time],Tickets[TripKey],A220),""))</f>
        <v/>
      </c>
    </row>
    <row r="221">
      <c r="B221" s="8">
        <f>IF(A221="","",IFERROR(DATEVALUE(TEXTBEFORE(A221,"|")),--LEFT(A221,10)))</f>
        <v/>
      </c>
      <c r="C221">
        <f>IF(A221="","",TEXTBEFORE(TEXTAFTER(A221,"|"),"|"))</f>
        <v/>
      </c>
      <c r="D221">
        <f>IF(A221="","",TEXTAFTER(A221,"|",2))</f>
        <v/>
      </c>
      <c r="E221">
        <f>IF(A221="","",SUMIF(Tickets[TripKey],A221,Tickets[TP]))</f>
        <v/>
      </c>
      <c r="F221">
        <f>IF(A221="","",SUMIF(Tickets[TripKey],A221,Tickets[Revenue]))</f>
        <v/>
      </c>
      <c r="G221">
        <f>IF(A221="","",SUMIF(Tickets[TripKey],A221,Tickets[PK]))</f>
        <v/>
      </c>
      <c r="H221">
        <f>IF(A221="","",IFERROR(XLOOKUP(A221,Tickets[TripKey],Tickets[VehClean]),""))</f>
        <v/>
      </c>
      <c r="I221">
        <f>IF(A221="","",IFERROR(XLOOKUP(A221,Tickets[TripKey],Tickets[RouteLen]),0))</f>
        <v/>
      </c>
      <c r="J221">
        <f>IF(A221="","",IFERROR(XLOOKUP(A221,Tickets[TripKey],Tickets[Capacity]),0))</f>
        <v/>
      </c>
      <c r="K221">
        <f>IF(A221="","",I221*J221)</f>
        <v/>
      </c>
      <c r="L221">
        <f>IF(A221="","",IFERROR(MINIFS(Tickets[Trip Start Time],Tickets[TripKey],A221),""))</f>
        <v/>
      </c>
    </row>
    <row r="222">
      <c r="B222" s="8">
        <f>IF(A222="","",IFERROR(DATEVALUE(TEXTBEFORE(A222,"|")),--LEFT(A222,10)))</f>
        <v/>
      </c>
      <c r="C222">
        <f>IF(A222="","",TEXTBEFORE(TEXTAFTER(A222,"|"),"|"))</f>
        <v/>
      </c>
      <c r="D222">
        <f>IF(A222="","",TEXTAFTER(A222,"|",2))</f>
        <v/>
      </c>
      <c r="E222">
        <f>IF(A222="","",SUMIF(Tickets[TripKey],A222,Tickets[TP]))</f>
        <v/>
      </c>
      <c r="F222">
        <f>IF(A222="","",SUMIF(Tickets[TripKey],A222,Tickets[Revenue]))</f>
        <v/>
      </c>
      <c r="G222">
        <f>IF(A222="","",SUMIF(Tickets[TripKey],A222,Tickets[PK]))</f>
        <v/>
      </c>
      <c r="H222">
        <f>IF(A222="","",IFERROR(XLOOKUP(A222,Tickets[TripKey],Tickets[VehClean]),""))</f>
        <v/>
      </c>
      <c r="I222">
        <f>IF(A222="","",IFERROR(XLOOKUP(A222,Tickets[TripKey],Tickets[RouteLen]),0))</f>
        <v/>
      </c>
      <c r="J222">
        <f>IF(A222="","",IFERROR(XLOOKUP(A222,Tickets[TripKey],Tickets[Capacity]),0))</f>
        <v/>
      </c>
      <c r="K222">
        <f>IF(A222="","",I222*J222)</f>
        <v/>
      </c>
      <c r="L222">
        <f>IF(A222="","",IFERROR(MINIFS(Tickets[Trip Start Time],Tickets[TripKey],A222),""))</f>
        <v/>
      </c>
    </row>
    <row r="223">
      <c r="B223" s="8">
        <f>IF(A223="","",IFERROR(DATEVALUE(TEXTBEFORE(A223,"|")),--LEFT(A223,10)))</f>
        <v/>
      </c>
      <c r="C223">
        <f>IF(A223="","",TEXTBEFORE(TEXTAFTER(A223,"|"),"|"))</f>
        <v/>
      </c>
      <c r="D223">
        <f>IF(A223="","",TEXTAFTER(A223,"|",2))</f>
        <v/>
      </c>
      <c r="E223">
        <f>IF(A223="","",SUMIF(Tickets[TripKey],A223,Tickets[TP]))</f>
        <v/>
      </c>
      <c r="F223">
        <f>IF(A223="","",SUMIF(Tickets[TripKey],A223,Tickets[Revenue]))</f>
        <v/>
      </c>
      <c r="G223">
        <f>IF(A223="","",SUMIF(Tickets[TripKey],A223,Tickets[PK]))</f>
        <v/>
      </c>
      <c r="H223">
        <f>IF(A223="","",IFERROR(XLOOKUP(A223,Tickets[TripKey],Tickets[VehClean]),""))</f>
        <v/>
      </c>
      <c r="I223">
        <f>IF(A223="","",IFERROR(XLOOKUP(A223,Tickets[TripKey],Tickets[RouteLen]),0))</f>
        <v/>
      </c>
      <c r="J223">
        <f>IF(A223="","",IFERROR(XLOOKUP(A223,Tickets[TripKey],Tickets[Capacity]),0))</f>
        <v/>
      </c>
      <c r="K223">
        <f>IF(A223="","",I223*J223)</f>
        <v/>
      </c>
      <c r="L223">
        <f>IF(A223="","",IFERROR(MINIFS(Tickets[Trip Start Time],Tickets[TripKey],A223),""))</f>
        <v/>
      </c>
    </row>
    <row r="224">
      <c r="B224" s="8">
        <f>IF(A224="","",IFERROR(DATEVALUE(TEXTBEFORE(A224,"|")),--LEFT(A224,10)))</f>
        <v/>
      </c>
      <c r="C224">
        <f>IF(A224="","",TEXTBEFORE(TEXTAFTER(A224,"|"),"|"))</f>
        <v/>
      </c>
      <c r="D224">
        <f>IF(A224="","",TEXTAFTER(A224,"|",2))</f>
        <v/>
      </c>
      <c r="E224">
        <f>IF(A224="","",SUMIF(Tickets[TripKey],A224,Tickets[TP]))</f>
        <v/>
      </c>
      <c r="F224">
        <f>IF(A224="","",SUMIF(Tickets[TripKey],A224,Tickets[Revenue]))</f>
        <v/>
      </c>
      <c r="G224">
        <f>IF(A224="","",SUMIF(Tickets[TripKey],A224,Tickets[PK]))</f>
        <v/>
      </c>
      <c r="H224">
        <f>IF(A224="","",IFERROR(XLOOKUP(A224,Tickets[TripKey],Tickets[VehClean]),""))</f>
        <v/>
      </c>
      <c r="I224">
        <f>IF(A224="","",IFERROR(XLOOKUP(A224,Tickets[TripKey],Tickets[RouteLen]),0))</f>
        <v/>
      </c>
      <c r="J224">
        <f>IF(A224="","",IFERROR(XLOOKUP(A224,Tickets[TripKey],Tickets[Capacity]),0))</f>
        <v/>
      </c>
      <c r="K224">
        <f>IF(A224="","",I224*J224)</f>
        <v/>
      </c>
      <c r="L224">
        <f>IF(A224="","",IFERROR(MINIFS(Tickets[Trip Start Time],Tickets[TripKey],A224),""))</f>
        <v/>
      </c>
    </row>
    <row r="225">
      <c r="B225" s="8">
        <f>IF(A225="","",IFERROR(DATEVALUE(TEXTBEFORE(A225,"|")),--LEFT(A225,10)))</f>
        <v/>
      </c>
      <c r="C225">
        <f>IF(A225="","",TEXTBEFORE(TEXTAFTER(A225,"|"),"|"))</f>
        <v/>
      </c>
      <c r="D225">
        <f>IF(A225="","",TEXTAFTER(A225,"|",2))</f>
        <v/>
      </c>
      <c r="E225">
        <f>IF(A225="","",SUMIF(Tickets[TripKey],A225,Tickets[TP]))</f>
        <v/>
      </c>
      <c r="F225">
        <f>IF(A225="","",SUMIF(Tickets[TripKey],A225,Tickets[Revenue]))</f>
        <v/>
      </c>
      <c r="G225">
        <f>IF(A225="","",SUMIF(Tickets[TripKey],A225,Tickets[PK]))</f>
        <v/>
      </c>
      <c r="H225">
        <f>IF(A225="","",IFERROR(XLOOKUP(A225,Tickets[TripKey],Tickets[VehClean]),""))</f>
        <v/>
      </c>
      <c r="I225">
        <f>IF(A225="","",IFERROR(XLOOKUP(A225,Tickets[TripKey],Tickets[RouteLen]),0))</f>
        <v/>
      </c>
      <c r="J225">
        <f>IF(A225="","",IFERROR(XLOOKUP(A225,Tickets[TripKey],Tickets[Capacity]),0))</f>
        <v/>
      </c>
      <c r="K225">
        <f>IF(A225="","",I225*J225)</f>
        <v/>
      </c>
      <c r="L225">
        <f>IF(A225="","",IFERROR(MINIFS(Tickets[Trip Start Time],Tickets[TripKey],A225),""))</f>
        <v/>
      </c>
    </row>
    <row r="226">
      <c r="B226" s="8">
        <f>IF(A226="","",IFERROR(DATEVALUE(TEXTBEFORE(A226,"|")),--LEFT(A226,10)))</f>
        <v/>
      </c>
      <c r="C226">
        <f>IF(A226="","",TEXTBEFORE(TEXTAFTER(A226,"|"),"|"))</f>
        <v/>
      </c>
      <c r="D226">
        <f>IF(A226="","",TEXTAFTER(A226,"|",2))</f>
        <v/>
      </c>
      <c r="E226">
        <f>IF(A226="","",SUMIF(Tickets[TripKey],A226,Tickets[TP]))</f>
        <v/>
      </c>
      <c r="F226">
        <f>IF(A226="","",SUMIF(Tickets[TripKey],A226,Tickets[Revenue]))</f>
        <v/>
      </c>
      <c r="G226">
        <f>IF(A226="","",SUMIF(Tickets[TripKey],A226,Tickets[PK]))</f>
        <v/>
      </c>
      <c r="H226">
        <f>IF(A226="","",IFERROR(XLOOKUP(A226,Tickets[TripKey],Tickets[VehClean]),""))</f>
        <v/>
      </c>
      <c r="I226">
        <f>IF(A226="","",IFERROR(XLOOKUP(A226,Tickets[TripKey],Tickets[RouteLen]),0))</f>
        <v/>
      </c>
      <c r="J226">
        <f>IF(A226="","",IFERROR(XLOOKUP(A226,Tickets[TripKey],Tickets[Capacity]),0))</f>
        <v/>
      </c>
      <c r="K226">
        <f>IF(A226="","",I226*J226)</f>
        <v/>
      </c>
      <c r="L226">
        <f>IF(A226="","",IFERROR(MINIFS(Tickets[Trip Start Time],Tickets[TripKey],A226),""))</f>
        <v/>
      </c>
    </row>
    <row r="227">
      <c r="B227" s="8">
        <f>IF(A227="","",IFERROR(DATEVALUE(TEXTBEFORE(A227,"|")),--LEFT(A227,10)))</f>
        <v/>
      </c>
      <c r="C227">
        <f>IF(A227="","",TEXTBEFORE(TEXTAFTER(A227,"|"),"|"))</f>
        <v/>
      </c>
      <c r="D227">
        <f>IF(A227="","",TEXTAFTER(A227,"|",2))</f>
        <v/>
      </c>
      <c r="E227">
        <f>IF(A227="","",SUMIF(Tickets[TripKey],A227,Tickets[TP]))</f>
        <v/>
      </c>
      <c r="F227">
        <f>IF(A227="","",SUMIF(Tickets[TripKey],A227,Tickets[Revenue]))</f>
        <v/>
      </c>
      <c r="G227">
        <f>IF(A227="","",SUMIF(Tickets[TripKey],A227,Tickets[PK]))</f>
        <v/>
      </c>
      <c r="H227">
        <f>IF(A227="","",IFERROR(XLOOKUP(A227,Tickets[TripKey],Tickets[VehClean]),""))</f>
        <v/>
      </c>
      <c r="I227">
        <f>IF(A227="","",IFERROR(XLOOKUP(A227,Tickets[TripKey],Tickets[RouteLen]),0))</f>
        <v/>
      </c>
      <c r="J227">
        <f>IF(A227="","",IFERROR(XLOOKUP(A227,Tickets[TripKey],Tickets[Capacity]),0))</f>
        <v/>
      </c>
      <c r="K227">
        <f>IF(A227="","",I227*J227)</f>
        <v/>
      </c>
      <c r="L227">
        <f>IF(A227="","",IFERROR(MINIFS(Tickets[Trip Start Time],Tickets[TripKey],A227),""))</f>
        <v/>
      </c>
    </row>
    <row r="228">
      <c r="B228" s="8">
        <f>IF(A228="","",IFERROR(DATEVALUE(TEXTBEFORE(A228,"|")),--LEFT(A228,10)))</f>
        <v/>
      </c>
      <c r="C228">
        <f>IF(A228="","",TEXTBEFORE(TEXTAFTER(A228,"|"),"|"))</f>
        <v/>
      </c>
      <c r="D228">
        <f>IF(A228="","",TEXTAFTER(A228,"|",2))</f>
        <v/>
      </c>
      <c r="E228">
        <f>IF(A228="","",SUMIF(Tickets[TripKey],A228,Tickets[TP]))</f>
        <v/>
      </c>
      <c r="F228">
        <f>IF(A228="","",SUMIF(Tickets[TripKey],A228,Tickets[Revenue]))</f>
        <v/>
      </c>
      <c r="G228">
        <f>IF(A228="","",SUMIF(Tickets[TripKey],A228,Tickets[PK]))</f>
        <v/>
      </c>
      <c r="H228">
        <f>IF(A228="","",IFERROR(XLOOKUP(A228,Tickets[TripKey],Tickets[VehClean]),""))</f>
        <v/>
      </c>
      <c r="I228">
        <f>IF(A228="","",IFERROR(XLOOKUP(A228,Tickets[TripKey],Tickets[RouteLen]),0))</f>
        <v/>
      </c>
      <c r="J228">
        <f>IF(A228="","",IFERROR(XLOOKUP(A228,Tickets[TripKey],Tickets[Capacity]),0))</f>
        <v/>
      </c>
      <c r="K228">
        <f>IF(A228="","",I228*J228)</f>
        <v/>
      </c>
      <c r="L228">
        <f>IF(A228="","",IFERROR(MINIFS(Tickets[Trip Start Time],Tickets[TripKey],A228),""))</f>
        <v/>
      </c>
    </row>
    <row r="229">
      <c r="B229" s="8">
        <f>IF(A229="","",IFERROR(DATEVALUE(TEXTBEFORE(A229,"|")),--LEFT(A229,10)))</f>
        <v/>
      </c>
      <c r="C229">
        <f>IF(A229="","",TEXTBEFORE(TEXTAFTER(A229,"|"),"|"))</f>
        <v/>
      </c>
      <c r="D229">
        <f>IF(A229="","",TEXTAFTER(A229,"|",2))</f>
        <v/>
      </c>
      <c r="E229">
        <f>IF(A229="","",SUMIF(Tickets[TripKey],A229,Tickets[TP]))</f>
        <v/>
      </c>
      <c r="F229">
        <f>IF(A229="","",SUMIF(Tickets[TripKey],A229,Tickets[Revenue]))</f>
        <v/>
      </c>
      <c r="G229">
        <f>IF(A229="","",SUMIF(Tickets[TripKey],A229,Tickets[PK]))</f>
        <v/>
      </c>
      <c r="H229">
        <f>IF(A229="","",IFERROR(XLOOKUP(A229,Tickets[TripKey],Tickets[VehClean]),""))</f>
        <v/>
      </c>
      <c r="I229">
        <f>IF(A229="","",IFERROR(XLOOKUP(A229,Tickets[TripKey],Tickets[RouteLen]),0))</f>
        <v/>
      </c>
      <c r="J229">
        <f>IF(A229="","",IFERROR(XLOOKUP(A229,Tickets[TripKey],Tickets[Capacity]),0))</f>
        <v/>
      </c>
      <c r="K229">
        <f>IF(A229="","",I229*J229)</f>
        <v/>
      </c>
      <c r="L229">
        <f>IF(A229="","",IFERROR(MINIFS(Tickets[Trip Start Time],Tickets[TripKey],A229),""))</f>
        <v/>
      </c>
    </row>
    <row r="230">
      <c r="B230" s="8">
        <f>IF(A230="","",IFERROR(DATEVALUE(TEXTBEFORE(A230,"|")),--LEFT(A230,10)))</f>
        <v/>
      </c>
      <c r="C230">
        <f>IF(A230="","",TEXTBEFORE(TEXTAFTER(A230,"|"),"|"))</f>
        <v/>
      </c>
      <c r="D230">
        <f>IF(A230="","",TEXTAFTER(A230,"|",2))</f>
        <v/>
      </c>
      <c r="E230">
        <f>IF(A230="","",SUMIF(Tickets[TripKey],A230,Tickets[TP]))</f>
        <v/>
      </c>
      <c r="F230">
        <f>IF(A230="","",SUMIF(Tickets[TripKey],A230,Tickets[Revenue]))</f>
        <v/>
      </c>
      <c r="G230">
        <f>IF(A230="","",SUMIF(Tickets[TripKey],A230,Tickets[PK]))</f>
        <v/>
      </c>
      <c r="H230">
        <f>IF(A230="","",IFERROR(XLOOKUP(A230,Tickets[TripKey],Tickets[VehClean]),""))</f>
        <v/>
      </c>
      <c r="I230">
        <f>IF(A230="","",IFERROR(XLOOKUP(A230,Tickets[TripKey],Tickets[RouteLen]),0))</f>
        <v/>
      </c>
      <c r="J230">
        <f>IF(A230="","",IFERROR(XLOOKUP(A230,Tickets[TripKey],Tickets[Capacity]),0))</f>
        <v/>
      </c>
      <c r="K230">
        <f>IF(A230="","",I230*J230)</f>
        <v/>
      </c>
      <c r="L230">
        <f>IF(A230="","",IFERROR(MINIFS(Tickets[Trip Start Time],Tickets[TripKey],A230),""))</f>
        <v/>
      </c>
    </row>
    <row r="231">
      <c r="B231" s="8">
        <f>IF(A231="","",IFERROR(DATEVALUE(TEXTBEFORE(A231,"|")),--LEFT(A231,10)))</f>
        <v/>
      </c>
      <c r="C231">
        <f>IF(A231="","",TEXTBEFORE(TEXTAFTER(A231,"|"),"|"))</f>
        <v/>
      </c>
      <c r="D231">
        <f>IF(A231="","",TEXTAFTER(A231,"|",2))</f>
        <v/>
      </c>
      <c r="E231">
        <f>IF(A231="","",SUMIF(Tickets[TripKey],A231,Tickets[TP]))</f>
        <v/>
      </c>
      <c r="F231">
        <f>IF(A231="","",SUMIF(Tickets[TripKey],A231,Tickets[Revenue]))</f>
        <v/>
      </c>
      <c r="G231">
        <f>IF(A231="","",SUMIF(Tickets[TripKey],A231,Tickets[PK]))</f>
        <v/>
      </c>
      <c r="H231">
        <f>IF(A231="","",IFERROR(XLOOKUP(A231,Tickets[TripKey],Tickets[VehClean]),""))</f>
        <v/>
      </c>
      <c r="I231">
        <f>IF(A231="","",IFERROR(XLOOKUP(A231,Tickets[TripKey],Tickets[RouteLen]),0))</f>
        <v/>
      </c>
      <c r="J231">
        <f>IF(A231="","",IFERROR(XLOOKUP(A231,Tickets[TripKey],Tickets[Capacity]),0))</f>
        <v/>
      </c>
      <c r="K231">
        <f>IF(A231="","",I231*J231)</f>
        <v/>
      </c>
      <c r="L231">
        <f>IF(A231="","",IFERROR(MINIFS(Tickets[Trip Start Time],Tickets[TripKey],A231),""))</f>
        <v/>
      </c>
    </row>
    <row r="232">
      <c r="B232" s="8">
        <f>IF(A232="","",IFERROR(DATEVALUE(TEXTBEFORE(A232,"|")),--LEFT(A232,10)))</f>
        <v/>
      </c>
      <c r="C232">
        <f>IF(A232="","",TEXTBEFORE(TEXTAFTER(A232,"|"),"|"))</f>
        <v/>
      </c>
      <c r="D232">
        <f>IF(A232="","",TEXTAFTER(A232,"|",2))</f>
        <v/>
      </c>
      <c r="E232">
        <f>IF(A232="","",SUMIF(Tickets[TripKey],A232,Tickets[TP]))</f>
        <v/>
      </c>
      <c r="F232">
        <f>IF(A232="","",SUMIF(Tickets[TripKey],A232,Tickets[Revenue]))</f>
        <v/>
      </c>
      <c r="G232">
        <f>IF(A232="","",SUMIF(Tickets[TripKey],A232,Tickets[PK]))</f>
        <v/>
      </c>
      <c r="H232">
        <f>IF(A232="","",IFERROR(XLOOKUP(A232,Tickets[TripKey],Tickets[VehClean]),""))</f>
        <v/>
      </c>
      <c r="I232">
        <f>IF(A232="","",IFERROR(XLOOKUP(A232,Tickets[TripKey],Tickets[RouteLen]),0))</f>
        <v/>
      </c>
      <c r="J232">
        <f>IF(A232="","",IFERROR(XLOOKUP(A232,Tickets[TripKey],Tickets[Capacity]),0))</f>
        <v/>
      </c>
      <c r="K232">
        <f>IF(A232="","",I232*J232)</f>
        <v/>
      </c>
      <c r="L232">
        <f>IF(A232="","",IFERROR(MINIFS(Tickets[Trip Start Time],Tickets[TripKey],A232),""))</f>
        <v/>
      </c>
    </row>
    <row r="233">
      <c r="B233" s="8">
        <f>IF(A233="","",IFERROR(DATEVALUE(TEXTBEFORE(A233,"|")),--LEFT(A233,10)))</f>
        <v/>
      </c>
      <c r="C233">
        <f>IF(A233="","",TEXTBEFORE(TEXTAFTER(A233,"|"),"|"))</f>
        <v/>
      </c>
      <c r="D233">
        <f>IF(A233="","",TEXTAFTER(A233,"|",2))</f>
        <v/>
      </c>
      <c r="E233">
        <f>IF(A233="","",SUMIF(Tickets[TripKey],A233,Tickets[TP]))</f>
        <v/>
      </c>
      <c r="F233">
        <f>IF(A233="","",SUMIF(Tickets[TripKey],A233,Tickets[Revenue]))</f>
        <v/>
      </c>
      <c r="G233">
        <f>IF(A233="","",SUMIF(Tickets[TripKey],A233,Tickets[PK]))</f>
        <v/>
      </c>
      <c r="H233">
        <f>IF(A233="","",IFERROR(XLOOKUP(A233,Tickets[TripKey],Tickets[VehClean]),""))</f>
        <v/>
      </c>
      <c r="I233">
        <f>IF(A233="","",IFERROR(XLOOKUP(A233,Tickets[TripKey],Tickets[RouteLen]),0))</f>
        <v/>
      </c>
      <c r="J233">
        <f>IF(A233="","",IFERROR(XLOOKUP(A233,Tickets[TripKey],Tickets[Capacity]),0))</f>
        <v/>
      </c>
      <c r="K233">
        <f>IF(A233="","",I233*J233)</f>
        <v/>
      </c>
      <c r="L233">
        <f>IF(A233="","",IFERROR(MINIFS(Tickets[Trip Start Time],Tickets[TripKey],A233),""))</f>
        <v/>
      </c>
    </row>
    <row r="234">
      <c r="B234" s="8">
        <f>IF(A234="","",IFERROR(DATEVALUE(TEXTBEFORE(A234,"|")),--LEFT(A234,10)))</f>
        <v/>
      </c>
      <c r="C234">
        <f>IF(A234="","",TEXTBEFORE(TEXTAFTER(A234,"|"),"|"))</f>
        <v/>
      </c>
      <c r="D234">
        <f>IF(A234="","",TEXTAFTER(A234,"|",2))</f>
        <v/>
      </c>
      <c r="E234">
        <f>IF(A234="","",SUMIF(Tickets[TripKey],A234,Tickets[TP]))</f>
        <v/>
      </c>
      <c r="F234">
        <f>IF(A234="","",SUMIF(Tickets[TripKey],A234,Tickets[Revenue]))</f>
        <v/>
      </c>
      <c r="G234">
        <f>IF(A234="","",SUMIF(Tickets[TripKey],A234,Tickets[PK]))</f>
        <v/>
      </c>
      <c r="H234">
        <f>IF(A234="","",IFERROR(XLOOKUP(A234,Tickets[TripKey],Tickets[VehClean]),""))</f>
        <v/>
      </c>
      <c r="I234">
        <f>IF(A234="","",IFERROR(XLOOKUP(A234,Tickets[TripKey],Tickets[RouteLen]),0))</f>
        <v/>
      </c>
      <c r="J234">
        <f>IF(A234="","",IFERROR(XLOOKUP(A234,Tickets[TripKey],Tickets[Capacity]),0))</f>
        <v/>
      </c>
      <c r="K234">
        <f>IF(A234="","",I234*J234)</f>
        <v/>
      </c>
      <c r="L234">
        <f>IF(A234="","",IFERROR(MINIFS(Tickets[Trip Start Time],Tickets[TripKey],A234),""))</f>
        <v/>
      </c>
    </row>
    <row r="235">
      <c r="B235" s="8">
        <f>IF(A235="","",IFERROR(DATEVALUE(TEXTBEFORE(A235,"|")),--LEFT(A235,10)))</f>
        <v/>
      </c>
      <c r="C235">
        <f>IF(A235="","",TEXTBEFORE(TEXTAFTER(A235,"|"),"|"))</f>
        <v/>
      </c>
      <c r="D235">
        <f>IF(A235="","",TEXTAFTER(A235,"|",2))</f>
        <v/>
      </c>
      <c r="E235">
        <f>IF(A235="","",SUMIF(Tickets[TripKey],A235,Tickets[TP]))</f>
        <v/>
      </c>
      <c r="F235">
        <f>IF(A235="","",SUMIF(Tickets[TripKey],A235,Tickets[Revenue]))</f>
        <v/>
      </c>
      <c r="G235">
        <f>IF(A235="","",SUMIF(Tickets[TripKey],A235,Tickets[PK]))</f>
        <v/>
      </c>
      <c r="H235">
        <f>IF(A235="","",IFERROR(XLOOKUP(A235,Tickets[TripKey],Tickets[VehClean]),""))</f>
        <v/>
      </c>
      <c r="I235">
        <f>IF(A235="","",IFERROR(XLOOKUP(A235,Tickets[TripKey],Tickets[RouteLen]),0))</f>
        <v/>
      </c>
      <c r="J235">
        <f>IF(A235="","",IFERROR(XLOOKUP(A235,Tickets[TripKey],Tickets[Capacity]),0))</f>
        <v/>
      </c>
      <c r="K235">
        <f>IF(A235="","",I235*J235)</f>
        <v/>
      </c>
      <c r="L235">
        <f>IF(A235="","",IFERROR(MINIFS(Tickets[Trip Start Time],Tickets[TripKey],A235),""))</f>
        <v/>
      </c>
    </row>
    <row r="236">
      <c r="B236" s="8">
        <f>IF(A236="","",IFERROR(DATEVALUE(TEXTBEFORE(A236,"|")),--LEFT(A236,10)))</f>
        <v/>
      </c>
      <c r="C236">
        <f>IF(A236="","",TEXTBEFORE(TEXTAFTER(A236,"|"),"|"))</f>
        <v/>
      </c>
      <c r="D236">
        <f>IF(A236="","",TEXTAFTER(A236,"|",2))</f>
        <v/>
      </c>
      <c r="E236">
        <f>IF(A236="","",SUMIF(Tickets[TripKey],A236,Tickets[TP]))</f>
        <v/>
      </c>
      <c r="F236">
        <f>IF(A236="","",SUMIF(Tickets[TripKey],A236,Tickets[Revenue]))</f>
        <v/>
      </c>
      <c r="G236">
        <f>IF(A236="","",SUMIF(Tickets[TripKey],A236,Tickets[PK]))</f>
        <v/>
      </c>
      <c r="H236">
        <f>IF(A236="","",IFERROR(XLOOKUP(A236,Tickets[TripKey],Tickets[VehClean]),""))</f>
        <v/>
      </c>
      <c r="I236">
        <f>IF(A236="","",IFERROR(XLOOKUP(A236,Tickets[TripKey],Tickets[RouteLen]),0))</f>
        <v/>
      </c>
      <c r="J236">
        <f>IF(A236="","",IFERROR(XLOOKUP(A236,Tickets[TripKey],Tickets[Capacity]),0))</f>
        <v/>
      </c>
      <c r="K236">
        <f>IF(A236="","",I236*J236)</f>
        <v/>
      </c>
      <c r="L236">
        <f>IF(A236="","",IFERROR(MINIFS(Tickets[Trip Start Time],Tickets[TripKey],A236),""))</f>
        <v/>
      </c>
    </row>
    <row r="237">
      <c r="B237" s="8">
        <f>IF(A237="","",IFERROR(DATEVALUE(TEXTBEFORE(A237,"|")),--LEFT(A237,10)))</f>
        <v/>
      </c>
      <c r="C237">
        <f>IF(A237="","",TEXTBEFORE(TEXTAFTER(A237,"|"),"|"))</f>
        <v/>
      </c>
      <c r="D237">
        <f>IF(A237="","",TEXTAFTER(A237,"|",2))</f>
        <v/>
      </c>
      <c r="E237">
        <f>IF(A237="","",SUMIF(Tickets[TripKey],A237,Tickets[TP]))</f>
        <v/>
      </c>
      <c r="F237">
        <f>IF(A237="","",SUMIF(Tickets[TripKey],A237,Tickets[Revenue]))</f>
        <v/>
      </c>
      <c r="G237">
        <f>IF(A237="","",SUMIF(Tickets[TripKey],A237,Tickets[PK]))</f>
        <v/>
      </c>
      <c r="H237">
        <f>IF(A237="","",IFERROR(XLOOKUP(A237,Tickets[TripKey],Tickets[VehClean]),""))</f>
        <v/>
      </c>
      <c r="I237">
        <f>IF(A237="","",IFERROR(XLOOKUP(A237,Tickets[TripKey],Tickets[RouteLen]),0))</f>
        <v/>
      </c>
      <c r="J237">
        <f>IF(A237="","",IFERROR(XLOOKUP(A237,Tickets[TripKey],Tickets[Capacity]),0))</f>
        <v/>
      </c>
      <c r="K237">
        <f>IF(A237="","",I237*J237)</f>
        <v/>
      </c>
      <c r="L237">
        <f>IF(A237="","",IFERROR(MINIFS(Tickets[Trip Start Time],Tickets[TripKey],A237),""))</f>
        <v/>
      </c>
    </row>
    <row r="238">
      <c r="B238" s="8">
        <f>IF(A238="","",IFERROR(DATEVALUE(TEXTBEFORE(A238,"|")),--LEFT(A238,10)))</f>
        <v/>
      </c>
      <c r="C238">
        <f>IF(A238="","",TEXTBEFORE(TEXTAFTER(A238,"|"),"|"))</f>
        <v/>
      </c>
      <c r="D238">
        <f>IF(A238="","",TEXTAFTER(A238,"|",2))</f>
        <v/>
      </c>
      <c r="E238">
        <f>IF(A238="","",SUMIF(Tickets[TripKey],A238,Tickets[TP]))</f>
        <v/>
      </c>
      <c r="F238">
        <f>IF(A238="","",SUMIF(Tickets[TripKey],A238,Tickets[Revenue]))</f>
        <v/>
      </c>
      <c r="G238">
        <f>IF(A238="","",SUMIF(Tickets[TripKey],A238,Tickets[PK]))</f>
        <v/>
      </c>
      <c r="H238">
        <f>IF(A238="","",IFERROR(XLOOKUP(A238,Tickets[TripKey],Tickets[VehClean]),""))</f>
        <v/>
      </c>
      <c r="I238">
        <f>IF(A238="","",IFERROR(XLOOKUP(A238,Tickets[TripKey],Tickets[RouteLen]),0))</f>
        <v/>
      </c>
      <c r="J238">
        <f>IF(A238="","",IFERROR(XLOOKUP(A238,Tickets[TripKey],Tickets[Capacity]),0))</f>
        <v/>
      </c>
      <c r="K238">
        <f>IF(A238="","",I238*J238)</f>
        <v/>
      </c>
      <c r="L238">
        <f>IF(A238="","",IFERROR(MINIFS(Tickets[Trip Start Time],Tickets[TripKey],A238),""))</f>
        <v/>
      </c>
    </row>
    <row r="239">
      <c r="B239" s="8">
        <f>IF(A239="","",IFERROR(DATEVALUE(TEXTBEFORE(A239,"|")),--LEFT(A239,10)))</f>
        <v/>
      </c>
      <c r="C239">
        <f>IF(A239="","",TEXTBEFORE(TEXTAFTER(A239,"|"),"|"))</f>
        <v/>
      </c>
      <c r="D239">
        <f>IF(A239="","",TEXTAFTER(A239,"|",2))</f>
        <v/>
      </c>
      <c r="E239">
        <f>IF(A239="","",SUMIF(Tickets[TripKey],A239,Tickets[TP]))</f>
        <v/>
      </c>
      <c r="F239">
        <f>IF(A239="","",SUMIF(Tickets[TripKey],A239,Tickets[Revenue]))</f>
        <v/>
      </c>
      <c r="G239">
        <f>IF(A239="","",SUMIF(Tickets[TripKey],A239,Tickets[PK]))</f>
        <v/>
      </c>
      <c r="H239">
        <f>IF(A239="","",IFERROR(XLOOKUP(A239,Tickets[TripKey],Tickets[VehClean]),""))</f>
        <v/>
      </c>
      <c r="I239">
        <f>IF(A239="","",IFERROR(XLOOKUP(A239,Tickets[TripKey],Tickets[RouteLen]),0))</f>
        <v/>
      </c>
      <c r="J239">
        <f>IF(A239="","",IFERROR(XLOOKUP(A239,Tickets[TripKey],Tickets[Capacity]),0))</f>
        <v/>
      </c>
      <c r="K239">
        <f>IF(A239="","",I239*J239)</f>
        <v/>
      </c>
      <c r="L239">
        <f>IF(A239="","",IFERROR(MINIFS(Tickets[Trip Start Time],Tickets[TripKey],A239),""))</f>
        <v/>
      </c>
    </row>
    <row r="240">
      <c r="B240" s="8">
        <f>IF(A240="","",IFERROR(DATEVALUE(TEXTBEFORE(A240,"|")),--LEFT(A240,10)))</f>
        <v/>
      </c>
      <c r="C240">
        <f>IF(A240="","",TEXTBEFORE(TEXTAFTER(A240,"|"),"|"))</f>
        <v/>
      </c>
      <c r="D240">
        <f>IF(A240="","",TEXTAFTER(A240,"|",2))</f>
        <v/>
      </c>
      <c r="E240">
        <f>IF(A240="","",SUMIF(Tickets[TripKey],A240,Tickets[TP]))</f>
        <v/>
      </c>
      <c r="F240">
        <f>IF(A240="","",SUMIF(Tickets[TripKey],A240,Tickets[Revenue]))</f>
        <v/>
      </c>
      <c r="G240">
        <f>IF(A240="","",SUMIF(Tickets[TripKey],A240,Tickets[PK]))</f>
        <v/>
      </c>
      <c r="H240">
        <f>IF(A240="","",IFERROR(XLOOKUP(A240,Tickets[TripKey],Tickets[VehClean]),""))</f>
        <v/>
      </c>
      <c r="I240">
        <f>IF(A240="","",IFERROR(XLOOKUP(A240,Tickets[TripKey],Tickets[RouteLen]),0))</f>
        <v/>
      </c>
      <c r="J240">
        <f>IF(A240="","",IFERROR(XLOOKUP(A240,Tickets[TripKey],Tickets[Capacity]),0))</f>
        <v/>
      </c>
      <c r="K240">
        <f>IF(A240="","",I240*J240)</f>
        <v/>
      </c>
      <c r="L240">
        <f>IF(A240="","",IFERROR(MINIFS(Tickets[Trip Start Time],Tickets[TripKey],A240),""))</f>
        <v/>
      </c>
    </row>
    <row r="241">
      <c r="B241" s="8">
        <f>IF(A241="","",IFERROR(DATEVALUE(TEXTBEFORE(A241,"|")),--LEFT(A241,10)))</f>
        <v/>
      </c>
      <c r="C241">
        <f>IF(A241="","",TEXTBEFORE(TEXTAFTER(A241,"|"),"|"))</f>
        <v/>
      </c>
      <c r="D241">
        <f>IF(A241="","",TEXTAFTER(A241,"|",2))</f>
        <v/>
      </c>
      <c r="E241">
        <f>IF(A241="","",SUMIF(Tickets[TripKey],A241,Tickets[TP]))</f>
        <v/>
      </c>
      <c r="F241">
        <f>IF(A241="","",SUMIF(Tickets[TripKey],A241,Tickets[Revenue]))</f>
        <v/>
      </c>
      <c r="G241">
        <f>IF(A241="","",SUMIF(Tickets[TripKey],A241,Tickets[PK]))</f>
        <v/>
      </c>
      <c r="H241">
        <f>IF(A241="","",IFERROR(XLOOKUP(A241,Tickets[TripKey],Tickets[VehClean]),""))</f>
        <v/>
      </c>
      <c r="I241">
        <f>IF(A241="","",IFERROR(XLOOKUP(A241,Tickets[TripKey],Tickets[RouteLen]),0))</f>
        <v/>
      </c>
      <c r="J241">
        <f>IF(A241="","",IFERROR(XLOOKUP(A241,Tickets[TripKey],Tickets[Capacity]),0))</f>
        <v/>
      </c>
      <c r="K241">
        <f>IF(A241="","",I241*J241)</f>
        <v/>
      </c>
      <c r="L241">
        <f>IF(A241="","",IFERROR(MINIFS(Tickets[Trip Start Time],Tickets[TripKey],A241),""))</f>
        <v/>
      </c>
    </row>
    <row r="242">
      <c r="B242" s="8">
        <f>IF(A242="","",IFERROR(DATEVALUE(TEXTBEFORE(A242,"|")),--LEFT(A242,10)))</f>
        <v/>
      </c>
      <c r="C242">
        <f>IF(A242="","",TEXTBEFORE(TEXTAFTER(A242,"|"),"|"))</f>
        <v/>
      </c>
      <c r="D242">
        <f>IF(A242="","",TEXTAFTER(A242,"|",2))</f>
        <v/>
      </c>
      <c r="E242">
        <f>IF(A242="","",SUMIF(Tickets[TripKey],A242,Tickets[TP]))</f>
        <v/>
      </c>
      <c r="F242">
        <f>IF(A242="","",SUMIF(Tickets[TripKey],A242,Tickets[Revenue]))</f>
        <v/>
      </c>
      <c r="G242">
        <f>IF(A242="","",SUMIF(Tickets[TripKey],A242,Tickets[PK]))</f>
        <v/>
      </c>
      <c r="H242">
        <f>IF(A242="","",IFERROR(XLOOKUP(A242,Tickets[TripKey],Tickets[VehClean]),""))</f>
        <v/>
      </c>
      <c r="I242">
        <f>IF(A242="","",IFERROR(XLOOKUP(A242,Tickets[TripKey],Tickets[RouteLen]),0))</f>
        <v/>
      </c>
      <c r="J242">
        <f>IF(A242="","",IFERROR(XLOOKUP(A242,Tickets[TripKey],Tickets[Capacity]),0))</f>
        <v/>
      </c>
      <c r="K242">
        <f>IF(A242="","",I242*J242)</f>
        <v/>
      </c>
      <c r="L242">
        <f>IF(A242="","",IFERROR(MINIFS(Tickets[Trip Start Time],Tickets[TripKey],A242),""))</f>
        <v/>
      </c>
    </row>
    <row r="243">
      <c r="B243" s="8">
        <f>IF(A243="","",IFERROR(DATEVALUE(TEXTBEFORE(A243,"|")),--LEFT(A243,10)))</f>
        <v/>
      </c>
      <c r="C243">
        <f>IF(A243="","",TEXTBEFORE(TEXTAFTER(A243,"|"),"|"))</f>
        <v/>
      </c>
      <c r="D243">
        <f>IF(A243="","",TEXTAFTER(A243,"|",2))</f>
        <v/>
      </c>
      <c r="E243">
        <f>IF(A243="","",SUMIF(Tickets[TripKey],A243,Tickets[TP]))</f>
        <v/>
      </c>
      <c r="F243">
        <f>IF(A243="","",SUMIF(Tickets[TripKey],A243,Tickets[Revenue]))</f>
        <v/>
      </c>
      <c r="G243">
        <f>IF(A243="","",SUMIF(Tickets[TripKey],A243,Tickets[PK]))</f>
        <v/>
      </c>
      <c r="H243">
        <f>IF(A243="","",IFERROR(XLOOKUP(A243,Tickets[TripKey],Tickets[VehClean]),""))</f>
        <v/>
      </c>
      <c r="I243">
        <f>IF(A243="","",IFERROR(XLOOKUP(A243,Tickets[TripKey],Tickets[RouteLen]),0))</f>
        <v/>
      </c>
      <c r="J243">
        <f>IF(A243="","",IFERROR(XLOOKUP(A243,Tickets[TripKey],Tickets[Capacity]),0))</f>
        <v/>
      </c>
      <c r="K243">
        <f>IF(A243="","",I243*J243)</f>
        <v/>
      </c>
      <c r="L243">
        <f>IF(A243="","",IFERROR(MINIFS(Tickets[Trip Start Time],Tickets[TripKey],A243),""))</f>
        <v/>
      </c>
    </row>
    <row r="244">
      <c r="B244" s="8">
        <f>IF(A244="","",IFERROR(DATEVALUE(TEXTBEFORE(A244,"|")),--LEFT(A244,10)))</f>
        <v/>
      </c>
      <c r="C244">
        <f>IF(A244="","",TEXTBEFORE(TEXTAFTER(A244,"|"),"|"))</f>
        <v/>
      </c>
      <c r="D244">
        <f>IF(A244="","",TEXTAFTER(A244,"|",2))</f>
        <v/>
      </c>
      <c r="E244">
        <f>IF(A244="","",SUMIF(Tickets[TripKey],A244,Tickets[TP]))</f>
        <v/>
      </c>
      <c r="F244">
        <f>IF(A244="","",SUMIF(Tickets[TripKey],A244,Tickets[Revenue]))</f>
        <v/>
      </c>
      <c r="G244">
        <f>IF(A244="","",SUMIF(Tickets[TripKey],A244,Tickets[PK]))</f>
        <v/>
      </c>
      <c r="H244">
        <f>IF(A244="","",IFERROR(XLOOKUP(A244,Tickets[TripKey],Tickets[VehClean]),""))</f>
        <v/>
      </c>
      <c r="I244">
        <f>IF(A244="","",IFERROR(XLOOKUP(A244,Tickets[TripKey],Tickets[RouteLen]),0))</f>
        <v/>
      </c>
      <c r="J244">
        <f>IF(A244="","",IFERROR(XLOOKUP(A244,Tickets[TripKey],Tickets[Capacity]),0))</f>
        <v/>
      </c>
      <c r="K244">
        <f>IF(A244="","",I244*J244)</f>
        <v/>
      </c>
      <c r="L244">
        <f>IF(A244="","",IFERROR(MINIFS(Tickets[Trip Start Time],Tickets[TripKey],A244),""))</f>
        <v/>
      </c>
    </row>
    <row r="245">
      <c r="B245" s="8">
        <f>IF(A245="","",IFERROR(DATEVALUE(TEXTBEFORE(A245,"|")),--LEFT(A245,10)))</f>
        <v/>
      </c>
      <c r="C245">
        <f>IF(A245="","",TEXTBEFORE(TEXTAFTER(A245,"|"),"|"))</f>
        <v/>
      </c>
      <c r="D245">
        <f>IF(A245="","",TEXTAFTER(A245,"|",2))</f>
        <v/>
      </c>
      <c r="E245">
        <f>IF(A245="","",SUMIF(Tickets[TripKey],A245,Tickets[TP]))</f>
        <v/>
      </c>
      <c r="F245">
        <f>IF(A245="","",SUMIF(Tickets[TripKey],A245,Tickets[Revenue]))</f>
        <v/>
      </c>
      <c r="G245">
        <f>IF(A245="","",SUMIF(Tickets[TripKey],A245,Tickets[PK]))</f>
        <v/>
      </c>
      <c r="H245">
        <f>IF(A245="","",IFERROR(XLOOKUP(A245,Tickets[TripKey],Tickets[VehClean]),""))</f>
        <v/>
      </c>
      <c r="I245">
        <f>IF(A245="","",IFERROR(XLOOKUP(A245,Tickets[TripKey],Tickets[RouteLen]),0))</f>
        <v/>
      </c>
      <c r="J245">
        <f>IF(A245="","",IFERROR(XLOOKUP(A245,Tickets[TripKey],Tickets[Capacity]),0))</f>
        <v/>
      </c>
      <c r="K245">
        <f>IF(A245="","",I245*J245)</f>
        <v/>
      </c>
      <c r="L245">
        <f>IF(A245="","",IFERROR(MINIFS(Tickets[Trip Start Time],Tickets[TripKey],A245),""))</f>
        <v/>
      </c>
    </row>
    <row r="246">
      <c r="B246" s="8">
        <f>IF(A246="","",IFERROR(DATEVALUE(TEXTBEFORE(A246,"|")),--LEFT(A246,10)))</f>
        <v/>
      </c>
      <c r="C246">
        <f>IF(A246="","",TEXTBEFORE(TEXTAFTER(A246,"|"),"|"))</f>
        <v/>
      </c>
      <c r="D246">
        <f>IF(A246="","",TEXTAFTER(A246,"|",2))</f>
        <v/>
      </c>
      <c r="E246">
        <f>IF(A246="","",SUMIF(Tickets[TripKey],A246,Tickets[TP]))</f>
        <v/>
      </c>
      <c r="F246">
        <f>IF(A246="","",SUMIF(Tickets[TripKey],A246,Tickets[Revenue]))</f>
        <v/>
      </c>
      <c r="G246">
        <f>IF(A246="","",SUMIF(Tickets[TripKey],A246,Tickets[PK]))</f>
        <v/>
      </c>
      <c r="H246">
        <f>IF(A246="","",IFERROR(XLOOKUP(A246,Tickets[TripKey],Tickets[VehClean]),""))</f>
        <v/>
      </c>
      <c r="I246">
        <f>IF(A246="","",IFERROR(XLOOKUP(A246,Tickets[TripKey],Tickets[RouteLen]),0))</f>
        <v/>
      </c>
      <c r="J246">
        <f>IF(A246="","",IFERROR(XLOOKUP(A246,Tickets[TripKey],Tickets[Capacity]),0))</f>
        <v/>
      </c>
      <c r="K246">
        <f>IF(A246="","",I246*J246)</f>
        <v/>
      </c>
      <c r="L246">
        <f>IF(A246="","",IFERROR(MINIFS(Tickets[Trip Start Time],Tickets[TripKey],A246),""))</f>
        <v/>
      </c>
    </row>
    <row r="247">
      <c r="B247" s="8">
        <f>IF(A247="","",IFERROR(DATEVALUE(TEXTBEFORE(A247,"|")),--LEFT(A247,10)))</f>
        <v/>
      </c>
      <c r="C247">
        <f>IF(A247="","",TEXTBEFORE(TEXTAFTER(A247,"|"),"|"))</f>
        <v/>
      </c>
      <c r="D247">
        <f>IF(A247="","",TEXTAFTER(A247,"|",2))</f>
        <v/>
      </c>
      <c r="E247">
        <f>IF(A247="","",SUMIF(Tickets[TripKey],A247,Tickets[TP]))</f>
        <v/>
      </c>
      <c r="F247">
        <f>IF(A247="","",SUMIF(Tickets[TripKey],A247,Tickets[Revenue]))</f>
        <v/>
      </c>
      <c r="G247">
        <f>IF(A247="","",SUMIF(Tickets[TripKey],A247,Tickets[PK]))</f>
        <v/>
      </c>
      <c r="H247">
        <f>IF(A247="","",IFERROR(XLOOKUP(A247,Tickets[TripKey],Tickets[VehClean]),""))</f>
        <v/>
      </c>
      <c r="I247">
        <f>IF(A247="","",IFERROR(XLOOKUP(A247,Tickets[TripKey],Tickets[RouteLen]),0))</f>
        <v/>
      </c>
      <c r="J247">
        <f>IF(A247="","",IFERROR(XLOOKUP(A247,Tickets[TripKey],Tickets[Capacity]),0))</f>
        <v/>
      </c>
      <c r="K247">
        <f>IF(A247="","",I247*J247)</f>
        <v/>
      </c>
      <c r="L247">
        <f>IF(A247="","",IFERROR(MINIFS(Tickets[Trip Start Time],Tickets[TripKey],A247),""))</f>
        <v/>
      </c>
    </row>
    <row r="248">
      <c r="B248" s="8">
        <f>IF(A248="","",IFERROR(DATEVALUE(TEXTBEFORE(A248,"|")),--LEFT(A248,10)))</f>
        <v/>
      </c>
      <c r="C248">
        <f>IF(A248="","",TEXTBEFORE(TEXTAFTER(A248,"|"),"|"))</f>
        <v/>
      </c>
      <c r="D248">
        <f>IF(A248="","",TEXTAFTER(A248,"|",2))</f>
        <v/>
      </c>
      <c r="E248">
        <f>IF(A248="","",SUMIF(Tickets[TripKey],A248,Tickets[TP]))</f>
        <v/>
      </c>
      <c r="F248">
        <f>IF(A248="","",SUMIF(Tickets[TripKey],A248,Tickets[Revenue]))</f>
        <v/>
      </c>
      <c r="G248">
        <f>IF(A248="","",SUMIF(Tickets[TripKey],A248,Tickets[PK]))</f>
        <v/>
      </c>
      <c r="H248">
        <f>IF(A248="","",IFERROR(XLOOKUP(A248,Tickets[TripKey],Tickets[VehClean]),""))</f>
        <v/>
      </c>
      <c r="I248">
        <f>IF(A248="","",IFERROR(XLOOKUP(A248,Tickets[TripKey],Tickets[RouteLen]),0))</f>
        <v/>
      </c>
      <c r="J248">
        <f>IF(A248="","",IFERROR(XLOOKUP(A248,Tickets[TripKey],Tickets[Capacity]),0))</f>
        <v/>
      </c>
      <c r="K248">
        <f>IF(A248="","",I248*J248)</f>
        <v/>
      </c>
      <c r="L248">
        <f>IF(A248="","",IFERROR(MINIFS(Tickets[Trip Start Time],Tickets[TripKey],A248),""))</f>
        <v/>
      </c>
    </row>
    <row r="249">
      <c r="B249" s="8">
        <f>IF(A249="","",IFERROR(DATEVALUE(TEXTBEFORE(A249,"|")),--LEFT(A249,10)))</f>
        <v/>
      </c>
      <c r="C249">
        <f>IF(A249="","",TEXTBEFORE(TEXTAFTER(A249,"|"),"|"))</f>
        <v/>
      </c>
      <c r="D249">
        <f>IF(A249="","",TEXTAFTER(A249,"|",2))</f>
        <v/>
      </c>
      <c r="E249">
        <f>IF(A249="","",SUMIF(Tickets[TripKey],A249,Tickets[TP]))</f>
        <v/>
      </c>
      <c r="F249">
        <f>IF(A249="","",SUMIF(Tickets[TripKey],A249,Tickets[Revenue]))</f>
        <v/>
      </c>
      <c r="G249">
        <f>IF(A249="","",SUMIF(Tickets[TripKey],A249,Tickets[PK]))</f>
        <v/>
      </c>
      <c r="H249">
        <f>IF(A249="","",IFERROR(XLOOKUP(A249,Tickets[TripKey],Tickets[VehClean]),""))</f>
        <v/>
      </c>
      <c r="I249">
        <f>IF(A249="","",IFERROR(XLOOKUP(A249,Tickets[TripKey],Tickets[RouteLen]),0))</f>
        <v/>
      </c>
      <c r="J249">
        <f>IF(A249="","",IFERROR(XLOOKUP(A249,Tickets[TripKey],Tickets[Capacity]),0))</f>
        <v/>
      </c>
      <c r="K249">
        <f>IF(A249="","",I249*J249)</f>
        <v/>
      </c>
      <c r="L249">
        <f>IF(A249="","",IFERROR(MINIFS(Tickets[Trip Start Time],Tickets[TripKey],A249),""))</f>
        <v/>
      </c>
    </row>
    <row r="250">
      <c r="B250" s="8">
        <f>IF(A250="","",IFERROR(DATEVALUE(TEXTBEFORE(A250,"|")),--LEFT(A250,10)))</f>
        <v/>
      </c>
      <c r="C250">
        <f>IF(A250="","",TEXTBEFORE(TEXTAFTER(A250,"|"),"|"))</f>
        <v/>
      </c>
      <c r="D250">
        <f>IF(A250="","",TEXTAFTER(A250,"|",2))</f>
        <v/>
      </c>
      <c r="E250">
        <f>IF(A250="","",SUMIF(Tickets[TripKey],A250,Tickets[TP]))</f>
        <v/>
      </c>
      <c r="F250">
        <f>IF(A250="","",SUMIF(Tickets[TripKey],A250,Tickets[Revenue]))</f>
        <v/>
      </c>
      <c r="G250">
        <f>IF(A250="","",SUMIF(Tickets[TripKey],A250,Tickets[PK]))</f>
        <v/>
      </c>
      <c r="H250">
        <f>IF(A250="","",IFERROR(XLOOKUP(A250,Tickets[TripKey],Tickets[VehClean]),""))</f>
        <v/>
      </c>
      <c r="I250">
        <f>IF(A250="","",IFERROR(XLOOKUP(A250,Tickets[TripKey],Tickets[RouteLen]),0))</f>
        <v/>
      </c>
      <c r="J250">
        <f>IF(A250="","",IFERROR(XLOOKUP(A250,Tickets[TripKey],Tickets[Capacity]),0))</f>
        <v/>
      </c>
      <c r="K250">
        <f>IF(A250="","",I250*J250)</f>
        <v/>
      </c>
      <c r="L250">
        <f>IF(A250="","",IFERROR(MINIFS(Tickets[Trip Start Time],Tickets[TripKey],A250),""))</f>
        <v/>
      </c>
    </row>
    <row r="251">
      <c r="B251" s="8">
        <f>IF(A251="","",IFERROR(DATEVALUE(TEXTBEFORE(A251,"|")),--LEFT(A251,10)))</f>
        <v/>
      </c>
      <c r="C251">
        <f>IF(A251="","",TEXTBEFORE(TEXTAFTER(A251,"|"),"|"))</f>
        <v/>
      </c>
      <c r="D251">
        <f>IF(A251="","",TEXTAFTER(A251,"|",2))</f>
        <v/>
      </c>
      <c r="E251">
        <f>IF(A251="","",SUMIF(Tickets[TripKey],A251,Tickets[TP]))</f>
        <v/>
      </c>
      <c r="F251">
        <f>IF(A251="","",SUMIF(Tickets[TripKey],A251,Tickets[Revenue]))</f>
        <v/>
      </c>
      <c r="G251">
        <f>IF(A251="","",SUMIF(Tickets[TripKey],A251,Tickets[PK]))</f>
        <v/>
      </c>
      <c r="H251">
        <f>IF(A251="","",IFERROR(XLOOKUP(A251,Tickets[TripKey],Tickets[VehClean]),""))</f>
        <v/>
      </c>
      <c r="I251">
        <f>IF(A251="","",IFERROR(XLOOKUP(A251,Tickets[TripKey],Tickets[RouteLen]),0))</f>
        <v/>
      </c>
      <c r="J251">
        <f>IF(A251="","",IFERROR(XLOOKUP(A251,Tickets[TripKey],Tickets[Capacity]),0))</f>
        <v/>
      </c>
      <c r="K251">
        <f>IF(A251="","",I251*J251)</f>
        <v/>
      </c>
      <c r="L251">
        <f>IF(A251="","",IFERROR(MINIFS(Tickets[Trip Start Time],Tickets[TripKey],A251),""))</f>
        <v/>
      </c>
    </row>
    <row r="252">
      <c r="B252" s="8">
        <f>IF(A252="","",IFERROR(DATEVALUE(TEXTBEFORE(A252,"|")),--LEFT(A252,10)))</f>
        <v/>
      </c>
      <c r="C252">
        <f>IF(A252="","",TEXTBEFORE(TEXTAFTER(A252,"|"),"|"))</f>
        <v/>
      </c>
      <c r="D252">
        <f>IF(A252="","",TEXTAFTER(A252,"|",2))</f>
        <v/>
      </c>
      <c r="E252">
        <f>IF(A252="","",SUMIF(Tickets[TripKey],A252,Tickets[TP]))</f>
        <v/>
      </c>
      <c r="F252">
        <f>IF(A252="","",SUMIF(Tickets[TripKey],A252,Tickets[Revenue]))</f>
        <v/>
      </c>
      <c r="G252">
        <f>IF(A252="","",SUMIF(Tickets[TripKey],A252,Tickets[PK]))</f>
        <v/>
      </c>
      <c r="H252">
        <f>IF(A252="","",IFERROR(XLOOKUP(A252,Tickets[TripKey],Tickets[VehClean]),""))</f>
        <v/>
      </c>
      <c r="I252">
        <f>IF(A252="","",IFERROR(XLOOKUP(A252,Tickets[TripKey],Tickets[RouteLen]),0))</f>
        <v/>
      </c>
      <c r="J252">
        <f>IF(A252="","",IFERROR(XLOOKUP(A252,Tickets[TripKey],Tickets[Capacity]),0))</f>
        <v/>
      </c>
      <c r="K252">
        <f>IF(A252="","",I252*J252)</f>
        <v/>
      </c>
      <c r="L252">
        <f>IF(A252="","",IFERROR(MINIFS(Tickets[Trip Start Time],Tickets[TripKey],A252),""))</f>
        <v/>
      </c>
    </row>
    <row r="253">
      <c r="B253" s="8">
        <f>IF(A253="","",IFERROR(DATEVALUE(TEXTBEFORE(A253,"|")),--LEFT(A253,10)))</f>
        <v/>
      </c>
      <c r="C253">
        <f>IF(A253="","",TEXTBEFORE(TEXTAFTER(A253,"|"),"|"))</f>
        <v/>
      </c>
      <c r="D253">
        <f>IF(A253="","",TEXTAFTER(A253,"|",2))</f>
        <v/>
      </c>
      <c r="E253">
        <f>IF(A253="","",SUMIF(Tickets[TripKey],A253,Tickets[TP]))</f>
        <v/>
      </c>
      <c r="F253">
        <f>IF(A253="","",SUMIF(Tickets[TripKey],A253,Tickets[Revenue]))</f>
        <v/>
      </c>
      <c r="G253">
        <f>IF(A253="","",SUMIF(Tickets[TripKey],A253,Tickets[PK]))</f>
        <v/>
      </c>
      <c r="H253">
        <f>IF(A253="","",IFERROR(XLOOKUP(A253,Tickets[TripKey],Tickets[VehClean]),""))</f>
        <v/>
      </c>
      <c r="I253">
        <f>IF(A253="","",IFERROR(XLOOKUP(A253,Tickets[TripKey],Tickets[RouteLen]),0))</f>
        <v/>
      </c>
      <c r="J253">
        <f>IF(A253="","",IFERROR(XLOOKUP(A253,Tickets[TripKey],Tickets[Capacity]),0))</f>
        <v/>
      </c>
      <c r="K253">
        <f>IF(A253="","",I253*J253)</f>
        <v/>
      </c>
      <c r="L253">
        <f>IF(A253="","",IFERROR(MINIFS(Tickets[Trip Start Time],Tickets[TripKey],A253),""))</f>
        <v/>
      </c>
    </row>
    <row r="254">
      <c r="B254" s="8">
        <f>IF(A254="","",IFERROR(DATEVALUE(TEXTBEFORE(A254,"|")),--LEFT(A254,10)))</f>
        <v/>
      </c>
      <c r="C254">
        <f>IF(A254="","",TEXTBEFORE(TEXTAFTER(A254,"|"),"|"))</f>
        <v/>
      </c>
      <c r="D254">
        <f>IF(A254="","",TEXTAFTER(A254,"|",2))</f>
        <v/>
      </c>
      <c r="E254">
        <f>IF(A254="","",SUMIF(Tickets[TripKey],A254,Tickets[TP]))</f>
        <v/>
      </c>
      <c r="F254">
        <f>IF(A254="","",SUMIF(Tickets[TripKey],A254,Tickets[Revenue]))</f>
        <v/>
      </c>
      <c r="G254">
        <f>IF(A254="","",SUMIF(Tickets[TripKey],A254,Tickets[PK]))</f>
        <v/>
      </c>
      <c r="H254">
        <f>IF(A254="","",IFERROR(XLOOKUP(A254,Tickets[TripKey],Tickets[VehClean]),""))</f>
        <v/>
      </c>
      <c r="I254">
        <f>IF(A254="","",IFERROR(XLOOKUP(A254,Tickets[TripKey],Tickets[RouteLen]),0))</f>
        <v/>
      </c>
      <c r="J254">
        <f>IF(A254="","",IFERROR(XLOOKUP(A254,Tickets[TripKey],Tickets[Capacity]),0))</f>
        <v/>
      </c>
      <c r="K254">
        <f>IF(A254="","",I254*J254)</f>
        <v/>
      </c>
      <c r="L254">
        <f>IF(A254="","",IFERROR(MINIFS(Tickets[Trip Start Time],Tickets[TripKey],A254),""))</f>
        <v/>
      </c>
    </row>
    <row r="255">
      <c r="B255" s="8">
        <f>IF(A255="","",IFERROR(DATEVALUE(TEXTBEFORE(A255,"|")),--LEFT(A255,10)))</f>
        <v/>
      </c>
      <c r="C255">
        <f>IF(A255="","",TEXTBEFORE(TEXTAFTER(A255,"|"),"|"))</f>
        <v/>
      </c>
      <c r="D255">
        <f>IF(A255="","",TEXTAFTER(A255,"|",2))</f>
        <v/>
      </c>
      <c r="E255">
        <f>IF(A255="","",SUMIF(Tickets[TripKey],A255,Tickets[TP]))</f>
        <v/>
      </c>
      <c r="F255">
        <f>IF(A255="","",SUMIF(Tickets[TripKey],A255,Tickets[Revenue]))</f>
        <v/>
      </c>
      <c r="G255">
        <f>IF(A255="","",SUMIF(Tickets[TripKey],A255,Tickets[PK]))</f>
        <v/>
      </c>
      <c r="H255">
        <f>IF(A255="","",IFERROR(XLOOKUP(A255,Tickets[TripKey],Tickets[VehClean]),""))</f>
        <v/>
      </c>
      <c r="I255">
        <f>IF(A255="","",IFERROR(XLOOKUP(A255,Tickets[TripKey],Tickets[RouteLen]),0))</f>
        <v/>
      </c>
      <c r="J255">
        <f>IF(A255="","",IFERROR(XLOOKUP(A255,Tickets[TripKey],Tickets[Capacity]),0))</f>
        <v/>
      </c>
      <c r="K255">
        <f>IF(A255="","",I255*J255)</f>
        <v/>
      </c>
      <c r="L255">
        <f>IF(A255="","",IFERROR(MINIFS(Tickets[Trip Start Time],Tickets[TripKey],A255),""))</f>
        <v/>
      </c>
    </row>
    <row r="256">
      <c r="B256" s="8">
        <f>IF(A256="","",IFERROR(DATEVALUE(TEXTBEFORE(A256,"|")),--LEFT(A256,10)))</f>
        <v/>
      </c>
      <c r="C256">
        <f>IF(A256="","",TEXTBEFORE(TEXTAFTER(A256,"|"),"|"))</f>
        <v/>
      </c>
      <c r="D256">
        <f>IF(A256="","",TEXTAFTER(A256,"|",2))</f>
        <v/>
      </c>
      <c r="E256">
        <f>IF(A256="","",SUMIF(Tickets[TripKey],A256,Tickets[TP]))</f>
        <v/>
      </c>
      <c r="F256">
        <f>IF(A256="","",SUMIF(Tickets[TripKey],A256,Tickets[Revenue]))</f>
        <v/>
      </c>
      <c r="G256">
        <f>IF(A256="","",SUMIF(Tickets[TripKey],A256,Tickets[PK]))</f>
        <v/>
      </c>
      <c r="H256">
        <f>IF(A256="","",IFERROR(XLOOKUP(A256,Tickets[TripKey],Tickets[VehClean]),""))</f>
        <v/>
      </c>
      <c r="I256">
        <f>IF(A256="","",IFERROR(XLOOKUP(A256,Tickets[TripKey],Tickets[RouteLen]),0))</f>
        <v/>
      </c>
      <c r="J256">
        <f>IF(A256="","",IFERROR(XLOOKUP(A256,Tickets[TripKey],Tickets[Capacity]),0))</f>
        <v/>
      </c>
      <c r="K256">
        <f>IF(A256="","",I256*J256)</f>
        <v/>
      </c>
      <c r="L256">
        <f>IF(A256="","",IFERROR(MINIFS(Tickets[Trip Start Time],Tickets[TripKey],A256),""))</f>
        <v/>
      </c>
    </row>
    <row r="257">
      <c r="B257" s="8">
        <f>IF(A257="","",IFERROR(DATEVALUE(TEXTBEFORE(A257,"|")),--LEFT(A257,10)))</f>
        <v/>
      </c>
      <c r="C257">
        <f>IF(A257="","",TEXTBEFORE(TEXTAFTER(A257,"|"),"|"))</f>
        <v/>
      </c>
      <c r="D257">
        <f>IF(A257="","",TEXTAFTER(A257,"|",2))</f>
        <v/>
      </c>
      <c r="E257">
        <f>IF(A257="","",SUMIF(Tickets[TripKey],A257,Tickets[TP]))</f>
        <v/>
      </c>
      <c r="F257">
        <f>IF(A257="","",SUMIF(Tickets[TripKey],A257,Tickets[Revenue]))</f>
        <v/>
      </c>
      <c r="G257">
        <f>IF(A257="","",SUMIF(Tickets[TripKey],A257,Tickets[PK]))</f>
        <v/>
      </c>
      <c r="H257">
        <f>IF(A257="","",IFERROR(XLOOKUP(A257,Tickets[TripKey],Tickets[VehClean]),""))</f>
        <v/>
      </c>
      <c r="I257">
        <f>IF(A257="","",IFERROR(XLOOKUP(A257,Tickets[TripKey],Tickets[RouteLen]),0))</f>
        <v/>
      </c>
      <c r="J257">
        <f>IF(A257="","",IFERROR(XLOOKUP(A257,Tickets[TripKey],Tickets[Capacity]),0))</f>
        <v/>
      </c>
      <c r="K257">
        <f>IF(A257="","",I257*J257)</f>
        <v/>
      </c>
      <c r="L257">
        <f>IF(A257="","",IFERROR(MINIFS(Tickets[Trip Start Time],Tickets[TripKey],A257),""))</f>
        <v/>
      </c>
    </row>
    <row r="258">
      <c r="B258" s="8">
        <f>IF(A258="","",IFERROR(DATEVALUE(TEXTBEFORE(A258,"|")),--LEFT(A258,10)))</f>
        <v/>
      </c>
      <c r="C258">
        <f>IF(A258="","",TEXTBEFORE(TEXTAFTER(A258,"|"),"|"))</f>
        <v/>
      </c>
      <c r="D258">
        <f>IF(A258="","",TEXTAFTER(A258,"|",2))</f>
        <v/>
      </c>
      <c r="E258">
        <f>IF(A258="","",SUMIF(Tickets[TripKey],A258,Tickets[TP]))</f>
        <v/>
      </c>
      <c r="F258">
        <f>IF(A258="","",SUMIF(Tickets[TripKey],A258,Tickets[Revenue]))</f>
        <v/>
      </c>
      <c r="G258">
        <f>IF(A258="","",SUMIF(Tickets[TripKey],A258,Tickets[PK]))</f>
        <v/>
      </c>
      <c r="H258">
        <f>IF(A258="","",IFERROR(XLOOKUP(A258,Tickets[TripKey],Tickets[VehClean]),""))</f>
        <v/>
      </c>
      <c r="I258">
        <f>IF(A258="","",IFERROR(XLOOKUP(A258,Tickets[TripKey],Tickets[RouteLen]),0))</f>
        <v/>
      </c>
      <c r="J258">
        <f>IF(A258="","",IFERROR(XLOOKUP(A258,Tickets[TripKey],Tickets[Capacity]),0))</f>
        <v/>
      </c>
      <c r="K258">
        <f>IF(A258="","",I258*J258)</f>
        <v/>
      </c>
      <c r="L258">
        <f>IF(A258="","",IFERROR(MINIFS(Tickets[Trip Start Time],Tickets[TripKey],A258),""))</f>
        <v/>
      </c>
    </row>
    <row r="259">
      <c r="B259" s="8">
        <f>IF(A259="","",IFERROR(DATEVALUE(TEXTBEFORE(A259,"|")),--LEFT(A259,10)))</f>
        <v/>
      </c>
      <c r="C259">
        <f>IF(A259="","",TEXTBEFORE(TEXTAFTER(A259,"|"),"|"))</f>
        <v/>
      </c>
      <c r="D259">
        <f>IF(A259="","",TEXTAFTER(A259,"|",2))</f>
        <v/>
      </c>
      <c r="E259">
        <f>IF(A259="","",SUMIF(Tickets[TripKey],A259,Tickets[TP]))</f>
        <v/>
      </c>
      <c r="F259">
        <f>IF(A259="","",SUMIF(Tickets[TripKey],A259,Tickets[Revenue]))</f>
        <v/>
      </c>
      <c r="G259">
        <f>IF(A259="","",SUMIF(Tickets[TripKey],A259,Tickets[PK]))</f>
        <v/>
      </c>
      <c r="H259">
        <f>IF(A259="","",IFERROR(XLOOKUP(A259,Tickets[TripKey],Tickets[VehClean]),""))</f>
        <v/>
      </c>
      <c r="I259">
        <f>IF(A259="","",IFERROR(XLOOKUP(A259,Tickets[TripKey],Tickets[RouteLen]),0))</f>
        <v/>
      </c>
      <c r="J259">
        <f>IF(A259="","",IFERROR(XLOOKUP(A259,Tickets[TripKey],Tickets[Capacity]),0))</f>
        <v/>
      </c>
      <c r="K259">
        <f>IF(A259="","",I259*J259)</f>
        <v/>
      </c>
      <c r="L259">
        <f>IF(A259="","",IFERROR(MINIFS(Tickets[Trip Start Time],Tickets[TripKey],A259),""))</f>
        <v/>
      </c>
    </row>
    <row r="260">
      <c r="B260" s="8">
        <f>IF(A260="","",IFERROR(DATEVALUE(TEXTBEFORE(A260,"|")),--LEFT(A260,10)))</f>
        <v/>
      </c>
      <c r="C260">
        <f>IF(A260="","",TEXTBEFORE(TEXTAFTER(A260,"|"),"|"))</f>
        <v/>
      </c>
      <c r="D260">
        <f>IF(A260="","",TEXTAFTER(A260,"|",2))</f>
        <v/>
      </c>
      <c r="E260">
        <f>IF(A260="","",SUMIF(Tickets[TripKey],A260,Tickets[TP]))</f>
        <v/>
      </c>
      <c r="F260">
        <f>IF(A260="","",SUMIF(Tickets[TripKey],A260,Tickets[Revenue]))</f>
        <v/>
      </c>
      <c r="G260">
        <f>IF(A260="","",SUMIF(Tickets[TripKey],A260,Tickets[PK]))</f>
        <v/>
      </c>
      <c r="H260">
        <f>IF(A260="","",IFERROR(XLOOKUP(A260,Tickets[TripKey],Tickets[VehClean]),""))</f>
        <v/>
      </c>
      <c r="I260">
        <f>IF(A260="","",IFERROR(XLOOKUP(A260,Tickets[TripKey],Tickets[RouteLen]),0))</f>
        <v/>
      </c>
      <c r="J260">
        <f>IF(A260="","",IFERROR(XLOOKUP(A260,Tickets[TripKey],Tickets[Capacity]),0))</f>
        <v/>
      </c>
      <c r="K260">
        <f>IF(A260="","",I260*J260)</f>
        <v/>
      </c>
      <c r="L260">
        <f>IF(A260="","",IFERROR(MINIFS(Tickets[Trip Start Time],Tickets[TripKey],A260),""))</f>
        <v/>
      </c>
    </row>
    <row r="261">
      <c r="B261" s="8">
        <f>IF(A261="","",IFERROR(DATEVALUE(TEXTBEFORE(A261,"|")),--LEFT(A261,10)))</f>
        <v/>
      </c>
      <c r="C261">
        <f>IF(A261="","",TEXTBEFORE(TEXTAFTER(A261,"|"),"|"))</f>
        <v/>
      </c>
      <c r="D261">
        <f>IF(A261="","",TEXTAFTER(A261,"|",2))</f>
        <v/>
      </c>
      <c r="E261">
        <f>IF(A261="","",SUMIF(Tickets[TripKey],A261,Tickets[TP]))</f>
        <v/>
      </c>
      <c r="F261">
        <f>IF(A261="","",SUMIF(Tickets[TripKey],A261,Tickets[Revenue]))</f>
        <v/>
      </c>
      <c r="G261">
        <f>IF(A261="","",SUMIF(Tickets[TripKey],A261,Tickets[PK]))</f>
        <v/>
      </c>
      <c r="H261">
        <f>IF(A261="","",IFERROR(XLOOKUP(A261,Tickets[TripKey],Tickets[VehClean]),""))</f>
        <v/>
      </c>
      <c r="I261">
        <f>IF(A261="","",IFERROR(XLOOKUP(A261,Tickets[TripKey],Tickets[RouteLen]),0))</f>
        <v/>
      </c>
      <c r="J261">
        <f>IF(A261="","",IFERROR(XLOOKUP(A261,Tickets[TripKey],Tickets[Capacity]),0))</f>
        <v/>
      </c>
      <c r="K261">
        <f>IF(A261="","",I261*J261)</f>
        <v/>
      </c>
      <c r="L261">
        <f>IF(A261="","",IFERROR(MINIFS(Tickets[Trip Start Time],Tickets[TripKey],A261),""))</f>
        <v/>
      </c>
    </row>
    <row r="262">
      <c r="B262" s="8">
        <f>IF(A262="","",IFERROR(DATEVALUE(TEXTBEFORE(A262,"|")),--LEFT(A262,10)))</f>
        <v/>
      </c>
      <c r="C262">
        <f>IF(A262="","",TEXTBEFORE(TEXTAFTER(A262,"|"),"|"))</f>
        <v/>
      </c>
      <c r="D262">
        <f>IF(A262="","",TEXTAFTER(A262,"|",2))</f>
        <v/>
      </c>
      <c r="E262">
        <f>IF(A262="","",SUMIF(Tickets[TripKey],A262,Tickets[TP]))</f>
        <v/>
      </c>
      <c r="F262">
        <f>IF(A262="","",SUMIF(Tickets[TripKey],A262,Tickets[Revenue]))</f>
        <v/>
      </c>
      <c r="G262">
        <f>IF(A262="","",SUMIF(Tickets[TripKey],A262,Tickets[PK]))</f>
        <v/>
      </c>
      <c r="H262">
        <f>IF(A262="","",IFERROR(XLOOKUP(A262,Tickets[TripKey],Tickets[VehClean]),""))</f>
        <v/>
      </c>
      <c r="I262">
        <f>IF(A262="","",IFERROR(XLOOKUP(A262,Tickets[TripKey],Tickets[RouteLen]),0))</f>
        <v/>
      </c>
      <c r="J262">
        <f>IF(A262="","",IFERROR(XLOOKUP(A262,Tickets[TripKey],Tickets[Capacity]),0))</f>
        <v/>
      </c>
      <c r="K262">
        <f>IF(A262="","",I262*J262)</f>
        <v/>
      </c>
      <c r="L262">
        <f>IF(A262="","",IFERROR(MINIFS(Tickets[Trip Start Time],Tickets[TripKey],A262),""))</f>
        <v/>
      </c>
    </row>
    <row r="263">
      <c r="B263" s="8">
        <f>IF(A263="","",IFERROR(DATEVALUE(TEXTBEFORE(A263,"|")),--LEFT(A263,10)))</f>
        <v/>
      </c>
      <c r="C263">
        <f>IF(A263="","",TEXTBEFORE(TEXTAFTER(A263,"|"),"|"))</f>
        <v/>
      </c>
      <c r="D263">
        <f>IF(A263="","",TEXTAFTER(A263,"|",2))</f>
        <v/>
      </c>
      <c r="E263">
        <f>IF(A263="","",SUMIF(Tickets[TripKey],A263,Tickets[TP]))</f>
        <v/>
      </c>
      <c r="F263">
        <f>IF(A263="","",SUMIF(Tickets[TripKey],A263,Tickets[Revenue]))</f>
        <v/>
      </c>
      <c r="G263">
        <f>IF(A263="","",SUMIF(Tickets[TripKey],A263,Tickets[PK]))</f>
        <v/>
      </c>
      <c r="H263">
        <f>IF(A263="","",IFERROR(XLOOKUP(A263,Tickets[TripKey],Tickets[VehClean]),""))</f>
        <v/>
      </c>
      <c r="I263">
        <f>IF(A263="","",IFERROR(XLOOKUP(A263,Tickets[TripKey],Tickets[RouteLen]),0))</f>
        <v/>
      </c>
      <c r="J263">
        <f>IF(A263="","",IFERROR(XLOOKUP(A263,Tickets[TripKey],Tickets[Capacity]),0))</f>
        <v/>
      </c>
      <c r="K263">
        <f>IF(A263="","",I263*J263)</f>
        <v/>
      </c>
      <c r="L263">
        <f>IF(A263="","",IFERROR(MINIFS(Tickets[Trip Start Time],Tickets[TripKey],A263),""))</f>
        <v/>
      </c>
    </row>
    <row r="264">
      <c r="B264" s="8">
        <f>IF(A264="","",IFERROR(DATEVALUE(TEXTBEFORE(A264,"|")),--LEFT(A264,10)))</f>
        <v/>
      </c>
      <c r="C264">
        <f>IF(A264="","",TEXTBEFORE(TEXTAFTER(A264,"|"),"|"))</f>
        <v/>
      </c>
      <c r="D264">
        <f>IF(A264="","",TEXTAFTER(A264,"|",2))</f>
        <v/>
      </c>
      <c r="E264">
        <f>IF(A264="","",SUMIF(Tickets[TripKey],A264,Tickets[TP]))</f>
        <v/>
      </c>
      <c r="F264">
        <f>IF(A264="","",SUMIF(Tickets[TripKey],A264,Tickets[Revenue]))</f>
        <v/>
      </c>
      <c r="G264">
        <f>IF(A264="","",SUMIF(Tickets[TripKey],A264,Tickets[PK]))</f>
        <v/>
      </c>
      <c r="H264">
        <f>IF(A264="","",IFERROR(XLOOKUP(A264,Tickets[TripKey],Tickets[VehClean]),""))</f>
        <v/>
      </c>
      <c r="I264">
        <f>IF(A264="","",IFERROR(XLOOKUP(A264,Tickets[TripKey],Tickets[RouteLen]),0))</f>
        <v/>
      </c>
      <c r="J264">
        <f>IF(A264="","",IFERROR(XLOOKUP(A264,Tickets[TripKey],Tickets[Capacity]),0))</f>
        <v/>
      </c>
      <c r="K264">
        <f>IF(A264="","",I264*J264)</f>
        <v/>
      </c>
      <c r="L264">
        <f>IF(A264="","",IFERROR(MINIFS(Tickets[Trip Start Time],Tickets[TripKey],A264),""))</f>
        <v/>
      </c>
    </row>
    <row r="265">
      <c r="B265" s="8">
        <f>IF(A265="","",IFERROR(DATEVALUE(TEXTBEFORE(A265,"|")),--LEFT(A265,10)))</f>
        <v/>
      </c>
      <c r="C265">
        <f>IF(A265="","",TEXTBEFORE(TEXTAFTER(A265,"|"),"|"))</f>
        <v/>
      </c>
      <c r="D265">
        <f>IF(A265="","",TEXTAFTER(A265,"|",2))</f>
        <v/>
      </c>
      <c r="E265">
        <f>IF(A265="","",SUMIF(Tickets[TripKey],A265,Tickets[TP]))</f>
        <v/>
      </c>
      <c r="F265">
        <f>IF(A265="","",SUMIF(Tickets[TripKey],A265,Tickets[Revenue]))</f>
        <v/>
      </c>
      <c r="G265">
        <f>IF(A265="","",SUMIF(Tickets[TripKey],A265,Tickets[PK]))</f>
        <v/>
      </c>
      <c r="H265">
        <f>IF(A265="","",IFERROR(XLOOKUP(A265,Tickets[TripKey],Tickets[VehClean]),""))</f>
        <v/>
      </c>
      <c r="I265">
        <f>IF(A265="","",IFERROR(XLOOKUP(A265,Tickets[TripKey],Tickets[RouteLen]),0))</f>
        <v/>
      </c>
      <c r="J265">
        <f>IF(A265="","",IFERROR(XLOOKUP(A265,Tickets[TripKey],Tickets[Capacity]),0))</f>
        <v/>
      </c>
      <c r="K265">
        <f>IF(A265="","",I265*J265)</f>
        <v/>
      </c>
      <c r="L265">
        <f>IF(A265="","",IFERROR(MINIFS(Tickets[Trip Start Time],Tickets[TripKey],A265),""))</f>
        <v/>
      </c>
    </row>
    <row r="266">
      <c r="B266" s="8">
        <f>IF(A266="","",IFERROR(DATEVALUE(TEXTBEFORE(A266,"|")),--LEFT(A266,10)))</f>
        <v/>
      </c>
      <c r="C266">
        <f>IF(A266="","",TEXTBEFORE(TEXTAFTER(A266,"|"),"|"))</f>
        <v/>
      </c>
      <c r="D266">
        <f>IF(A266="","",TEXTAFTER(A266,"|",2))</f>
        <v/>
      </c>
      <c r="E266">
        <f>IF(A266="","",SUMIF(Tickets[TripKey],A266,Tickets[TP]))</f>
        <v/>
      </c>
      <c r="F266">
        <f>IF(A266="","",SUMIF(Tickets[TripKey],A266,Tickets[Revenue]))</f>
        <v/>
      </c>
      <c r="G266">
        <f>IF(A266="","",SUMIF(Tickets[TripKey],A266,Tickets[PK]))</f>
        <v/>
      </c>
      <c r="H266">
        <f>IF(A266="","",IFERROR(XLOOKUP(A266,Tickets[TripKey],Tickets[VehClean]),""))</f>
        <v/>
      </c>
      <c r="I266">
        <f>IF(A266="","",IFERROR(XLOOKUP(A266,Tickets[TripKey],Tickets[RouteLen]),0))</f>
        <v/>
      </c>
      <c r="J266">
        <f>IF(A266="","",IFERROR(XLOOKUP(A266,Tickets[TripKey],Tickets[Capacity]),0))</f>
        <v/>
      </c>
      <c r="K266">
        <f>IF(A266="","",I266*J266)</f>
        <v/>
      </c>
      <c r="L266">
        <f>IF(A266="","",IFERROR(MINIFS(Tickets[Trip Start Time],Tickets[TripKey],A266),""))</f>
        <v/>
      </c>
    </row>
    <row r="267">
      <c r="B267" s="8">
        <f>IF(A267="","",IFERROR(DATEVALUE(TEXTBEFORE(A267,"|")),--LEFT(A267,10)))</f>
        <v/>
      </c>
      <c r="C267">
        <f>IF(A267="","",TEXTBEFORE(TEXTAFTER(A267,"|"),"|"))</f>
        <v/>
      </c>
      <c r="D267">
        <f>IF(A267="","",TEXTAFTER(A267,"|",2))</f>
        <v/>
      </c>
      <c r="E267">
        <f>IF(A267="","",SUMIF(Tickets[TripKey],A267,Tickets[TP]))</f>
        <v/>
      </c>
      <c r="F267">
        <f>IF(A267="","",SUMIF(Tickets[TripKey],A267,Tickets[Revenue]))</f>
        <v/>
      </c>
      <c r="G267">
        <f>IF(A267="","",SUMIF(Tickets[TripKey],A267,Tickets[PK]))</f>
        <v/>
      </c>
      <c r="H267">
        <f>IF(A267="","",IFERROR(XLOOKUP(A267,Tickets[TripKey],Tickets[VehClean]),""))</f>
        <v/>
      </c>
      <c r="I267">
        <f>IF(A267="","",IFERROR(XLOOKUP(A267,Tickets[TripKey],Tickets[RouteLen]),0))</f>
        <v/>
      </c>
      <c r="J267">
        <f>IF(A267="","",IFERROR(XLOOKUP(A267,Tickets[TripKey],Tickets[Capacity]),0))</f>
        <v/>
      </c>
      <c r="K267">
        <f>IF(A267="","",I267*J267)</f>
        <v/>
      </c>
      <c r="L267">
        <f>IF(A267="","",IFERROR(MINIFS(Tickets[Trip Start Time],Tickets[TripKey],A267),""))</f>
        <v/>
      </c>
    </row>
    <row r="268">
      <c r="B268" s="8">
        <f>IF(A268="","",IFERROR(DATEVALUE(TEXTBEFORE(A268,"|")),--LEFT(A268,10)))</f>
        <v/>
      </c>
      <c r="C268">
        <f>IF(A268="","",TEXTBEFORE(TEXTAFTER(A268,"|"),"|"))</f>
        <v/>
      </c>
      <c r="D268">
        <f>IF(A268="","",TEXTAFTER(A268,"|",2))</f>
        <v/>
      </c>
      <c r="E268">
        <f>IF(A268="","",SUMIF(Tickets[TripKey],A268,Tickets[TP]))</f>
        <v/>
      </c>
      <c r="F268">
        <f>IF(A268="","",SUMIF(Tickets[TripKey],A268,Tickets[Revenue]))</f>
        <v/>
      </c>
      <c r="G268">
        <f>IF(A268="","",SUMIF(Tickets[TripKey],A268,Tickets[PK]))</f>
        <v/>
      </c>
      <c r="H268">
        <f>IF(A268="","",IFERROR(XLOOKUP(A268,Tickets[TripKey],Tickets[VehClean]),""))</f>
        <v/>
      </c>
      <c r="I268">
        <f>IF(A268="","",IFERROR(XLOOKUP(A268,Tickets[TripKey],Tickets[RouteLen]),0))</f>
        <v/>
      </c>
      <c r="J268">
        <f>IF(A268="","",IFERROR(XLOOKUP(A268,Tickets[TripKey],Tickets[Capacity]),0))</f>
        <v/>
      </c>
      <c r="K268">
        <f>IF(A268="","",I268*J268)</f>
        <v/>
      </c>
      <c r="L268">
        <f>IF(A268="","",IFERROR(MINIFS(Tickets[Trip Start Time],Tickets[TripKey],A268),""))</f>
        <v/>
      </c>
    </row>
    <row r="269">
      <c r="B269" s="8">
        <f>IF(A269="","",IFERROR(DATEVALUE(TEXTBEFORE(A269,"|")),--LEFT(A269,10)))</f>
        <v/>
      </c>
      <c r="C269">
        <f>IF(A269="","",TEXTBEFORE(TEXTAFTER(A269,"|"),"|"))</f>
        <v/>
      </c>
      <c r="D269">
        <f>IF(A269="","",TEXTAFTER(A269,"|",2))</f>
        <v/>
      </c>
      <c r="E269">
        <f>IF(A269="","",SUMIF(Tickets[TripKey],A269,Tickets[TP]))</f>
        <v/>
      </c>
      <c r="F269">
        <f>IF(A269="","",SUMIF(Tickets[TripKey],A269,Tickets[Revenue]))</f>
        <v/>
      </c>
      <c r="G269">
        <f>IF(A269="","",SUMIF(Tickets[TripKey],A269,Tickets[PK]))</f>
        <v/>
      </c>
      <c r="H269">
        <f>IF(A269="","",IFERROR(XLOOKUP(A269,Tickets[TripKey],Tickets[VehClean]),""))</f>
        <v/>
      </c>
      <c r="I269">
        <f>IF(A269="","",IFERROR(XLOOKUP(A269,Tickets[TripKey],Tickets[RouteLen]),0))</f>
        <v/>
      </c>
      <c r="J269">
        <f>IF(A269="","",IFERROR(XLOOKUP(A269,Tickets[TripKey],Tickets[Capacity]),0))</f>
        <v/>
      </c>
      <c r="K269">
        <f>IF(A269="","",I269*J269)</f>
        <v/>
      </c>
      <c r="L269">
        <f>IF(A269="","",IFERROR(MINIFS(Tickets[Trip Start Time],Tickets[TripKey],A269),""))</f>
        <v/>
      </c>
    </row>
    <row r="270">
      <c r="B270" s="8">
        <f>IF(A270="","",IFERROR(DATEVALUE(TEXTBEFORE(A270,"|")),--LEFT(A270,10)))</f>
        <v/>
      </c>
      <c r="C270">
        <f>IF(A270="","",TEXTBEFORE(TEXTAFTER(A270,"|"),"|"))</f>
        <v/>
      </c>
      <c r="D270">
        <f>IF(A270="","",TEXTAFTER(A270,"|",2))</f>
        <v/>
      </c>
      <c r="E270">
        <f>IF(A270="","",SUMIF(Tickets[TripKey],A270,Tickets[TP]))</f>
        <v/>
      </c>
      <c r="F270">
        <f>IF(A270="","",SUMIF(Tickets[TripKey],A270,Tickets[Revenue]))</f>
        <v/>
      </c>
      <c r="G270">
        <f>IF(A270="","",SUMIF(Tickets[TripKey],A270,Tickets[PK]))</f>
        <v/>
      </c>
      <c r="H270">
        <f>IF(A270="","",IFERROR(XLOOKUP(A270,Tickets[TripKey],Tickets[VehClean]),""))</f>
        <v/>
      </c>
      <c r="I270">
        <f>IF(A270="","",IFERROR(XLOOKUP(A270,Tickets[TripKey],Tickets[RouteLen]),0))</f>
        <v/>
      </c>
      <c r="J270">
        <f>IF(A270="","",IFERROR(XLOOKUP(A270,Tickets[TripKey],Tickets[Capacity]),0))</f>
        <v/>
      </c>
      <c r="K270">
        <f>IF(A270="","",I270*J270)</f>
        <v/>
      </c>
      <c r="L270">
        <f>IF(A270="","",IFERROR(MINIFS(Tickets[Trip Start Time],Tickets[TripKey],A270),""))</f>
        <v/>
      </c>
    </row>
    <row r="271">
      <c r="B271" s="8">
        <f>IF(A271="","",IFERROR(DATEVALUE(TEXTBEFORE(A271,"|")),--LEFT(A271,10)))</f>
        <v/>
      </c>
      <c r="C271">
        <f>IF(A271="","",TEXTBEFORE(TEXTAFTER(A271,"|"),"|"))</f>
        <v/>
      </c>
      <c r="D271">
        <f>IF(A271="","",TEXTAFTER(A271,"|",2))</f>
        <v/>
      </c>
      <c r="E271">
        <f>IF(A271="","",SUMIF(Tickets[TripKey],A271,Tickets[TP]))</f>
        <v/>
      </c>
      <c r="F271">
        <f>IF(A271="","",SUMIF(Tickets[TripKey],A271,Tickets[Revenue]))</f>
        <v/>
      </c>
      <c r="G271">
        <f>IF(A271="","",SUMIF(Tickets[TripKey],A271,Tickets[PK]))</f>
        <v/>
      </c>
      <c r="H271">
        <f>IF(A271="","",IFERROR(XLOOKUP(A271,Tickets[TripKey],Tickets[VehClean]),""))</f>
        <v/>
      </c>
      <c r="I271">
        <f>IF(A271="","",IFERROR(XLOOKUP(A271,Tickets[TripKey],Tickets[RouteLen]),0))</f>
        <v/>
      </c>
      <c r="J271">
        <f>IF(A271="","",IFERROR(XLOOKUP(A271,Tickets[TripKey],Tickets[Capacity]),0))</f>
        <v/>
      </c>
      <c r="K271">
        <f>IF(A271="","",I271*J271)</f>
        <v/>
      </c>
      <c r="L271">
        <f>IF(A271="","",IFERROR(MINIFS(Tickets[Trip Start Time],Tickets[TripKey],A271),""))</f>
        <v/>
      </c>
    </row>
    <row r="272">
      <c r="B272" s="8">
        <f>IF(A272="","",IFERROR(DATEVALUE(TEXTBEFORE(A272,"|")),--LEFT(A272,10)))</f>
        <v/>
      </c>
      <c r="C272">
        <f>IF(A272="","",TEXTBEFORE(TEXTAFTER(A272,"|"),"|"))</f>
        <v/>
      </c>
      <c r="D272">
        <f>IF(A272="","",TEXTAFTER(A272,"|",2))</f>
        <v/>
      </c>
      <c r="E272">
        <f>IF(A272="","",SUMIF(Tickets[TripKey],A272,Tickets[TP]))</f>
        <v/>
      </c>
      <c r="F272">
        <f>IF(A272="","",SUMIF(Tickets[TripKey],A272,Tickets[Revenue]))</f>
        <v/>
      </c>
      <c r="G272">
        <f>IF(A272="","",SUMIF(Tickets[TripKey],A272,Tickets[PK]))</f>
        <v/>
      </c>
      <c r="H272">
        <f>IF(A272="","",IFERROR(XLOOKUP(A272,Tickets[TripKey],Tickets[VehClean]),""))</f>
        <v/>
      </c>
      <c r="I272">
        <f>IF(A272="","",IFERROR(XLOOKUP(A272,Tickets[TripKey],Tickets[RouteLen]),0))</f>
        <v/>
      </c>
      <c r="J272">
        <f>IF(A272="","",IFERROR(XLOOKUP(A272,Tickets[TripKey],Tickets[Capacity]),0))</f>
        <v/>
      </c>
      <c r="K272">
        <f>IF(A272="","",I272*J272)</f>
        <v/>
      </c>
      <c r="L272">
        <f>IF(A272="","",IFERROR(MINIFS(Tickets[Trip Start Time],Tickets[TripKey],A272),""))</f>
        <v/>
      </c>
    </row>
    <row r="273">
      <c r="B273" s="8">
        <f>IF(A273="","",IFERROR(DATEVALUE(TEXTBEFORE(A273,"|")),--LEFT(A273,10)))</f>
        <v/>
      </c>
      <c r="C273">
        <f>IF(A273="","",TEXTBEFORE(TEXTAFTER(A273,"|"),"|"))</f>
        <v/>
      </c>
      <c r="D273">
        <f>IF(A273="","",TEXTAFTER(A273,"|",2))</f>
        <v/>
      </c>
      <c r="E273">
        <f>IF(A273="","",SUMIF(Tickets[TripKey],A273,Tickets[TP]))</f>
        <v/>
      </c>
      <c r="F273">
        <f>IF(A273="","",SUMIF(Tickets[TripKey],A273,Tickets[Revenue]))</f>
        <v/>
      </c>
      <c r="G273">
        <f>IF(A273="","",SUMIF(Tickets[TripKey],A273,Tickets[PK]))</f>
        <v/>
      </c>
      <c r="H273">
        <f>IF(A273="","",IFERROR(XLOOKUP(A273,Tickets[TripKey],Tickets[VehClean]),""))</f>
        <v/>
      </c>
      <c r="I273">
        <f>IF(A273="","",IFERROR(XLOOKUP(A273,Tickets[TripKey],Tickets[RouteLen]),0))</f>
        <v/>
      </c>
      <c r="J273">
        <f>IF(A273="","",IFERROR(XLOOKUP(A273,Tickets[TripKey],Tickets[Capacity]),0))</f>
        <v/>
      </c>
      <c r="K273">
        <f>IF(A273="","",I273*J273)</f>
        <v/>
      </c>
      <c r="L273">
        <f>IF(A273="","",IFERROR(MINIFS(Tickets[Trip Start Time],Tickets[TripKey],A273),""))</f>
        <v/>
      </c>
    </row>
    <row r="274">
      <c r="B274" s="8">
        <f>IF(A274="","",IFERROR(DATEVALUE(TEXTBEFORE(A274,"|")),--LEFT(A274,10)))</f>
        <v/>
      </c>
      <c r="C274">
        <f>IF(A274="","",TEXTBEFORE(TEXTAFTER(A274,"|"),"|"))</f>
        <v/>
      </c>
      <c r="D274">
        <f>IF(A274="","",TEXTAFTER(A274,"|",2))</f>
        <v/>
      </c>
      <c r="E274">
        <f>IF(A274="","",SUMIF(Tickets[TripKey],A274,Tickets[TP]))</f>
        <v/>
      </c>
      <c r="F274">
        <f>IF(A274="","",SUMIF(Tickets[TripKey],A274,Tickets[Revenue]))</f>
        <v/>
      </c>
      <c r="G274">
        <f>IF(A274="","",SUMIF(Tickets[TripKey],A274,Tickets[PK]))</f>
        <v/>
      </c>
      <c r="H274">
        <f>IF(A274="","",IFERROR(XLOOKUP(A274,Tickets[TripKey],Tickets[VehClean]),""))</f>
        <v/>
      </c>
      <c r="I274">
        <f>IF(A274="","",IFERROR(XLOOKUP(A274,Tickets[TripKey],Tickets[RouteLen]),0))</f>
        <v/>
      </c>
      <c r="J274">
        <f>IF(A274="","",IFERROR(XLOOKUP(A274,Tickets[TripKey],Tickets[Capacity]),0))</f>
        <v/>
      </c>
      <c r="K274">
        <f>IF(A274="","",I274*J274)</f>
        <v/>
      </c>
      <c r="L274">
        <f>IF(A274="","",IFERROR(MINIFS(Tickets[Trip Start Time],Tickets[TripKey],A274),""))</f>
        <v/>
      </c>
    </row>
    <row r="275">
      <c r="B275" s="8">
        <f>IF(A275="","",IFERROR(DATEVALUE(TEXTBEFORE(A275,"|")),--LEFT(A275,10)))</f>
        <v/>
      </c>
      <c r="C275">
        <f>IF(A275="","",TEXTBEFORE(TEXTAFTER(A275,"|"),"|"))</f>
        <v/>
      </c>
      <c r="D275">
        <f>IF(A275="","",TEXTAFTER(A275,"|",2))</f>
        <v/>
      </c>
      <c r="E275">
        <f>IF(A275="","",SUMIF(Tickets[TripKey],A275,Tickets[TP]))</f>
        <v/>
      </c>
      <c r="F275">
        <f>IF(A275="","",SUMIF(Tickets[TripKey],A275,Tickets[Revenue]))</f>
        <v/>
      </c>
      <c r="G275">
        <f>IF(A275="","",SUMIF(Tickets[TripKey],A275,Tickets[PK]))</f>
        <v/>
      </c>
      <c r="H275">
        <f>IF(A275="","",IFERROR(XLOOKUP(A275,Tickets[TripKey],Tickets[VehClean]),""))</f>
        <v/>
      </c>
      <c r="I275">
        <f>IF(A275="","",IFERROR(XLOOKUP(A275,Tickets[TripKey],Tickets[RouteLen]),0))</f>
        <v/>
      </c>
      <c r="J275">
        <f>IF(A275="","",IFERROR(XLOOKUP(A275,Tickets[TripKey],Tickets[Capacity]),0))</f>
        <v/>
      </c>
      <c r="K275">
        <f>IF(A275="","",I275*J275)</f>
        <v/>
      </c>
      <c r="L275">
        <f>IF(A275="","",IFERROR(MINIFS(Tickets[Trip Start Time],Tickets[TripKey],A275),""))</f>
        <v/>
      </c>
    </row>
    <row r="276">
      <c r="B276" s="8">
        <f>IF(A276="","",IFERROR(DATEVALUE(TEXTBEFORE(A276,"|")),--LEFT(A276,10)))</f>
        <v/>
      </c>
      <c r="C276">
        <f>IF(A276="","",TEXTBEFORE(TEXTAFTER(A276,"|"),"|"))</f>
        <v/>
      </c>
      <c r="D276">
        <f>IF(A276="","",TEXTAFTER(A276,"|",2))</f>
        <v/>
      </c>
      <c r="E276">
        <f>IF(A276="","",SUMIF(Tickets[TripKey],A276,Tickets[TP]))</f>
        <v/>
      </c>
      <c r="F276">
        <f>IF(A276="","",SUMIF(Tickets[TripKey],A276,Tickets[Revenue]))</f>
        <v/>
      </c>
      <c r="G276">
        <f>IF(A276="","",SUMIF(Tickets[TripKey],A276,Tickets[PK]))</f>
        <v/>
      </c>
      <c r="H276">
        <f>IF(A276="","",IFERROR(XLOOKUP(A276,Tickets[TripKey],Tickets[VehClean]),""))</f>
        <v/>
      </c>
      <c r="I276">
        <f>IF(A276="","",IFERROR(XLOOKUP(A276,Tickets[TripKey],Tickets[RouteLen]),0))</f>
        <v/>
      </c>
      <c r="J276">
        <f>IF(A276="","",IFERROR(XLOOKUP(A276,Tickets[TripKey],Tickets[Capacity]),0))</f>
        <v/>
      </c>
      <c r="K276">
        <f>IF(A276="","",I276*J276)</f>
        <v/>
      </c>
      <c r="L276">
        <f>IF(A276="","",IFERROR(MINIFS(Tickets[Trip Start Time],Tickets[TripKey],A276),""))</f>
        <v/>
      </c>
    </row>
    <row r="277">
      <c r="B277" s="8">
        <f>IF(A277="","",IFERROR(DATEVALUE(TEXTBEFORE(A277,"|")),--LEFT(A277,10)))</f>
        <v/>
      </c>
      <c r="C277">
        <f>IF(A277="","",TEXTBEFORE(TEXTAFTER(A277,"|"),"|"))</f>
        <v/>
      </c>
      <c r="D277">
        <f>IF(A277="","",TEXTAFTER(A277,"|",2))</f>
        <v/>
      </c>
      <c r="E277">
        <f>IF(A277="","",SUMIF(Tickets[TripKey],A277,Tickets[TP]))</f>
        <v/>
      </c>
      <c r="F277">
        <f>IF(A277="","",SUMIF(Tickets[TripKey],A277,Tickets[Revenue]))</f>
        <v/>
      </c>
      <c r="G277">
        <f>IF(A277="","",SUMIF(Tickets[TripKey],A277,Tickets[PK]))</f>
        <v/>
      </c>
      <c r="H277">
        <f>IF(A277="","",IFERROR(XLOOKUP(A277,Tickets[TripKey],Tickets[VehClean]),""))</f>
        <v/>
      </c>
      <c r="I277">
        <f>IF(A277="","",IFERROR(XLOOKUP(A277,Tickets[TripKey],Tickets[RouteLen]),0))</f>
        <v/>
      </c>
      <c r="J277">
        <f>IF(A277="","",IFERROR(XLOOKUP(A277,Tickets[TripKey],Tickets[Capacity]),0))</f>
        <v/>
      </c>
      <c r="K277">
        <f>IF(A277="","",I277*J277)</f>
        <v/>
      </c>
      <c r="L277">
        <f>IF(A277="","",IFERROR(MINIFS(Tickets[Trip Start Time],Tickets[TripKey],A277),""))</f>
        <v/>
      </c>
    </row>
    <row r="278">
      <c r="B278" s="8">
        <f>IF(A278="","",IFERROR(DATEVALUE(TEXTBEFORE(A278,"|")),--LEFT(A278,10)))</f>
        <v/>
      </c>
      <c r="C278">
        <f>IF(A278="","",TEXTBEFORE(TEXTAFTER(A278,"|"),"|"))</f>
        <v/>
      </c>
      <c r="D278">
        <f>IF(A278="","",TEXTAFTER(A278,"|",2))</f>
        <v/>
      </c>
      <c r="E278">
        <f>IF(A278="","",SUMIF(Tickets[TripKey],A278,Tickets[TP]))</f>
        <v/>
      </c>
      <c r="F278">
        <f>IF(A278="","",SUMIF(Tickets[TripKey],A278,Tickets[Revenue]))</f>
        <v/>
      </c>
      <c r="G278">
        <f>IF(A278="","",SUMIF(Tickets[TripKey],A278,Tickets[PK]))</f>
        <v/>
      </c>
      <c r="H278">
        <f>IF(A278="","",IFERROR(XLOOKUP(A278,Tickets[TripKey],Tickets[VehClean]),""))</f>
        <v/>
      </c>
      <c r="I278">
        <f>IF(A278="","",IFERROR(XLOOKUP(A278,Tickets[TripKey],Tickets[RouteLen]),0))</f>
        <v/>
      </c>
      <c r="J278">
        <f>IF(A278="","",IFERROR(XLOOKUP(A278,Tickets[TripKey],Tickets[Capacity]),0))</f>
        <v/>
      </c>
      <c r="K278">
        <f>IF(A278="","",I278*J278)</f>
        <v/>
      </c>
      <c r="L278">
        <f>IF(A278="","",IFERROR(MINIFS(Tickets[Trip Start Time],Tickets[TripKey],A278),""))</f>
        <v/>
      </c>
    </row>
    <row r="279">
      <c r="B279" s="8">
        <f>IF(A279="","",IFERROR(DATEVALUE(TEXTBEFORE(A279,"|")),--LEFT(A279,10)))</f>
        <v/>
      </c>
      <c r="C279">
        <f>IF(A279="","",TEXTBEFORE(TEXTAFTER(A279,"|"),"|"))</f>
        <v/>
      </c>
      <c r="D279">
        <f>IF(A279="","",TEXTAFTER(A279,"|",2))</f>
        <v/>
      </c>
      <c r="E279">
        <f>IF(A279="","",SUMIF(Tickets[TripKey],A279,Tickets[TP]))</f>
        <v/>
      </c>
      <c r="F279">
        <f>IF(A279="","",SUMIF(Tickets[TripKey],A279,Tickets[Revenue]))</f>
        <v/>
      </c>
      <c r="G279">
        <f>IF(A279="","",SUMIF(Tickets[TripKey],A279,Tickets[PK]))</f>
        <v/>
      </c>
      <c r="H279">
        <f>IF(A279="","",IFERROR(XLOOKUP(A279,Tickets[TripKey],Tickets[VehClean]),""))</f>
        <v/>
      </c>
      <c r="I279">
        <f>IF(A279="","",IFERROR(XLOOKUP(A279,Tickets[TripKey],Tickets[RouteLen]),0))</f>
        <v/>
      </c>
      <c r="J279">
        <f>IF(A279="","",IFERROR(XLOOKUP(A279,Tickets[TripKey],Tickets[Capacity]),0))</f>
        <v/>
      </c>
      <c r="K279">
        <f>IF(A279="","",I279*J279)</f>
        <v/>
      </c>
      <c r="L279">
        <f>IF(A279="","",IFERROR(MINIFS(Tickets[Trip Start Time],Tickets[TripKey],A279),""))</f>
        <v/>
      </c>
    </row>
    <row r="280">
      <c r="B280" s="8">
        <f>IF(A280="","",IFERROR(DATEVALUE(TEXTBEFORE(A280,"|")),--LEFT(A280,10)))</f>
        <v/>
      </c>
      <c r="C280">
        <f>IF(A280="","",TEXTBEFORE(TEXTAFTER(A280,"|"),"|"))</f>
        <v/>
      </c>
      <c r="D280">
        <f>IF(A280="","",TEXTAFTER(A280,"|",2))</f>
        <v/>
      </c>
      <c r="E280">
        <f>IF(A280="","",SUMIF(Tickets[TripKey],A280,Tickets[TP]))</f>
        <v/>
      </c>
      <c r="F280">
        <f>IF(A280="","",SUMIF(Tickets[TripKey],A280,Tickets[Revenue]))</f>
        <v/>
      </c>
      <c r="G280">
        <f>IF(A280="","",SUMIF(Tickets[TripKey],A280,Tickets[PK]))</f>
        <v/>
      </c>
      <c r="H280">
        <f>IF(A280="","",IFERROR(XLOOKUP(A280,Tickets[TripKey],Tickets[VehClean]),""))</f>
        <v/>
      </c>
      <c r="I280">
        <f>IF(A280="","",IFERROR(XLOOKUP(A280,Tickets[TripKey],Tickets[RouteLen]),0))</f>
        <v/>
      </c>
      <c r="J280">
        <f>IF(A280="","",IFERROR(XLOOKUP(A280,Tickets[TripKey],Tickets[Capacity]),0))</f>
        <v/>
      </c>
      <c r="K280">
        <f>IF(A280="","",I280*J280)</f>
        <v/>
      </c>
      <c r="L280">
        <f>IF(A280="","",IFERROR(MINIFS(Tickets[Trip Start Time],Tickets[TripKey],A280),""))</f>
        <v/>
      </c>
    </row>
    <row r="281">
      <c r="B281" s="8">
        <f>IF(A281="","",IFERROR(DATEVALUE(TEXTBEFORE(A281,"|")),--LEFT(A281,10)))</f>
        <v/>
      </c>
      <c r="C281">
        <f>IF(A281="","",TEXTBEFORE(TEXTAFTER(A281,"|"),"|"))</f>
        <v/>
      </c>
      <c r="D281">
        <f>IF(A281="","",TEXTAFTER(A281,"|",2))</f>
        <v/>
      </c>
      <c r="E281">
        <f>IF(A281="","",SUMIF(Tickets[TripKey],A281,Tickets[TP]))</f>
        <v/>
      </c>
      <c r="F281">
        <f>IF(A281="","",SUMIF(Tickets[TripKey],A281,Tickets[Revenue]))</f>
        <v/>
      </c>
      <c r="G281">
        <f>IF(A281="","",SUMIF(Tickets[TripKey],A281,Tickets[PK]))</f>
        <v/>
      </c>
      <c r="H281">
        <f>IF(A281="","",IFERROR(XLOOKUP(A281,Tickets[TripKey],Tickets[VehClean]),""))</f>
        <v/>
      </c>
      <c r="I281">
        <f>IF(A281="","",IFERROR(XLOOKUP(A281,Tickets[TripKey],Tickets[RouteLen]),0))</f>
        <v/>
      </c>
      <c r="J281">
        <f>IF(A281="","",IFERROR(XLOOKUP(A281,Tickets[TripKey],Tickets[Capacity]),0))</f>
        <v/>
      </c>
      <c r="K281">
        <f>IF(A281="","",I281*J281)</f>
        <v/>
      </c>
      <c r="L281">
        <f>IF(A281="","",IFERROR(MINIFS(Tickets[Trip Start Time],Tickets[TripKey],A281),""))</f>
        <v/>
      </c>
    </row>
    <row r="282">
      <c r="B282" s="8">
        <f>IF(A282="","",IFERROR(DATEVALUE(TEXTBEFORE(A282,"|")),--LEFT(A282,10)))</f>
        <v/>
      </c>
      <c r="C282">
        <f>IF(A282="","",TEXTBEFORE(TEXTAFTER(A282,"|"),"|"))</f>
        <v/>
      </c>
      <c r="D282">
        <f>IF(A282="","",TEXTAFTER(A282,"|",2))</f>
        <v/>
      </c>
      <c r="E282">
        <f>IF(A282="","",SUMIF(Tickets[TripKey],A282,Tickets[TP]))</f>
        <v/>
      </c>
      <c r="F282">
        <f>IF(A282="","",SUMIF(Tickets[TripKey],A282,Tickets[Revenue]))</f>
        <v/>
      </c>
      <c r="G282">
        <f>IF(A282="","",SUMIF(Tickets[TripKey],A282,Tickets[PK]))</f>
        <v/>
      </c>
      <c r="H282">
        <f>IF(A282="","",IFERROR(XLOOKUP(A282,Tickets[TripKey],Tickets[VehClean]),""))</f>
        <v/>
      </c>
      <c r="I282">
        <f>IF(A282="","",IFERROR(XLOOKUP(A282,Tickets[TripKey],Tickets[RouteLen]),0))</f>
        <v/>
      </c>
      <c r="J282">
        <f>IF(A282="","",IFERROR(XLOOKUP(A282,Tickets[TripKey],Tickets[Capacity]),0))</f>
        <v/>
      </c>
      <c r="K282">
        <f>IF(A282="","",I282*J282)</f>
        <v/>
      </c>
      <c r="L282">
        <f>IF(A282="","",IFERROR(MINIFS(Tickets[Trip Start Time],Tickets[TripKey],A282),""))</f>
        <v/>
      </c>
    </row>
    <row r="283">
      <c r="B283" s="8">
        <f>IF(A283="","",IFERROR(DATEVALUE(TEXTBEFORE(A283,"|")),--LEFT(A283,10)))</f>
        <v/>
      </c>
      <c r="C283">
        <f>IF(A283="","",TEXTBEFORE(TEXTAFTER(A283,"|"),"|"))</f>
        <v/>
      </c>
      <c r="D283">
        <f>IF(A283="","",TEXTAFTER(A283,"|",2))</f>
        <v/>
      </c>
      <c r="E283">
        <f>IF(A283="","",SUMIF(Tickets[TripKey],A283,Tickets[TP]))</f>
        <v/>
      </c>
      <c r="F283">
        <f>IF(A283="","",SUMIF(Tickets[TripKey],A283,Tickets[Revenue]))</f>
        <v/>
      </c>
      <c r="G283">
        <f>IF(A283="","",SUMIF(Tickets[TripKey],A283,Tickets[PK]))</f>
        <v/>
      </c>
      <c r="H283">
        <f>IF(A283="","",IFERROR(XLOOKUP(A283,Tickets[TripKey],Tickets[VehClean]),""))</f>
        <v/>
      </c>
      <c r="I283">
        <f>IF(A283="","",IFERROR(XLOOKUP(A283,Tickets[TripKey],Tickets[RouteLen]),0))</f>
        <v/>
      </c>
      <c r="J283">
        <f>IF(A283="","",IFERROR(XLOOKUP(A283,Tickets[TripKey],Tickets[Capacity]),0))</f>
        <v/>
      </c>
      <c r="K283">
        <f>IF(A283="","",I283*J283)</f>
        <v/>
      </c>
      <c r="L283">
        <f>IF(A283="","",IFERROR(MINIFS(Tickets[Trip Start Time],Tickets[TripKey],A283),""))</f>
        <v/>
      </c>
    </row>
    <row r="284">
      <c r="B284" s="8">
        <f>IF(A284="","",IFERROR(DATEVALUE(TEXTBEFORE(A284,"|")),--LEFT(A284,10)))</f>
        <v/>
      </c>
      <c r="C284">
        <f>IF(A284="","",TEXTBEFORE(TEXTAFTER(A284,"|"),"|"))</f>
        <v/>
      </c>
      <c r="D284">
        <f>IF(A284="","",TEXTAFTER(A284,"|",2))</f>
        <v/>
      </c>
      <c r="E284">
        <f>IF(A284="","",SUMIF(Tickets[TripKey],A284,Tickets[TP]))</f>
        <v/>
      </c>
      <c r="F284">
        <f>IF(A284="","",SUMIF(Tickets[TripKey],A284,Tickets[Revenue]))</f>
        <v/>
      </c>
      <c r="G284">
        <f>IF(A284="","",SUMIF(Tickets[TripKey],A284,Tickets[PK]))</f>
        <v/>
      </c>
      <c r="H284">
        <f>IF(A284="","",IFERROR(XLOOKUP(A284,Tickets[TripKey],Tickets[VehClean]),""))</f>
        <v/>
      </c>
      <c r="I284">
        <f>IF(A284="","",IFERROR(XLOOKUP(A284,Tickets[TripKey],Tickets[RouteLen]),0))</f>
        <v/>
      </c>
      <c r="J284">
        <f>IF(A284="","",IFERROR(XLOOKUP(A284,Tickets[TripKey],Tickets[Capacity]),0))</f>
        <v/>
      </c>
      <c r="K284">
        <f>IF(A284="","",I284*J284)</f>
        <v/>
      </c>
      <c r="L284">
        <f>IF(A284="","",IFERROR(MINIFS(Tickets[Trip Start Time],Tickets[TripKey],A284),""))</f>
        <v/>
      </c>
    </row>
    <row r="285">
      <c r="B285" s="8">
        <f>IF(A285="","",IFERROR(DATEVALUE(TEXTBEFORE(A285,"|")),--LEFT(A285,10)))</f>
        <v/>
      </c>
      <c r="C285">
        <f>IF(A285="","",TEXTBEFORE(TEXTAFTER(A285,"|"),"|"))</f>
        <v/>
      </c>
      <c r="D285">
        <f>IF(A285="","",TEXTAFTER(A285,"|",2))</f>
        <v/>
      </c>
      <c r="E285">
        <f>IF(A285="","",SUMIF(Tickets[TripKey],A285,Tickets[TP]))</f>
        <v/>
      </c>
      <c r="F285">
        <f>IF(A285="","",SUMIF(Tickets[TripKey],A285,Tickets[Revenue]))</f>
        <v/>
      </c>
      <c r="G285">
        <f>IF(A285="","",SUMIF(Tickets[TripKey],A285,Tickets[PK]))</f>
        <v/>
      </c>
      <c r="H285">
        <f>IF(A285="","",IFERROR(XLOOKUP(A285,Tickets[TripKey],Tickets[VehClean]),""))</f>
        <v/>
      </c>
      <c r="I285">
        <f>IF(A285="","",IFERROR(XLOOKUP(A285,Tickets[TripKey],Tickets[RouteLen]),0))</f>
        <v/>
      </c>
      <c r="J285">
        <f>IF(A285="","",IFERROR(XLOOKUP(A285,Tickets[TripKey],Tickets[Capacity]),0))</f>
        <v/>
      </c>
      <c r="K285">
        <f>IF(A285="","",I285*J285)</f>
        <v/>
      </c>
      <c r="L285">
        <f>IF(A285="","",IFERROR(MINIFS(Tickets[Trip Start Time],Tickets[TripKey],A285),""))</f>
        <v/>
      </c>
    </row>
    <row r="286">
      <c r="B286" s="8">
        <f>IF(A286="","",IFERROR(DATEVALUE(TEXTBEFORE(A286,"|")),--LEFT(A286,10)))</f>
        <v/>
      </c>
      <c r="C286">
        <f>IF(A286="","",TEXTBEFORE(TEXTAFTER(A286,"|"),"|"))</f>
        <v/>
      </c>
      <c r="D286">
        <f>IF(A286="","",TEXTAFTER(A286,"|",2))</f>
        <v/>
      </c>
      <c r="E286">
        <f>IF(A286="","",SUMIF(Tickets[TripKey],A286,Tickets[TP]))</f>
        <v/>
      </c>
      <c r="F286">
        <f>IF(A286="","",SUMIF(Tickets[TripKey],A286,Tickets[Revenue]))</f>
        <v/>
      </c>
      <c r="G286">
        <f>IF(A286="","",SUMIF(Tickets[TripKey],A286,Tickets[PK]))</f>
        <v/>
      </c>
      <c r="H286">
        <f>IF(A286="","",IFERROR(XLOOKUP(A286,Tickets[TripKey],Tickets[VehClean]),""))</f>
        <v/>
      </c>
      <c r="I286">
        <f>IF(A286="","",IFERROR(XLOOKUP(A286,Tickets[TripKey],Tickets[RouteLen]),0))</f>
        <v/>
      </c>
      <c r="J286">
        <f>IF(A286="","",IFERROR(XLOOKUP(A286,Tickets[TripKey],Tickets[Capacity]),0))</f>
        <v/>
      </c>
      <c r="K286">
        <f>IF(A286="","",I286*J286)</f>
        <v/>
      </c>
      <c r="L286">
        <f>IF(A286="","",IFERROR(MINIFS(Tickets[Trip Start Time],Tickets[TripKey],A286),""))</f>
        <v/>
      </c>
    </row>
    <row r="287">
      <c r="B287" s="8">
        <f>IF(A287="","",IFERROR(DATEVALUE(TEXTBEFORE(A287,"|")),--LEFT(A287,10)))</f>
        <v/>
      </c>
      <c r="C287">
        <f>IF(A287="","",TEXTBEFORE(TEXTAFTER(A287,"|"),"|"))</f>
        <v/>
      </c>
      <c r="D287">
        <f>IF(A287="","",TEXTAFTER(A287,"|",2))</f>
        <v/>
      </c>
      <c r="E287">
        <f>IF(A287="","",SUMIF(Tickets[TripKey],A287,Tickets[TP]))</f>
        <v/>
      </c>
      <c r="F287">
        <f>IF(A287="","",SUMIF(Tickets[TripKey],A287,Tickets[Revenue]))</f>
        <v/>
      </c>
      <c r="G287">
        <f>IF(A287="","",SUMIF(Tickets[TripKey],A287,Tickets[PK]))</f>
        <v/>
      </c>
      <c r="H287">
        <f>IF(A287="","",IFERROR(XLOOKUP(A287,Tickets[TripKey],Tickets[VehClean]),""))</f>
        <v/>
      </c>
      <c r="I287">
        <f>IF(A287="","",IFERROR(XLOOKUP(A287,Tickets[TripKey],Tickets[RouteLen]),0))</f>
        <v/>
      </c>
      <c r="J287">
        <f>IF(A287="","",IFERROR(XLOOKUP(A287,Tickets[TripKey],Tickets[Capacity]),0))</f>
        <v/>
      </c>
      <c r="K287">
        <f>IF(A287="","",I287*J287)</f>
        <v/>
      </c>
      <c r="L287">
        <f>IF(A287="","",IFERROR(MINIFS(Tickets[Trip Start Time],Tickets[TripKey],A287),""))</f>
        <v/>
      </c>
    </row>
    <row r="288">
      <c r="B288" s="8">
        <f>IF(A288="","",IFERROR(DATEVALUE(TEXTBEFORE(A288,"|")),--LEFT(A288,10)))</f>
        <v/>
      </c>
      <c r="C288">
        <f>IF(A288="","",TEXTBEFORE(TEXTAFTER(A288,"|"),"|"))</f>
        <v/>
      </c>
      <c r="D288">
        <f>IF(A288="","",TEXTAFTER(A288,"|",2))</f>
        <v/>
      </c>
      <c r="E288">
        <f>IF(A288="","",SUMIF(Tickets[TripKey],A288,Tickets[TP]))</f>
        <v/>
      </c>
      <c r="F288">
        <f>IF(A288="","",SUMIF(Tickets[TripKey],A288,Tickets[Revenue]))</f>
        <v/>
      </c>
      <c r="G288">
        <f>IF(A288="","",SUMIF(Tickets[TripKey],A288,Tickets[PK]))</f>
        <v/>
      </c>
      <c r="H288">
        <f>IF(A288="","",IFERROR(XLOOKUP(A288,Tickets[TripKey],Tickets[VehClean]),""))</f>
        <v/>
      </c>
      <c r="I288">
        <f>IF(A288="","",IFERROR(XLOOKUP(A288,Tickets[TripKey],Tickets[RouteLen]),0))</f>
        <v/>
      </c>
      <c r="J288">
        <f>IF(A288="","",IFERROR(XLOOKUP(A288,Tickets[TripKey],Tickets[Capacity]),0))</f>
        <v/>
      </c>
      <c r="K288">
        <f>IF(A288="","",I288*J288)</f>
        <v/>
      </c>
      <c r="L288">
        <f>IF(A288="","",IFERROR(MINIFS(Tickets[Trip Start Time],Tickets[TripKey],A288),""))</f>
        <v/>
      </c>
    </row>
    <row r="289">
      <c r="B289" s="8">
        <f>IF(A289="","",IFERROR(DATEVALUE(TEXTBEFORE(A289,"|")),--LEFT(A289,10)))</f>
        <v/>
      </c>
      <c r="C289">
        <f>IF(A289="","",TEXTBEFORE(TEXTAFTER(A289,"|"),"|"))</f>
        <v/>
      </c>
      <c r="D289">
        <f>IF(A289="","",TEXTAFTER(A289,"|",2))</f>
        <v/>
      </c>
      <c r="E289">
        <f>IF(A289="","",SUMIF(Tickets[TripKey],A289,Tickets[TP]))</f>
        <v/>
      </c>
      <c r="F289">
        <f>IF(A289="","",SUMIF(Tickets[TripKey],A289,Tickets[Revenue]))</f>
        <v/>
      </c>
      <c r="G289">
        <f>IF(A289="","",SUMIF(Tickets[TripKey],A289,Tickets[PK]))</f>
        <v/>
      </c>
      <c r="H289">
        <f>IF(A289="","",IFERROR(XLOOKUP(A289,Tickets[TripKey],Tickets[VehClean]),""))</f>
        <v/>
      </c>
      <c r="I289">
        <f>IF(A289="","",IFERROR(XLOOKUP(A289,Tickets[TripKey],Tickets[RouteLen]),0))</f>
        <v/>
      </c>
      <c r="J289">
        <f>IF(A289="","",IFERROR(XLOOKUP(A289,Tickets[TripKey],Tickets[Capacity]),0))</f>
        <v/>
      </c>
      <c r="K289">
        <f>IF(A289="","",I289*J289)</f>
        <v/>
      </c>
      <c r="L289">
        <f>IF(A289="","",IFERROR(MINIFS(Tickets[Trip Start Time],Tickets[TripKey],A289),""))</f>
        <v/>
      </c>
    </row>
    <row r="290">
      <c r="B290" s="8">
        <f>IF(A290="","",IFERROR(DATEVALUE(TEXTBEFORE(A290,"|")),--LEFT(A290,10)))</f>
        <v/>
      </c>
      <c r="C290">
        <f>IF(A290="","",TEXTBEFORE(TEXTAFTER(A290,"|"),"|"))</f>
        <v/>
      </c>
      <c r="D290">
        <f>IF(A290="","",TEXTAFTER(A290,"|",2))</f>
        <v/>
      </c>
      <c r="E290">
        <f>IF(A290="","",SUMIF(Tickets[TripKey],A290,Tickets[TP]))</f>
        <v/>
      </c>
      <c r="F290">
        <f>IF(A290="","",SUMIF(Tickets[TripKey],A290,Tickets[Revenue]))</f>
        <v/>
      </c>
      <c r="G290">
        <f>IF(A290="","",SUMIF(Tickets[TripKey],A290,Tickets[PK]))</f>
        <v/>
      </c>
      <c r="H290">
        <f>IF(A290="","",IFERROR(XLOOKUP(A290,Tickets[TripKey],Tickets[VehClean]),""))</f>
        <v/>
      </c>
      <c r="I290">
        <f>IF(A290="","",IFERROR(XLOOKUP(A290,Tickets[TripKey],Tickets[RouteLen]),0))</f>
        <v/>
      </c>
      <c r="J290">
        <f>IF(A290="","",IFERROR(XLOOKUP(A290,Tickets[TripKey],Tickets[Capacity]),0))</f>
        <v/>
      </c>
      <c r="K290">
        <f>IF(A290="","",I290*J290)</f>
        <v/>
      </c>
      <c r="L290">
        <f>IF(A290="","",IFERROR(MINIFS(Tickets[Trip Start Time],Tickets[TripKey],A290),""))</f>
        <v/>
      </c>
    </row>
    <row r="291">
      <c r="B291" s="8">
        <f>IF(A291="","",IFERROR(DATEVALUE(TEXTBEFORE(A291,"|")),--LEFT(A291,10)))</f>
        <v/>
      </c>
      <c r="C291">
        <f>IF(A291="","",TEXTBEFORE(TEXTAFTER(A291,"|"),"|"))</f>
        <v/>
      </c>
      <c r="D291">
        <f>IF(A291="","",TEXTAFTER(A291,"|",2))</f>
        <v/>
      </c>
      <c r="E291">
        <f>IF(A291="","",SUMIF(Tickets[TripKey],A291,Tickets[TP]))</f>
        <v/>
      </c>
      <c r="F291">
        <f>IF(A291="","",SUMIF(Tickets[TripKey],A291,Tickets[Revenue]))</f>
        <v/>
      </c>
      <c r="G291">
        <f>IF(A291="","",SUMIF(Tickets[TripKey],A291,Tickets[PK]))</f>
        <v/>
      </c>
      <c r="H291">
        <f>IF(A291="","",IFERROR(XLOOKUP(A291,Tickets[TripKey],Tickets[VehClean]),""))</f>
        <v/>
      </c>
      <c r="I291">
        <f>IF(A291="","",IFERROR(XLOOKUP(A291,Tickets[TripKey],Tickets[RouteLen]),0))</f>
        <v/>
      </c>
      <c r="J291">
        <f>IF(A291="","",IFERROR(XLOOKUP(A291,Tickets[TripKey],Tickets[Capacity]),0))</f>
        <v/>
      </c>
      <c r="K291">
        <f>IF(A291="","",I291*J291)</f>
        <v/>
      </c>
      <c r="L291">
        <f>IF(A291="","",IFERROR(MINIFS(Tickets[Trip Start Time],Tickets[TripKey],A291),""))</f>
        <v/>
      </c>
    </row>
    <row r="292">
      <c r="B292" s="8">
        <f>IF(A292="","",IFERROR(DATEVALUE(TEXTBEFORE(A292,"|")),--LEFT(A292,10)))</f>
        <v/>
      </c>
      <c r="C292">
        <f>IF(A292="","",TEXTBEFORE(TEXTAFTER(A292,"|"),"|"))</f>
        <v/>
      </c>
      <c r="D292">
        <f>IF(A292="","",TEXTAFTER(A292,"|",2))</f>
        <v/>
      </c>
      <c r="E292">
        <f>IF(A292="","",SUMIF(Tickets[TripKey],A292,Tickets[TP]))</f>
        <v/>
      </c>
      <c r="F292">
        <f>IF(A292="","",SUMIF(Tickets[TripKey],A292,Tickets[Revenue]))</f>
        <v/>
      </c>
      <c r="G292">
        <f>IF(A292="","",SUMIF(Tickets[TripKey],A292,Tickets[PK]))</f>
        <v/>
      </c>
      <c r="H292">
        <f>IF(A292="","",IFERROR(XLOOKUP(A292,Tickets[TripKey],Tickets[VehClean]),""))</f>
        <v/>
      </c>
      <c r="I292">
        <f>IF(A292="","",IFERROR(XLOOKUP(A292,Tickets[TripKey],Tickets[RouteLen]),0))</f>
        <v/>
      </c>
      <c r="J292">
        <f>IF(A292="","",IFERROR(XLOOKUP(A292,Tickets[TripKey],Tickets[Capacity]),0))</f>
        <v/>
      </c>
      <c r="K292">
        <f>IF(A292="","",I292*J292)</f>
        <v/>
      </c>
      <c r="L292">
        <f>IF(A292="","",IFERROR(MINIFS(Tickets[Trip Start Time],Tickets[TripKey],A292),""))</f>
        <v/>
      </c>
    </row>
    <row r="293">
      <c r="B293" s="8">
        <f>IF(A293="","",IFERROR(DATEVALUE(TEXTBEFORE(A293,"|")),--LEFT(A293,10)))</f>
        <v/>
      </c>
      <c r="C293">
        <f>IF(A293="","",TEXTBEFORE(TEXTAFTER(A293,"|"),"|"))</f>
        <v/>
      </c>
      <c r="D293">
        <f>IF(A293="","",TEXTAFTER(A293,"|",2))</f>
        <v/>
      </c>
      <c r="E293">
        <f>IF(A293="","",SUMIF(Tickets[TripKey],A293,Tickets[TP]))</f>
        <v/>
      </c>
      <c r="F293">
        <f>IF(A293="","",SUMIF(Tickets[TripKey],A293,Tickets[Revenue]))</f>
        <v/>
      </c>
      <c r="G293">
        <f>IF(A293="","",SUMIF(Tickets[TripKey],A293,Tickets[PK]))</f>
        <v/>
      </c>
      <c r="H293">
        <f>IF(A293="","",IFERROR(XLOOKUP(A293,Tickets[TripKey],Tickets[VehClean]),""))</f>
        <v/>
      </c>
      <c r="I293">
        <f>IF(A293="","",IFERROR(XLOOKUP(A293,Tickets[TripKey],Tickets[RouteLen]),0))</f>
        <v/>
      </c>
      <c r="J293">
        <f>IF(A293="","",IFERROR(XLOOKUP(A293,Tickets[TripKey],Tickets[Capacity]),0))</f>
        <v/>
      </c>
      <c r="K293">
        <f>IF(A293="","",I293*J293)</f>
        <v/>
      </c>
      <c r="L293">
        <f>IF(A293="","",IFERROR(MINIFS(Tickets[Trip Start Time],Tickets[TripKey],A293),""))</f>
        <v/>
      </c>
    </row>
    <row r="294">
      <c r="B294" s="8">
        <f>IF(A294="","",IFERROR(DATEVALUE(TEXTBEFORE(A294,"|")),--LEFT(A294,10)))</f>
        <v/>
      </c>
      <c r="C294">
        <f>IF(A294="","",TEXTBEFORE(TEXTAFTER(A294,"|"),"|"))</f>
        <v/>
      </c>
      <c r="D294">
        <f>IF(A294="","",TEXTAFTER(A294,"|",2))</f>
        <v/>
      </c>
      <c r="E294">
        <f>IF(A294="","",SUMIF(Tickets[TripKey],A294,Tickets[TP]))</f>
        <v/>
      </c>
      <c r="F294">
        <f>IF(A294="","",SUMIF(Tickets[TripKey],A294,Tickets[Revenue]))</f>
        <v/>
      </c>
      <c r="G294">
        <f>IF(A294="","",SUMIF(Tickets[TripKey],A294,Tickets[PK]))</f>
        <v/>
      </c>
      <c r="H294">
        <f>IF(A294="","",IFERROR(XLOOKUP(A294,Tickets[TripKey],Tickets[VehClean]),""))</f>
        <v/>
      </c>
      <c r="I294">
        <f>IF(A294="","",IFERROR(XLOOKUP(A294,Tickets[TripKey],Tickets[RouteLen]),0))</f>
        <v/>
      </c>
      <c r="J294">
        <f>IF(A294="","",IFERROR(XLOOKUP(A294,Tickets[TripKey],Tickets[Capacity]),0))</f>
        <v/>
      </c>
      <c r="K294">
        <f>IF(A294="","",I294*J294)</f>
        <v/>
      </c>
      <c r="L294">
        <f>IF(A294="","",IFERROR(MINIFS(Tickets[Trip Start Time],Tickets[TripKey],A294),""))</f>
        <v/>
      </c>
    </row>
    <row r="295">
      <c r="B295" s="8">
        <f>IF(A295="","",IFERROR(DATEVALUE(TEXTBEFORE(A295,"|")),--LEFT(A295,10)))</f>
        <v/>
      </c>
      <c r="C295">
        <f>IF(A295="","",TEXTBEFORE(TEXTAFTER(A295,"|"),"|"))</f>
        <v/>
      </c>
      <c r="D295">
        <f>IF(A295="","",TEXTAFTER(A295,"|",2))</f>
        <v/>
      </c>
      <c r="E295">
        <f>IF(A295="","",SUMIF(Tickets[TripKey],A295,Tickets[TP]))</f>
        <v/>
      </c>
      <c r="F295">
        <f>IF(A295="","",SUMIF(Tickets[TripKey],A295,Tickets[Revenue]))</f>
        <v/>
      </c>
      <c r="G295">
        <f>IF(A295="","",SUMIF(Tickets[TripKey],A295,Tickets[PK]))</f>
        <v/>
      </c>
      <c r="H295">
        <f>IF(A295="","",IFERROR(XLOOKUP(A295,Tickets[TripKey],Tickets[VehClean]),""))</f>
        <v/>
      </c>
      <c r="I295">
        <f>IF(A295="","",IFERROR(XLOOKUP(A295,Tickets[TripKey],Tickets[RouteLen]),0))</f>
        <v/>
      </c>
      <c r="J295">
        <f>IF(A295="","",IFERROR(XLOOKUP(A295,Tickets[TripKey],Tickets[Capacity]),0))</f>
        <v/>
      </c>
      <c r="K295">
        <f>IF(A295="","",I295*J295)</f>
        <v/>
      </c>
      <c r="L295">
        <f>IF(A295="","",IFERROR(MINIFS(Tickets[Trip Start Time],Tickets[TripKey],A295),""))</f>
        <v/>
      </c>
    </row>
    <row r="296">
      <c r="B296" s="8">
        <f>IF(A296="","",IFERROR(DATEVALUE(TEXTBEFORE(A296,"|")),--LEFT(A296,10)))</f>
        <v/>
      </c>
      <c r="C296">
        <f>IF(A296="","",TEXTBEFORE(TEXTAFTER(A296,"|"),"|"))</f>
        <v/>
      </c>
      <c r="D296">
        <f>IF(A296="","",TEXTAFTER(A296,"|",2))</f>
        <v/>
      </c>
      <c r="E296">
        <f>IF(A296="","",SUMIF(Tickets[TripKey],A296,Tickets[TP]))</f>
        <v/>
      </c>
      <c r="F296">
        <f>IF(A296="","",SUMIF(Tickets[TripKey],A296,Tickets[Revenue]))</f>
        <v/>
      </c>
      <c r="G296">
        <f>IF(A296="","",SUMIF(Tickets[TripKey],A296,Tickets[PK]))</f>
        <v/>
      </c>
      <c r="H296">
        <f>IF(A296="","",IFERROR(XLOOKUP(A296,Tickets[TripKey],Tickets[VehClean]),""))</f>
        <v/>
      </c>
      <c r="I296">
        <f>IF(A296="","",IFERROR(XLOOKUP(A296,Tickets[TripKey],Tickets[RouteLen]),0))</f>
        <v/>
      </c>
      <c r="J296">
        <f>IF(A296="","",IFERROR(XLOOKUP(A296,Tickets[TripKey],Tickets[Capacity]),0))</f>
        <v/>
      </c>
      <c r="K296">
        <f>IF(A296="","",I296*J296)</f>
        <v/>
      </c>
      <c r="L296">
        <f>IF(A296="","",IFERROR(MINIFS(Tickets[Trip Start Time],Tickets[TripKey],A296),""))</f>
        <v/>
      </c>
    </row>
    <row r="297">
      <c r="B297" s="8">
        <f>IF(A297="","",IFERROR(DATEVALUE(TEXTBEFORE(A297,"|")),--LEFT(A297,10)))</f>
        <v/>
      </c>
      <c r="C297">
        <f>IF(A297="","",TEXTBEFORE(TEXTAFTER(A297,"|"),"|"))</f>
        <v/>
      </c>
      <c r="D297">
        <f>IF(A297="","",TEXTAFTER(A297,"|",2))</f>
        <v/>
      </c>
      <c r="E297">
        <f>IF(A297="","",SUMIF(Tickets[TripKey],A297,Tickets[TP]))</f>
        <v/>
      </c>
      <c r="F297">
        <f>IF(A297="","",SUMIF(Tickets[TripKey],A297,Tickets[Revenue]))</f>
        <v/>
      </c>
      <c r="G297">
        <f>IF(A297="","",SUMIF(Tickets[TripKey],A297,Tickets[PK]))</f>
        <v/>
      </c>
      <c r="H297">
        <f>IF(A297="","",IFERROR(XLOOKUP(A297,Tickets[TripKey],Tickets[VehClean]),""))</f>
        <v/>
      </c>
      <c r="I297">
        <f>IF(A297="","",IFERROR(XLOOKUP(A297,Tickets[TripKey],Tickets[RouteLen]),0))</f>
        <v/>
      </c>
      <c r="J297">
        <f>IF(A297="","",IFERROR(XLOOKUP(A297,Tickets[TripKey],Tickets[Capacity]),0))</f>
        <v/>
      </c>
      <c r="K297">
        <f>IF(A297="","",I297*J297)</f>
        <v/>
      </c>
      <c r="L297">
        <f>IF(A297="","",IFERROR(MINIFS(Tickets[Trip Start Time],Tickets[TripKey],A297),""))</f>
        <v/>
      </c>
    </row>
    <row r="298">
      <c r="B298" s="8">
        <f>IF(A298="","",IFERROR(DATEVALUE(TEXTBEFORE(A298,"|")),--LEFT(A298,10)))</f>
        <v/>
      </c>
      <c r="C298">
        <f>IF(A298="","",TEXTBEFORE(TEXTAFTER(A298,"|"),"|"))</f>
        <v/>
      </c>
      <c r="D298">
        <f>IF(A298="","",TEXTAFTER(A298,"|",2))</f>
        <v/>
      </c>
      <c r="E298">
        <f>IF(A298="","",SUMIF(Tickets[TripKey],A298,Tickets[TP]))</f>
        <v/>
      </c>
      <c r="F298">
        <f>IF(A298="","",SUMIF(Tickets[TripKey],A298,Tickets[Revenue]))</f>
        <v/>
      </c>
      <c r="G298">
        <f>IF(A298="","",SUMIF(Tickets[TripKey],A298,Tickets[PK]))</f>
        <v/>
      </c>
      <c r="H298">
        <f>IF(A298="","",IFERROR(XLOOKUP(A298,Tickets[TripKey],Tickets[VehClean]),""))</f>
        <v/>
      </c>
      <c r="I298">
        <f>IF(A298="","",IFERROR(XLOOKUP(A298,Tickets[TripKey],Tickets[RouteLen]),0))</f>
        <v/>
      </c>
      <c r="J298">
        <f>IF(A298="","",IFERROR(XLOOKUP(A298,Tickets[TripKey],Tickets[Capacity]),0))</f>
        <v/>
      </c>
      <c r="K298">
        <f>IF(A298="","",I298*J298)</f>
        <v/>
      </c>
      <c r="L298">
        <f>IF(A298="","",IFERROR(MINIFS(Tickets[Trip Start Time],Tickets[TripKey],A298),""))</f>
        <v/>
      </c>
    </row>
    <row r="299">
      <c r="B299" s="8">
        <f>IF(A299="","",IFERROR(DATEVALUE(TEXTBEFORE(A299,"|")),--LEFT(A299,10)))</f>
        <v/>
      </c>
      <c r="C299">
        <f>IF(A299="","",TEXTBEFORE(TEXTAFTER(A299,"|"),"|"))</f>
        <v/>
      </c>
      <c r="D299">
        <f>IF(A299="","",TEXTAFTER(A299,"|",2))</f>
        <v/>
      </c>
      <c r="E299">
        <f>IF(A299="","",SUMIF(Tickets[TripKey],A299,Tickets[TP]))</f>
        <v/>
      </c>
      <c r="F299">
        <f>IF(A299="","",SUMIF(Tickets[TripKey],A299,Tickets[Revenue]))</f>
        <v/>
      </c>
      <c r="G299">
        <f>IF(A299="","",SUMIF(Tickets[TripKey],A299,Tickets[PK]))</f>
        <v/>
      </c>
      <c r="H299">
        <f>IF(A299="","",IFERROR(XLOOKUP(A299,Tickets[TripKey],Tickets[VehClean]),""))</f>
        <v/>
      </c>
      <c r="I299">
        <f>IF(A299="","",IFERROR(XLOOKUP(A299,Tickets[TripKey],Tickets[RouteLen]),0))</f>
        <v/>
      </c>
      <c r="J299">
        <f>IF(A299="","",IFERROR(XLOOKUP(A299,Tickets[TripKey],Tickets[Capacity]),0))</f>
        <v/>
      </c>
      <c r="K299">
        <f>IF(A299="","",I299*J299)</f>
        <v/>
      </c>
      <c r="L299">
        <f>IF(A299="","",IFERROR(MINIFS(Tickets[Trip Start Time],Tickets[TripKey],A299),""))</f>
        <v/>
      </c>
    </row>
    <row r="300">
      <c r="B300" s="8">
        <f>IF(A300="","",IFERROR(DATEVALUE(TEXTBEFORE(A300,"|")),--LEFT(A300,10)))</f>
        <v/>
      </c>
      <c r="C300">
        <f>IF(A300="","",TEXTBEFORE(TEXTAFTER(A300,"|"),"|"))</f>
        <v/>
      </c>
      <c r="D300">
        <f>IF(A300="","",TEXTAFTER(A300,"|",2))</f>
        <v/>
      </c>
      <c r="E300">
        <f>IF(A300="","",SUMIF(Tickets[TripKey],A300,Tickets[TP]))</f>
        <v/>
      </c>
      <c r="F300">
        <f>IF(A300="","",SUMIF(Tickets[TripKey],A300,Tickets[Revenue]))</f>
        <v/>
      </c>
      <c r="G300">
        <f>IF(A300="","",SUMIF(Tickets[TripKey],A300,Tickets[PK]))</f>
        <v/>
      </c>
      <c r="H300">
        <f>IF(A300="","",IFERROR(XLOOKUP(A300,Tickets[TripKey],Tickets[VehClean]),""))</f>
        <v/>
      </c>
      <c r="I300">
        <f>IF(A300="","",IFERROR(XLOOKUP(A300,Tickets[TripKey],Tickets[RouteLen]),0))</f>
        <v/>
      </c>
      <c r="J300">
        <f>IF(A300="","",IFERROR(XLOOKUP(A300,Tickets[TripKey],Tickets[Capacity]),0))</f>
        <v/>
      </c>
      <c r="K300">
        <f>IF(A300="","",I300*J300)</f>
        <v/>
      </c>
      <c r="L300">
        <f>IF(A300="","",IFERROR(MINIFS(Tickets[Trip Start Time],Tickets[TripKey],A300),""))</f>
        <v/>
      </c>
    </row>
    <row r="301">
      <c r="B301" s="8">
        <f>IF(A301="","",IFERROR(DATEVALUE(TEXTBEFORE(A301,"|")),--LEFT(A301,10)))</f>
        <v/>
      </c>
      <c r="C301">
        <f>IF(A301="","",TEXTBEFORE(TEXTAFTER(A301,"|"),"|"))</f>
        <v/>
      </c>
      <c r="D301">
        <f>IF(A301="","",TEXTAFTER(A301,"|",2))</f>
        <v/>
      </c>
      <c r="E301">
        <f>IF(A301="","",SUMIF(Tickets[TripKey],A301,Tickets[TP]))</f>
        <v/>
      </c>
      <c r="F301">
        <f>IF(A301="","",SUMIF(Tickets[TripKey],A301,Tickets[Revenue]))</f>
        <v/>
      </c>
      <c r="G301">
        <f>IF(A301="","",SUMIF(Tickets[TripKey],A301,Tickets[PK]))</f>
        <v/>
      </c>
      <c r="H301">
        <f>IF(A301="","",IFERROR(XLOOKUP(A301,Tickets[TripKey],Tickets[VehClean]),""))</f>
        <v/>
      </c>
      <c r="I301">
        <f>IF(A301="","",IFERROR(XLOOKUP(A301,Tickets[TripKey],Tickets[RouteLen]),0))</f>
        <v/>
      </c>
      <c r="J301">
        <f>IF(A301="","",IFERROR(XLOOKUP(A301,Tickets[TripKey],Tickets[Capacity]),0))</f>
        <v/>
      </c>
      <c r="K301">
        <f>IF(A301="","",I301*J301)</f>
        <v/>
      </c>
      <c r="L301">
        <f>IF(A301="","",IFERROR(MINIFS(Tickets[Trip Start Time],Tickets[TripKey],A301),""))</f>
        <v/>
      </c>
    </row>
    <row r="302">
      <c r="B302" s="8">
        <f>IF(A302="","",IFERROR(DATEVALUE(TEXTBEFORE(A302,"|")),--LEFT(A302,10)))</f>
        <v/>
      </c>
      <c r="C302">
        <f>IF(A302="","",TEXTBEFORE(TEXTAFTER(A302,"|"),"|"))</f>
        <v/>
      </c>
      <c r="D302">
        <f>IF(A302="","",TEXTAFTER(A302,"|",2))</f>
        <v/>
      </c>
      <c r="E302">
        <f>IF(A302="","",SUMIF(Tickets[TripKey],A302,Tickets[TP]))</f>
        <v/>
      </c>
      <c r="F302">
        <f>IF(A302="","",SUMIF(Tickets[TripKey],A302,Tickets[Revenue]))</f>
        <v/>
      </c>
      <c r="G302">
        <f>IF(A302="","",SUMIF(Tickets[TripKey],A302,Tickets[PK]))</f>
        <v/>
      </c>
      <c r="H302">
        <f>IF(A302="","",IFERROR(XLOOKUP(A302,Tickets[TripKey],Tickets[VehClean]),""))</f>
        <v/>
      </c>
      <c r="I302">
        <f>IF(A302="","",IFERROR(XLOOKUP(A302,Tickets[TripKey],Tickets[RouteLen]),0))</f>
        <v/>
      </c>
      <c r="J302">
        <f>IF(A302="","",IFERROR(XLOOKUP(A302,Tickets[TripKey],Tickets[Capacity]),0))</f>
        <v/>
      </c>
      <c r="K302">
        <f>IF(A302="","",I302*J302)</f>
        <v/>
      </c>
      <c r="L302">
        <f>IF(A302="","",IFERROR(MINIFS(Tickets[Trip Start Time],Tickets[TripKey],A302),""))</f>
        <v/>
      </c>
    </row>
    <row r="303">
      <c r="B303" s="8">
        <f>IF(A303="","",IFERROR(DATEVALUE(TEXTBEFORE(A303,"|")),--LEFT(A303,10)))</f>
        <v/>
      </c>
      <c r="C303">
        <f>IF(A303="","",TEXTBEFORE(TEXTAFTER(A303,"|"),"|"))</f>
        <v/>
      </c>
      <c r="D303">
        <f>IF(A303="","",TEXTAFTER(A303,"|",2))</f>
        <v/>
      </c>
      <c r="E303">
        <f>IF(A303="","",SUMIF(Tickets[TripKey],A303,Tickets[TP]))</f>
        <v/>
      </c>
      <c r="F303">
        <f>IF(A303="","",SUMIF(Tickets[TripKey],A303,Tickets[Revenue]))</f>
        <v/>
      </c>
      <c r="G303">
        <f>IF(A303="","",SUMIF(Tickets[TripKey],A303,Tickets[PK]))</f>
        <v/>
      </c>
      <c r="H303">
        <f>IF(A303="","",IFERROR(XLOOKUP(A303,Tickets[TripKey],Tickets[VehClean]),""))</f>
        <v/>
      </c>
      <c r="I303">
        <f>IF(A303="","",IFERROR(XLOOKUP(A303,Tickets[TripKey],Tickets[RouteLen]),0))</f>
        <v/>
      </c>
      <c r="J303">
        <f>IF(A303="","",IFERROR(XLOOKUP(A303,Tickets[TripKey],Tickets[Capacity]),0))</f>
        <v/>
      </c>
      <c r="K303">
        <f>IF(A303="","",I303*J303)</f>
        <v/>
      </c>
      <c r="L303">
        <f>IF(A303="","",IFERROR(MINIFS(Tickets[Trip Start Time],Tickets[TripKey],A303),""))</f>
        <v/>
      </c>
    </row>
    <row r="304">
      <c r="B304" s="8">
        <f>IF(A304="","",IFERROR(DATEVALUE(TEXTBEFORE(A304,"|")),--LEFT(A304,10)))</f>
        <v/>
      </c>
      <c r="C304">
        <f>IF(A304="","",TEXTBEFORE(TEXTAFTER(A304,"|"),"|"))</f>
        <v/>
      </c>
      <c r="D304">
        <f>IF(A304="","",TEXTAFTER(A304,"|",2))</f>
        <v/>
      </c>
      <c r="E304">
        <f>IF(A304="","",SUMIF(Tickets[TripKey],A304,Tickets[TP]))</f>
        <v/>
      </c>
      <c r="F304">
        <f>IF(A304="","",SUMIF(Tickets[TripKey],A304,Tickets[Revenue]))</f>
        <v/>
      </c>
      <c r="G304">
        <f>IF(A304="","",SUMIF(Tickets[TripKey],A304,Tickets[PK]))</f>
        <v/>
      </c>
      <c r="H304">
        <f>IF(A304="","",IFERROR(XLOOKUP(A304,Tickets[TripKey],Tickets[VehClean]),""))</f>
        <v/>
      </c>
      <c r="I304">
        <f>IF(A304="","",IFERROR(XLOOKUP(A304,Tickets[TripKey],Tickets[RouteLen]),0))</f>
        <v/>
      </c>
      <c r="J304">
        <f>IF(A304="","",IFERROR(XLOOKUP(A304,Tickets[TripKey],Tickets[Capacity]),0))</f>
        <v/>
      </c>
      <c r="K304">
        <f>IF(A304="","",I304*J304)</f>
        <v/>
      </c>
      <c r="L304">
        <f>IF(A304="","",IFERROR(MINIFS(Tickets[Trip Start Time],Tickets[TripKey],A304),""))</f>
        <v/>
      </c>
    </row>
    <row r="305">
      <c r="B305" s="8">
        <f>IF(A305="","",IFERROR(DATEVALUE(TEXTBEFORE(A305,"|")),--LEFT(A305,10)))</f>
        <v/>
      </c>
      <c r="C305">
        <f>IF(A305="","",TEXTBEFORE(TEXTAFTER(A305,"|"),"|"))</f>
        <v/>
      </c>
      <c r="D305">
        <f>IF(A305="","",TEXTAFTER(A305,"|",2))</f>
        <v/>
      </c>
      <c r="E305">
        <f>IF(A305="","",SUMIF(Tickets[TripKey],A305,Tickets[TP]))</f>
        <v/>
      </c>
      <c r="F305">
        <f>IF(A305="","",SUMIF(Tickets[TripKey],A305,Tickets[Revenue]))</f>
        <v/>
      </c>
      <c r="G305">
        <f>IF(A305="","",SUMIF(Tickets[TripKey],A305,Tickets[PK]))</f>
        <v/>
      </c>
      <c r="H305">
        <f>IF(A305="","",IFERROR(XLOOKUP(A305,Tickets[TripKey],Tickets[VehClean]),""))</f>
        <v/>
      </c>
      <c r="I305">
        <f>IF(A305="","",IFERROR(XLOOKUP(A305,Tickets[TripKey],Tickets[RouteLen]),0))</f>
        <v/>
      </c>
      <c r="J305">
        <f>IF(A305="","",IFERROR(XLOOKUP(A305,Tickets[TripKey],Tickets[Capacity]),0))</f>
        <v/>
      </c>
      <c r="K305">
        <f>IF(A305="","",I305*J305)</f>
        <v/>
      </c>
      <c r="L305">
        <f>IF(A305="","",IFERROR(MINIFS(Tickets[Trip Start Time],Tickets[TripKey],A305),""))</f>
        <v/>
      </c>
    </row>
    <row r="306">
      <c r="B306" s="8">
        <f>IF(A306="","",IFERROR(DATEVALUE(TEXTBEFORE(A306,"|")),--LEFT(A306,10)))</f>
        <v/>
      </c>
      <c r="C306">
        <f>IF(A306="","",TEXTBEFORE(TEXTAFTER(A306,"|"),"|"))</f>
        <v/>
      </c>
      <c r="D306">
        <f>IF(A306="","",TEXTAFTER(A306,"|",2))</f>
        <v/>
      </c>
      <c r="E306">
        <f>IF(A306="","",SUMIF(Tickets[TripKey],A306,Tickets[TP]))</f>
        <v/>
      </c>
      <c r="F306">
        <f>IF(A306="","",SUMIF(Tickets[TripKey],A306,Tickets[Revenue]))</f>
        <v/>
      </c>
      <c r="G306">
        <f>IF(A306="","",SUMIF(Tickets[TripKey],A306,Tickets[PK]))</f>
        <v/>
      </c>
      <c r="H306">
        <f>IF(A306="","",IFERROR(XLOOKUP(A306,Tickets[TripKey],Tickets[VehClean]),""))</f>
        <v/>
      </c>
      <c r="I306">
        <f>IF(A306="","",IFERROR(XLOOKUP(A306,Tickets[TripKey],Tickets[RouteLen]),0))</f>
        <v/>
      </c>
      <c r="J306">
        <f>IF(A306="","",IFERROR(XLOOKUP(A306,Tickets[TripKey],Tickets[Capacity]),0))</f>
        <v/>
      </c>
      <c r="K306">
        <f>IF(A306="","",I306*J306)</f>
        <v/>
      </c>
      <c r="L306">
        <f>IF(A306="","",IFERROR(MINIFS(Tickets[Trip Start Time],Tickets[TripKey],A306),""))</f>
        <v/>
      </c>
    </row>
    <row r="307">
      <c r="B307" s="8">
        <f>IF(A307="","",IFERROR(DATEVALUE(TEXTBEFORE(A307,"|")),--LEFT(A307,10)))</f>
        <v/>
      </c>
      <c r="C307">
        <f>IF(A307="","",TEXTBEFORE(TEXTAFTER(A307,"|"),"|"))</f>
        <v/>
      </c>
      <c r="D307">
        <f>IF(A307="","",TEXTAFTER(A307,"|",2))</f>
        <v/>
      </c>
      <c r="E307">
        <f>IF(A307="","",SUMIF(Tickets[TripKey],A307,Tickets[TP]))</f>
        <v/>
      </c>
      <c r="F307">
        <f>IF(A307="","",SUMIF(Tickets[TripKey],A307,Tickets[Revenue]))</f>
        <v/>
      </c>
      <c r="G307">
        <f>IF(A307="","",SUMIF(Tickets[TripKey],A307,Tickets[PK]))</f>
        <v/>
      </c>
      <c r="H307">
        <f>IF(A307="","",IFERROR(XLOOKUP(A307,Tickets[TripKey],Tickets[VehClean]),""))</f>
        <v/>
      </c>
      <c r="I307">
        <f>IF(A307="","",IFERROR(XLOOKUP(A307,Tickets[TripKey],Tickets[RouteLen]),0))</f>
        <v/>
      </c>
      <c r="J307">
        <f>IF(A307="","",IFERROR(XLOOKUP(A307,Tickets[TripKey],Tickets[Capacity]),0))</f>
        <v/>
      </c>
      <c r="K307">
        <f>IF(A307="","",I307*J307)</f>
        <v/>
      </c>
      <c r="L307">
        <f>IF(A307="","",IFERROR(MINIFS(Tickets[Trip Start Time],Tickets[TripKey],A307),""))</f>
        <v/>
      </c>
    </row>
    <row r="308">
      <c r="B308" s="8">
        <f>IF(A308="","",IFERROR(DATEVALUE(TEXTBEFORE(A308,"|")),--LEFT(A308,10)))</f>
        <v/>
      </c>
      <c r="C308">
        <f>IF(A308="","",TEXTBEFORE(TEXTAFTER(A308,"|"),"|"))</f>
        <v/>
      </c>
      <c r="D308">
        <f>IF(A308="","",TEXTAFTER(A308,"|",2))</f>
        <v/>
      </c>
      <c r="E308">
        <f>IF(A308="","",SUMIF(Tickets[TripKey],A308,Tickets[TP]))</f>
        <v/>
      </c>
      <c r="F308">
        <f>IF(A308="","",SUMIF(Tickets[TripKey],A308,Tickets[Revenue]))</f>
        <v/>
      </c>
      <c r="G308">
        <f>IF(A308="","",SUMIF(Tickets[TripKey],A308,Tickets[PK]))</f>
        <v/>
      </c>
      <c r="H308">
        <f>IF(A308="","",IFERROR(XLOOKUP(A308,Tickets[TripKey],Tickets[VehClean]),""))</f>
        <v/>
      </c>
      <c r="I308">
        <f>IF(A308="","",IFERROR(XLOOKUP(A308,Tickets[TripKey],Tickets[RouteLen]),0))</f>
        <v/>
      </c>
      <c r="J308">
        <f>IF(A308="","",IFERROR(XLOOKUP(A308,Tickets[TripKey],Tickets[Capacity]),0))</f>
        <v/>
      </c>
      <c r="K308">
        <f>IF(A308="","",I308*J308)</f>
        <v/>
      </c>
      <c r="L308">
        <f>IF(A308="","",IFERROR(MINIFS(Tickets[Trip Start Time],Tickets[TripKey],A308),""))</f>
        <v/>
      </c>
    </row>
    <row r="309">
      <c r="B309" s="8">
        <f>IF(A309="","",IFERROR(DATEVALUE(TEXTBEFORE(A309,"|")),--LEFT(A309,10)))</f>
        <v/>
      </c>
      <c r="C309">
        <f>IF(A309="","",TEXTBEFORE(TEXTAFTER(A309,"|"),"|"))</f>
        <v/>
      </c>
      <c r="D309">
        <f>IF(A309="","",TEXTAFTER(A309,"|",2))</f>
        <v/>
      </c>
      <c r="E309">
        <f>IF(A309="","",SUMIF(Tickets[TripKey],A309,Tickets[TP]))</f>
        <v/>
      </c>
      <c r="F309">
        <f>IF(A309="","",SUMIF(Tickets[TripKey],A309,Tickets[Revenue]))</f>
        <v/>
      </c>
      <c r="G309">
        <f>IF(A309="","",SUMIF(Tickets[TripKey],A309,Tickets[PK]))</f>
        <v/>
      </c>
      <c r="H309">
        <f>IF(A309="","",IFERROR(XLOOKUP(A309,Tickets[TripKey],Tickets[VehClean]),""))</f>
        <v/>
      </c>
      <c r="I309">
        <f>IF(A309="","",IFERROR(XLOOKUP(A309,Tickets[TripKey],Tickets[RouteLen]),0))</f>
        <v/>
      </c>
      <c r="J309">
        <f>IF(A309="","",IFERROR(XLOOKUP(A309,Tickets[TripKey],Tickets[Capacity]),0))</f>
        <v/>
      </c>
      <c r="K309">
        <f>IF(A309="","",I309*J309)</f>
        <v/>
      </c>
      <c r="L309">
        <f>IF(A309="","",IFERROR(MINIFS(Tickets[Trip Start Time],Tickets[TripKey],A309),""))</f>
        <v/>
      </c>
    </row>
    <row r="310">
      <c r="B310" s="8">
        <f>IF(A310="","",IFERROR(DATEVALUE(TEXTBEFORE(A310,"|")),--LEFT(A310,10)))</f>
        <v/>
      </c>
      <c r="C310">
        <f>IF(A310="","",TEXTBEFORE(TEXTAFTER(A310,"|"),"|"))</f>
        <v/>
      </c>
      <c r="D310">
        <f>IF(A310="","",TEXTAFTER(A310,"|",2))</f>
        <v/>
      </c>
      <c r="E310">
        <f>IF(A310="","",SUMIF(Tickets[TripKey],A310,Tickets[TP]))</f>
        <v/>
      </c>
      <c r="F310">
        <f>IF(A310="","",SUMIF(Tickets[TripKey],A310,Tickets[Revenue]))</f>
        <v/>
      </c>
      <c r="G310">
        <f>IF(A310="","",SUMIF(Tickets[TripKey],A310,Tickets[PK]))</f>
        <v/>
      </c>
      <c r="H310">
        <f>IF(A310="","",IFERROR(XLOOKUP(A310,Tickets[TripKey],Tickets[VehClean]),""))</f>
        <v/>
      </c>
      <c r="I310">
        <f>IF(A310="","",IFERROR(XLOOKUP(A310,Tickets[TripKey],Tickets[RouteLen]),0))</f>
        <v/>
      </c>
      <c r="J310">
        <f>IF(A310="","",IFERROR(XLOOKUP(A310,Tickets[TripKey],Tickets[Capacity]),0))</f>
        <v/>
      </c>
      <c r="K310">
        <f>IF(A310="","",I310*J310)</f>
        <v/>
      </c>
      <c r="L310">
        <f>IF(A310="","",IFERROR(MINIFS(Tickets[Trip Start Time],Tickets[TripKey],A310),""))</f>
        <v/>
      </c>
    </row>
    <row r="311">
      <c r="B311" s="8">
        <f>IF(A311="","",IFERROR(DATEVALUE(TEXTBEFORE(A311,"|")),--LEFT(A311,10)))</f>
        <v/>
      </c>
      <c r="C311">
        <f>IF(A311="","",TEXTBEFORE(TEXTAFTER(A311,"|"),"|"))</f>
        <v/>
      </c>
      <c r="D311">
        <f>IF(A311="","",TEXTAFTER(A311,"|",2))</f>
        <v/>
      </c>
      <c r="E311">
        <f>IF(A311="","",SUMIF(Tickets[TripKey],A311,Tickets[TP]))</f>
        <v/>
      </c>
      <c r="F311">
        <f>IF(A311="","",SUMIF(Tickets[TripKey],A311,Tickets[Revenue]))</f>
        <v/>
      </c>
      <c r="G311">
        <f>IF(A311="","",SUMIF(Tickets[TripKey],A311,Tickets[PK]))</f>
        <v/>
      </c>
      <c r="H311">
        <f>IF(A311="","",IFERROR(XLOOKUP(A311,Tickets[TripKey],Tickets[VehClean]),""))</f>
        <v/>
      </c>
      <c r="I311">
        <f>IF(A311="","",IFERROR(XLOOKUP(A311,Tickets[TripKey],Tickets[RouteLen]),0))</f>
        <v/>
      </c>
      <c r="J311">
        <f>IF(A311="","",IFERROR(XLOOKUP(A311,Tickets[TripKey],Tickets[Capacity]),0))</f>
        <v/>
      </c>
      <c r="K311">
        <f>IF(A311="","",I311*J311)</f>
        <v/>
      </c>
      <c r="L311">
        <f>IF(A311="","",IFERROR(MINIFS(Tickets[Trip Start Time],Tickets[TripKey],A311),""))</f>
        <v/>
      </c>
    </row>
    <row r="312">
      <c r="B312" s="8">
        <f>IF(A312="","",IFERROR(DATEVALUE(TEXTBEFORE(A312,"|")),--LEFT(A312,10)))</f>
        <v/>
      </c>
      <c r="C312">
        <f>IF(A312="","",TEXTBEFORE(TEXTAFTER(A312,"|"),"|"))</f>
        <v/>
      </c>
      <c r="D312">
        <f>IF(A312="","",TEXTAFTER(A312,"|",2))</f>
        <v/>
      </c>
      <c r="E312">
        <f>IF(A312="","",SUMIF(Tickets[TripKey],A312,Tickets[TP]))</f>
        <v/>
      </c>
      <c r="F312">
        <f>IF(A312="","",SUMIF(Tickets[TripKey],A312,Tickets[Revenue]))</f>
        <v/>
      </c>
      <c r="G312">
        <f>IF(A312="","",SUMIF(Tickets[TripKey],A312,Tickets[PK]))</f>
        <v/>
      </c>
      <c r="H312">
        <f>IF(A312="","",IFERROR(XLOOKUP(A312,Tickets[TripKey],Tickets[VehClean]),""))</f>
        <v/>
      </c>
      <c r="I312">
        <f>IF(A312="","",IFERROR(XLOOKUP(A312,Tickets[TripKey],Tickets[RouteLen]),0))</f>
        <v/>
      </c>
      <c r="J312">
        <f>IF(A312="","",IFERROR(XLOOKUP(A312,Tickets[TripKey],Tickets[Capacity]),0))</f>
        <v/>
      </c>
      <c r="K312">
        <f>IF(A312="","",I312*J312)</f>
        <v/>
      </c>
      <c r="L312">
        <f>IF(A312="","",IFERROR(MINIFS(Tickets[Trip Start Time],Tickets[TripKey],A312),""))</f>
        <v/>
      </c>
    </row>
    <row r="313">
      <c r="B313" s="8">
        <f>IF(A313="","",IFERROR(DATEVALUE(TEXTBEFORE(A313,"|")),--LEFT(A313,10)))</f>
        <v/>
      </c>
      <c r="C313">
        <f>IF(A313="","",TEXTBEFORE(TEXTAFTER(A313,"|"),"|"))</f>
        <v/>
      </c>
      <c r="D313">
        <f>IF(A313="","",TEXTAFTER(A313,"|",2))</f>
        <v/>
      </c>
      <c r="E313">
        <f>IF(A313="","",SUMIF(Tickets[TripKey],A313,Tickets[TP]))</f>
        <v/>
      </c>
      <c r="F313">
        <f>IF(A313="","",SUMIF(Tickets[TripKey],A313,Tickets[Revenue]))</f>
        <v/>
      </c>
      <c r="G313">
        <f>IF(A313="","",SUMIF(Tickets[TripKey],A313,Tickets[PK]))</f>
        <v/>
      </c>
      <c r="H313">
        <f>IF(A313="","",IFERROR(XLOOKUP(A313,Tickets[TripKey],Tickets[VehClean]),""))</f>
        <v/>
      </c>
      <c r="I313">
        <f>IF(A313="","",IFERROR(XLOOKUP(A313,Tickets[TripKey],Tickets[RouteLen]),0))</f>
        <v/>
      </c>
      <c r="J313">
        <f>IF(A313="","",IFERROR(XLOOKUP(A313,Tickets[TripKey],Tickets[Capacity]),0))</f>
        <v/>
      </c>
      <c r="K313">
        <f>IF(A313="","",I313*J313)</f>
        <v/>
      </c>
      <c r="L313">
        <f>IF(A313="","",IFERROR(MINIFS(Tickets[Trip Start Time],Tickets[TripKey],A313),""))</f>
        <v/>
      </c>
    </row>
    <row r="314">
      <c r="B314" s="8">
        <f>IF(A314="","",IFERROR(DATEVALUE(TEXTBEFORE(A314,"|")),--LEFT(A314,10)))</f>
        <v/>
      </c>
      <c r="C314">
        <f>IF(A314="","",TEXTBEFORE(TEXTAFTER(A314,"|"),"|"))</f>
        <v/>
      </c>
      <c r="D314">
        <f>IF(A314="","",TEXTAFTER(A314,"|",2))</f>
        <v/>
      </c>
      <c r="E314">
        <f>IF(A314="","",SUMIF(Tickets[TripKey],A314,Tickets[TP]))</f>
        <v/>
      </c>
      <c r="F314">
        <f>IF(A314="","",SUMIF(Tickets[TripKey],A314,Tickets[Revenue]))</f>
        <v/>
      </c>
      <c r="G314">
        <f>IF(A314="","",SUMIF(Tickets[TripKey],A314,Tickets[PK]))</f>
        <v/>
      </c>
      <c r="H314">
        <f>IF(A314="","",IFERROR(XLOOKUP(A314,Tickets[TripKey],Tickets[VehClean]),""))</f>
        <v/>
      </c>
      <c r="I314">
        <f>IF(A314="","",IFERROR(XLOOKUP(A314,Tickets[TripKey],Tickets[RouteLen]),0))</f>
        <v/>
      </c>
      <c r="J314">
        <f>IF(A314="","",IFERROR(XLOOKUP(A314,Tickets[TripKey],Tickets[Capacity]),0))</f>
        <v/>
      </c>
      <c r="K314">
        <f>IF(A314="","",I314*J314)</f>
        <v/>
      </c>
      <c r="L314">
        <f>IF(A314="","",IFERROR(MINIFS(Tickets[Trip Start Time],Tickets[TripKey],A314),""))</f>
        <v/>
      </c>
    </row>
    <row r="315">
      <c r="B315" s="8">
        <f>IF(A315="","",IFERROR(DATEVALUE(TEXTBEFORE(A315,"|")),--LEFT(A315,10)))</f>
        <v/>
      </c>
      <c r="C315">
        <f>IF(A315="","",TEXTBEFORE(TEXTAFTER(A315,"|"),"|"))</f>
        <v/>
      </c>
      <c r="D315">
        <f>IF(A315="","",TEXTAFTER(A315,"|",2))</f>
        <v/>
      </c>
      <c r="E315">
        <f>IF(A315="","",SUMIF(Tickets[TripKey],A315,Tickets[TP]))</f>
        <v/>
      </c>
      <c r="F315">
        <f>IF(A315="","",SUMIF(Tickets[TripKey],A315,Tickets[Revenue]))</f>
        <v/>
      </c>
      <c r="G315">
        <f>IF(A315="","",SUMIF(Tickets[TripKey],A315,Tickets[PK]))</f>
        <v/>
      </c>
      <c r="H315">
        <f>IF(A315="","",IFERROR(XLOOKUP(A315,Tickets[TripKey],Tickets[VehClean]),""))</f>
        <v/>
      </c>
      <c r="I315">
        <f>IF(A315="","",IFERROR(XLOOKUP(A315,Tickets[TripKey],Tickets[RouteLen]),0))</f>
        <v/>
      </c>
      <c r="J315">
        <f>IF(A315="","",IFERROR(XLOOKUP(A315,Tickets[TripKey],Tickets[Capacity]),0))</f>
        <v/>
      </c>
      <c r="K315">
        <f>IF(A315="","",I315*J315)</f>
        <v/>
      </c>
      <c r="L315">
        <f>IF(A315="","",IFERROR(MINIFS(Tickets[Trip Start Time],Tickets[TripKey],A315),""))</f>
        <v/>
      </c>
    </row>
    <row r="316">
      <c r="B316" s="8">
        <f>IF(A316="","",IFERROR(DATEVALUE(TEXTBEFORE(A316,"|")),--LEFT(A316,10)))</f>
        <v/>
      </c>
      <c r="C316">
        <f>IF(A316="","",TEXTBEFORE(TEXTAFTER(A316,"|"),"|"))</f>
        <v/>
      </c>
      <c r="D316">
        <f>IF(A316="","",TEXTAFTER(A316,"|",2))</f>
        <v/>
      </c>
      <c r="E316">
        <f>IF(A316="","",SUMIF(Tickets[TripKey],A316,Tickets[TP]))</f>
        <v/>
      </c>
      <c r="F316">
        <f>IF(A316="","",SUMIF(Tickets[TripKey],A316,Tickets[Revenue]))</f>
        <v/>
      </c>
      <c r="G316">
        <f>IF(A316="","",SUMIF(Tickets[TripKey],A316,Tickets[PK]))</f>
        <v/>
      </c>
      <c r="H316">
        <f>IF(A316="","",IFERROR(XLOOKUP(A316,Tickets[TripKey],Tickets[VehClean]),""))</f>
        <v/>
      </c>
      <c r="I316">
        <f>IF(A316="","",IFERROR(XLOOKUP(A316,Tickets[TripKey],Tickets[RouteLen]),0))</f>
        <v/>
      </c>
      <c r="J316">
        <f>IF(A316="","",IFERROR(XLOOKUP(A316,Tickets[TripKey],Tickets[Capacity]),0))</f>
        <v/>
      </c>
      <c r="K316">
        <f>IF(A316="","",I316*J316)</f>
        <v/>
      </c>
      <c r="L316">
        <f>IF(A316="","",IFERROR(MINIFS(Tickets[Trip Start Time],Tickets[TripKey],A316),""))</f>
        <v/>
      </c>
    </row>
    <row r="317">
      <c r="B317" s="8">
        <f>IF(A317="","",IFERROR(DATEVALUE(TEXTBEFORE(A317,"|")),--LEFT(A317,10)))</f>
        <v/>
      </c>
      <c r="C317">
        <f>IF(A317="","",TEXTBEFORE(TEXTAFTER(A317,"|"),"|"))</f>
        <v/>
      </c>
      <c r="D317">
        <f>IF(A317="","",TEXTAFTER(A317,"|",2))</f>
        <v/>
      </c>
      <c r="E317">
        <f>IF(A317="","",SUMIF(Tickets[TripKey],A317,Tickets[TP]))</f>
        <v/>
      </c>
      <c r="F317">
        <f>IF(A317="","",SUMIF(Tickets[TripKey],A317,Tickets[Revenue]))</f>
        <v/>
      </c>
      <c r="G317">
        <f>IF(A317="","",SUMIF(Tickets[TripKey],A317,Tickets[PK]))</f>
        <v/>
      </c>
      <c r="H317">
        <f>IF(A317="","",IFERROR(XLOOKUP(A317,Tickets[TripKey],Tickets[VehClean]),""))</f>
        <v/>
      </c>
      <c r="I317">
        <f>IF(A317="","",IFERROR(XLOOKUP(A317,Tickets[TripKey],Tickets[RouteLen]),0))</f>
        <v/>
      </c>
      <c r="J317">
        <f>IF(A317="","",IFERROR(XLOOKUP(A317,Tickets[TripKey],Tickets[Capacity]),0))</f>
        <v/>
      </c>
      <c r="K317">
        <f>IF(A317="","",I317*J317)</f>
        <v/>
      </c>
      <c r="L317">
        <f>IF(A317="","",IFERROR(MINIFS(Tickets[Trip Start Time],Tickets[TripKey],A317),""))</f>
        <v/>
      </c>
    </row>
    <row r="318">
      <c r="B318" s="8">
        <f>IF(A318="","",IFERROR(DATEVALUE(TEXTBEFORE(A318,"|")),--LEFT(A318,10)))</f>
        <v/>
      </c>
      <c r="C318">
        <f>IF(A318="","",TEXTBEFORE(TEXTAFTER(A318,"|"),"|"))</f>
        <v/>
      </c>
      <c r="D318">
        <f>IF(A318="","",TEXTAFTER(A318,"|",2))</f>
        <v/>
      </c>
      <c r="E318">
        <f>IF(A318="","",SUMIF(Tickets[TripKey],A318,Tickets[TP]))</f>
        <v/>
      </c>
      <c r="F318">
        <f>IF(A318="","",SUMIF(Tickets[TripKey],A318,Tickets[Revenue]))</f>
        <v/>
      </c>
      <c r="G318">
        <f>IF(A318="","",SUMIF(Tickets[TripKey],A318,Tickets[PK]))</f>
        <v/>
      </c>
      <c r="H318">
        <f>IF(A318="","",IFERROR(XLOOKUP(A318,Tickets[TripKey],Tickets[VehClean]),""))</f>
        <v/>
      </c>
      <c r="I318">
        <f>IF(A318="","",IFERROR(XLOOKUP(A318,Tickets[TripKey],Tickets[RouteLen]),0))</f>
        <v/>
      </c>
      <c r="J318">
        <f>IF(A318="","",IFERROR(XLOOKUP(A318,Tickets[TripKey],Tickets[Capacity]),0))</f>
        <v/>
      </c>
      <c r="K318">
        <f>IF(A318="","",I318*J318)</f>
        <v/>
      </c>
      <c r="L318">
        <f>IF(A318="","",IFERROR(MINIFS(Tickets[Trip Start Time],Tickets[TripKey],A318),""))</f>
        <v/>
      </c>
    </row>
    <row r="319">
      <c r="B319" s="8">
        <f>IF(A319="","",IFERROR(DATEVALUE(TEXTBEFORE(A319,"|")),--LEFT(A319,10)))</f>
        <v/>
      </c>
      <c r="C319">
        <f>IF(A319="","",TEXTBEFORE(TEXTAFTER(A319,"|"),"|"))</f>
        <v/>
      </c>
      <c r="D319">
        <f>IF(A319="","",TEXTAFTER(A319,"|",2))</f>
        <v/>
      </c>
      <c r="E319">
        <f>IF(A319="","",SUMIF(Tickets[TripKey],A319,Tickets[TP]))</f>
        <v/>
      </c>
      <c r="F319">
        <f>IF(A319="","",SUMIF(Tickets[TripKey],A319,Tickets[Revenue]))</f>
        <v/>
      </c>
      <c r="G319">
        <f>IF(A319="","",SUMIF(Tickets[TripKey],A319,Tickets[PK]))</f>
        <v/>
      </c>
      <c r="H319">
        <f>IF(A319="","",IFERROR(XLOOKUP(A319,Tickets[TripKey],Tickets[VehClean]),""))</f>
        <v/>
      </c>
      <c r="I319">
        <f>IF(A319="","",IFERROR(XLOOKUP(A319,Tickets[TripKey],Tickets[RouteLen]),0))</f>
        <v/>
      </c>
      <c r="J319">
        <f>IF(A319="","",IFERROR(XLOOKUP(A319,Tickets[TripKey],Tickets[Capacity]),0))</f>
        <v/>
      </c>
      <c r="K319">
        <f>IF(A319="","",I319*J319)</f>
        <v/>
      </c>
      <c r="L319">
        <f>IF(A319="","",IFERROR(MINIFS(Tickets[Trip Start Time],Tickets[TripKey],A319),""))</f>
        <v/>
      </c>
    </row>
    <row r="320">
      <c r="B320" s="8">
        <f>IF(A320="","",IFERROR(DATEVALUE(TEXTBEFORE(A320,"|")),--LEFT(A320,10)))</f>
        <v/>
      </c>
      <c r="C320">
        <f>IF(A320="","",TEXTBEFORE(TEXTAFTER(A320,"|"),"|"))</f>
        <v/>
      </c>
      <c r="D320">
        <f>IF(A320="","",TEXTAFTER(A320,"|",2))</f>
        <v/>
      </c>
      <c r="E320">
        <f>IF(A320="","",SUMIF(Tickets[TripKey],A320,Tickets[TP]))</f>
        <v/>
      </c>
      <c r="F320">
        <f>IF(A320="","",SUMIF(Tickets[TripKey],A320,Tickets[Revenue]))</f>
        <v/>
      </c>
      <c r="G320">
        <f>IF(A320="","",SUMIF(Tickets[TripKey],A320,Tickets[PK]))</f>
        <v/>
      </c>
      <c r="H320">
        <f>IF(A320="","",IFERROR(XLOOKUP(A320,Tickets[TripKey],Tickets[VehClean]),""))</f>
        <v/>
      </c>
      <c r="I320">
        <f>IF(A320="","",IFERROR(XLOOKUP(A320,Tickets[TripKey],Tickets[RouteLen]),0))</f>
        <v/>
      </c>
      <c r="J320">
        <f>IF(A320="","",IFERROR(XLOOKUP(A320,Tickets[TripKey],Tickets[Capacity]),0))</f>
        <v/>
      </c>
      <c r="K320">
        <f>IF(A320="","",I320*J320)</f>
        <v/>
      </c>
      <c r="L320">
        <f>IF(A320="","",IFERROR(MINIFS(Tickets[Trip Start Time],Tickets[TripKey],A320),""))</f>
        <v/>
      </c>
    </row>
    <row r="321">
      <c r="B321" s="8">
        <f>IF(A321="","",IFERROR(DATEVALUE(TEXTBEFORE(A321,"|")),--LEFT(A321,10)))</f>
        <v/>
      </c>
      <c r="C321">
        <f>IF(A321="","",TEXTBEFORE(TEXTAFTER(A321,"|"),"|"))</f>
        <v/>
      </c>
      <c r="D321">
        <f>IF(A321="","",TEXTAFTER(A321,"|",2))</f>
        <v/>
      </c>
      <c r="E321">
        <f>IF(A321="","",SUMIF(Tickets[TripKey],A321,Tickets[TP]))</f>
        <v/>
      </c>
      <c r="F321">
        <f>IF(A321="","",SUMIF(Tickets[TripKey],A321,Tickets[Revenue]))</f>
        <v/>
      </c>
      <c r="G321">
        <f>IF(A321="","",SUMIF(Tickets[TripKey],A321,Tickets[PK]))</f>
        <v/>
      </c>
      <c r="H321">
        <f>IF(A321="","",IFERROR(XLOOKUP(A321,Tickets[TripKey],Tickets[VehClean]),""))</f>
        <v/>
      </c>
      <c r="I321">
        <f>IF(A321="","",IFERROR(XLOOKUP(A321,Tickets[TripKey],Tickets[RouteLen]),0))</f>
        <v/>
      </c>
      <c r="J321">
        <f>IF(A321="","",IFERROR(XLOOKUP(A321,Tickets[TripKey],Tickets[Capacity]),0))</f>
        <v/>
      </c>
      <c r="K321">
        <f>IF(A321="","",I321*J321)</f>
        <v/>
      </c>
      <c r="L321">
        <f>IF(A321="","",IFERROR(MINIFS(Tickets[Trip Start Time],Tickets[TripKey],A321),""))</f>
        <v/>
      </c>
    </row>
    <row r="322">
      <c r="B322" s="8">
        <f>IF(A322="","",IFERROR(DATEVALUE(TEXTBEFORE(A322,"|")),--LEFT(A322,10)))</f>
        <v/>
      </c>
      <c r="C322">
        <f>IF(A322="","",TEXTBEFORE(TEXTAFTER(A322,"|"),"|"))</f>
        <v/>
      </c>
      <c r="D322">
        <f>IF(A322="","",TEXTAFTER(A322,"|",2))</f>
        <v/>
      </c>
      <c r="E322">
        <f>IF(A322="","",SUMIF(Tickets[TripKey],A322,Tickets[TP]))</f>
        <v/>
      </c>
      <c r="F322">
        <f>IF(A322="","",SUMIF(Tickets[TripKey],A322,Tickets[Revenue]))</f>
        <v/>
      </c>
      <c r="G322">
        <f>IF(A322="","",SUMIF(Tickets[TripKey],A322,Tickets[PK]))</f>
        <v/>
      </c>
      <c r="H322">
        <f>IF(A322="","",IFERROR(XLOOKUP(A322,Tickets[TripKey],Tickets[VehClean]),""))</f>
        <v/>
      </c>
      <c r="I322">
        <f>IF(A322="","",IFERROR(XLOOKUP(A322,Tickets[TripKey],Tickets[RouteLen]),0))</f>
        <v/>
      </c>
      <c r="J322">
        <f>IF(A322="","",IFERROR(XLOOKUP(A322,Tickets[TripKey],Tickets[Capacity]),0))</f>
        <v/>
      </c>
      <c r="K322">
        <f>IF(A322="","",I322*J322)</f>
        <v/>
      </c>
      <c r="L322">
        <f>IF(A322="","",IFERROR(MINIFS(Tickets[Trip Start Time],Tickets[TripKey],A322),""))</f>
        <v/>
      </c>
    </row>
    <row r="323">
      <c r="B323" s="8">
        <f>IF(A323="","",IFERROR(DATEVALUE(TEXTBEFORE(A323,"|")),--LEFT(A323,10)))</f>
        <v/>
      </c>
      <c r="C323">
        <f>IF(A323="","",TEXTBEFORE(TEXTAFTER(A323,"|"),"|"))</f>
        <v/>
      </c>
      <c r="D323">
        <f>IF(A323="","",TEXTAFTER(A323,"|",2))</f>
        <v/>
      </c>
      <c r="E323">
        <f>IF(A323="","",SUMIF(Tickets[TripKey],A323,Tickets[TP]))</f>
        <v/>
      </c>
      <c r="F323">
        <f>IF(A323="","",SUMIF(Tickets[TripKey],A323,Tickets[Revenue]))</f>
        <v/>
      </c>
      <c r="G323">
        <f>IF(A323="","",SUMIF(Tickets[TripKey],A323,Tickets[PK]))</f>
        <v/>
      </c>
      <c r="H323">
        <f>IF(A323="","",IFERROR(XLOOKUP(A323,Tickets[TripKey],Tickets[VehClean]),""))</f>
        <v/>
      </c>
      <c r="I323">
        <f>IF(A323="","",IFERROR(XLOOKUP(A323,Tickets[TripKey],Tickets[RouteLen]),0))</f>
        <v/>
      </c>
      <c r="J323">
        <f>IF(A323="","",IFERROR(XLOOKUP(A323,Tickets[TripKey],Tickets[Capacity]),0))</f>
        <v/>
      </c>
      <c r="K323">
        <f>IF(A323="","",I323*J323)</f>
        <v/>
      </c>
      <c r="L323">
        <f>IF(A323="","",IFERROR(MINIFS(Tickets[Trip Start Time],Tickets[TripKey],A323),""))</f>
        <v/>
      </c>
    </row>
    <row r="324">
      <c r="B324" s="8">
        <f>IF(A324="","",IFERROR(DATEVALUE(TEXTBEFORE(A324,"|")),--LEFT(A324,10)))</f>
        <v/>
      </c>
      <c r="C324">
        <f>IF(A324="","",TEXTBEFORE(TEXTAFTER(A324,"|"),"|"))</f>
        <v/>
      </c>
      <c r="D324">
        <f>IF(A324="","",TEXTAFTER(A324,"|",2))</f>
        <v/>
      </c>
      <c r="E324">
        <f>IF(A324="","",SUMIF(Tickets[TripKey],A324,Tickets[TP]))</f>
        <v/>
      </c>
      <c r="F324">
        <f>IF(A324="","",SUMIF(Tickets[TripKey],A324,Tickets[Revenue]))</f>
        <v/>
      </c>
      <c r="G324">
        <f>IF(A324="","",SUMIF(Tickets[TripKey],A324,Tickets[PK]))</f>
        <v/>
      </c>
      <c r="H324">
        <f>IF(A324="","",IFERROR(XLOOKUP(A324,Tickets[TripKey],Tickets[VehClean]),""))</f>
        <v/>
      </c>
      <c r="I324">
        <f>IF(A324="","",IFERROR(XLOOKUP(A324,Tickets[TripKey],Tickets[RouteLen]),0))</f>
        <v/>
      </c>
      <c r="J324">
        <f>IF(A324="","",IFERROR(XLOOKUP(A324,Tickets[TripKey],Tickets[Capacity]),0))</f>
        <v/>
      </c>
      <c r="K324">
        <f>IF(A324="","",I324*J324)</f>
        <v/>
      </c>
      <c r="L324">
        <f>IF(A324="","",IFERROR(MINIFS(Tickets[Trip Start Time],Tickets[TripKey],A324),""))</f>
        <v/>
      </c>
    </row>
    <row r="325">
      <c r="B325" s="8">
        <f>IF(A325="","",IFERROR(DATEVALUE(TEXTBEFORE(A325,"|")),--LEFT(A325,10)))</f>
        <v/>
      </c>
      <c r="C325">
        <f>IF(A325="","",TEXTBEFORE(TEXTAFTER(A325,"|"),"|"))</f>
        <v/>
      </c>
      <c r="D325">
        <f>IF(A325="","",TEXTAFTER(A325,"|",2))</f>
        <v/>
      </c>
      <c r="E325">
        <f>IF(A325="","",SUMIF(Tickets[TripKey],A325,Tickets[TP]))</f>
        <v/>
      </c>
      <c r="F325">
        <f>IF(A325="","",SUMIF(Tickets[TripKey],A325,Tickets[Revenue]))</f>
        <v/>
      </c>
      <c r="G325">
        <f>IF(A325="","",SUMIF(Tickets[TripKey],A325,Tickets[PK]))</f>
        <v/>
      </c>
      <c r="H325">
        <f>IF(A325="","",IFERROR(XLOOKUP(A325,Tickets[TripKey],Tickets[VehClean]),""))</f>
        <v/>
      </c>
      <c r="I325">
        <f>IF(A325="","",IFERROR(XLOOKUP(A325,Tickets[TripKey],Tickets[RouteLen]),0))</f>
        <v/>
      </c>
      <c r="J325">
        <f>IF(A325="","",IFERROR(XLOOKUP(A325,Tickets[TripKey],Tickets[Capacity]),0))</f>
        <v/>
      </c>
      <c r="K325">
        <f>IF(A325="","",I325*J325)</f>
        <v/>
      </c>
      <c r="L325">
        <f>IF(A325="","",IFERROR(MINIFS(Tickets[Trip Start Time],Tickets[TripKey],A325),""))</f>
        <v/>
      </c>
    </row>
    <row r="326">
      <c r="B326" s="8">
        <f>IF(A326="","",IFERROR(DATEVALUE(TEXTBEFORE(A326,"|")),--LEFT(A326,10)))</f>
        <v/>
      </c>
      <c r="C326">
        <f>IF(A326="","",TEXTBEFORE(TEXTAFTER(A326,"|"),"|"))</f>
        <v/>
      </c>
      <c r="D326">
        <f>IF(A326="","",TEXTAFTER(A326,"|",2))</f>
        <v/>
      </c>
      <c r="E326">
        <f>IF(A326="","",SUMIF(Tickets[TripKey],A326,Tickets[TP]))</f>
        <v/>
      </c>
      <c r="F326">
        <f>IF(A326="","",SUMIF(Tickets[TripKey],A326,Tickets[Revenue]))</f>
        <v/>
      </c>
      <c r="G326">
        <f>IF(A326="","",SUMIF(Tickets[TripKey],A326,Tickets[PK]))</f>
        <v/>
      </c>
      <c r="H326">
        <f>IF(A326="","",IFERROR(XLOOKUP(A326,Tickets[TripKey],Tickets[VehClean]),""))</f>
        <v/>
      </c>
      <c r="I326">
        <f>IF(A326="","",IFERROR(XLOOKUP(A326,Tickets[TripKey],Tickets[RouteLen]),0))</f>
        <v/>
      </c>
      <c r="J326">
        <f>IF(A326="","",IFERROR(XLOOKUP(A326,Tickets[TripKey],Tickets[Capacity]),0))</f>
        <v/>
      </c>
      <c r="K326">
        <f>IF(A326="","",I326*J326)</f>
        <v/>
      </c>
      <c r="L326">
        <f>IF(A326="","",IFERROR(MINIFS(Tickets[Trip Start Time],Tickets[TripKey],A326),""))</f>
        <v/>
      </c>
    </row>
    <row r="327">
      <c r="B327" s="8">
        <f>IF(A327="","",IFERROR(DATEVALUE(TEXTBEFORE(A327,"|")),--LEFT(A327,10)))</f>
        <v/>
      </c>
      <c r="C327">
        <f>IF(A327="","",TEXTBEFORE(TEXTAFTER(A327,"|"),"|"))</f>
        <v/>
      </c>
      <c r="D327">
        <f>IF(A327="","",TEXTAFTER(A327,"|",2))</f>
        <v/>
      </c>
      <c r="E327">
        <f>IF(A327="","",SUMIF(Tickets[TripKey],A327,Tickets[TP]))</f>
        <v/>
      </c>
      <c r="F327">
        <f>IF(A327="","",SUMIF(Tickets[TripKey],A327,Tickets[Revenue]))</f>
        <v/>
      </c>
      <c r="G327">
        <f>IF(A327="","",SUMIF(Tickets[TripKey],A327,Tickets[PK]))</f>
        <v/>
      </c>
      <c r="H327">
        <f>IF(A327="","",IFERROR(XLOOKUP(A327,Tickets[TripKey],Tickets[VehClean]),""))</f>
        <v/>
      </c>
      <c r="I327">
        <f>IF(A327="","",IFERROR(XLOOKUP(A327,Tickets[TripKey],Tickets[RouteLen]),0))</f>
        <v/>
      </c>
      <c r="J327">
        <f>IF(A327="","",IFERROR(XLOOKUP(A327,Tickets[TripKey],Tickets[Capacity]),0))</f>
        <v/>
      </c>
      <c r="K327">
        <f>IF(A327="","",I327*J327)</f>
        <v/>
      </c>
      <c r="L327">
        <f>IF(A327="","",IFERROR(MINIFS(Tickets[Trip Start Time],Tickets[TripKey],A327),""))</f>
        <v/>
      </c>
    </row>
    <row r="328">
      <c r="B328" s="8">
        <f>IF(A328="","",IFERROR(DATEVALUE(TEXTBEFORE(A328,"|")),--LEFT(A328,10)))</f>
        <v/>
      </c>
      <c r="C328">
        <f>IF(A328="","",TEXTBEFORE(TEXTAFTER(A328,"|"),"|"))</f>
        <v/>
      </c>
      <c r="D328">
        <f>IF(A328="","",TEXTAFTER(A328,"|",2))</f>
        <v/>
      </c>
      <c r="E328">
        <f>IF(A328="","",SUMIF(Tickets[TripKey],A328,Tickets[TP]))</f>
        <v/>
      </c>
      <c r="F328">
        <f>IF(A328="","",SUMIF(Tickets[TripKey],A328,Tickets[Revenue]))</f>
        <v/>
      </c>
      <c r="G328">
        <f>IF(A328="","",SUMIF(Tickets[TripKey],A328,Tickets[PK]))</f>
        <v/>
      </c>
      <c r="H328">
        <f>IF(A328="","",IFERROR(XLOOKUP(A328,Tickets[TripKey],Tickets[VehClean]),""))</f>
        <v/>
      </c>
      <c r="I328">
        <f>IF(A328="","",IFERROR(XLOOKUP(A328,Tickets[TripKey],Tickets[RouteLen]),0))</f>
        <v/>
      </c>
      <c r="J328">
        <f>IF(A328="","",IFERROR(XLOOKUP(A328,Tickets[TripKey],Tickets[Capacity]),0))</f>
        <v/>
      </c>
      <c r="K328">
        <f>IF(A328="","",I328*J328)</f>
        <v/>
      </c>
      <c r="L328">
        <f>IF(A328="","",IFERROR(MINIFS(Tickets[Trip Start Time],Tickets[TripKey],A328),""))</f>
        <v/>
      </c>
    </row>
    <row r="329">
      <c r="B329" s="8">
        <f>IF(A329="","",IFERROR(DATEVALUE(TEXTBEFORE(A329,"|")),--LEFT(A329,10)))</f>
        <v/>
      </c>
      <c r="C329">
        <f>IF(A329="","",TEXTBEFORE(TEXTAFTER(A329,"|"),"|"))</f>
        <v/>
      </c>
      <c r="D329">
        <f>IF(A329="","",TEXTAFTER(A329,"|",2))</f>
        <v/>
      </c>
      <c r="E329">
        <f>IF(A329="","",SUMIF(Tickets[TripKey],A329,Tickets[TP]))</f>
        <v/>
      </c>
      <c r="F329">
        <f>IF(A329="","",SUMIF(Tickets[TripKey],A329,Tickets[Revenue]))</f>
        <v/>
      </c>
      <c r="G329">
        <f>IF(A329="","",SUMIF(Tickets[TripKey],A329,Tickets[PK]))</f>
        <v/>
      </c>
      <c r="H329">
        <f>IF(A329="","",IFERROR(XLOOKUP(A329,Tickets[TripKey],Tickets[VehClean]),""))</f>
        <v/>
      </c>
      <c r="I329">
        <f>IF(A329="","",IFERROR(XLOOKUP(A329,Tickets[TripKey],Tickets[RouteLen]),0))</f>
        <v/>
      </c>
      <c r="J329">
        <f>IF(A329="","",IFERROR(XLOOKUP(A329,Tickets[TripKey],Tickets[Capacity]),0))</f>
        <v/>
      </c>
      <c r="K329">
        <f>IF(A329="","",I329*J329)</f>
        <v/>
      </c>
      <c r="L329">
        <f>IF(A329="","",IFERROR(MINIFS(Tickets[Trip Start Time],Tickets[TripKey],A329),""))</f>
        <v/>
      </c>
    </row>
    <row r="330">
      <c r="B330" s="8">
        <f>IF(A330="","",IFERROR(DATEVALUE(TEXTBEFORE(A330,"|")),--LEFT(A330,10)))</f>
        <v/>
      </c>
      <c r="C330">
        <f>IF(A330="","",TEXTBEFORE(TEXTAFTER(A330,"|"),"|"))</f>
        <v/>
      </c>
      <c r="D330">
        <f>IF(A330="","",TEXTAFTER(A330,"|",2))</f>
        <v/>
      </c>
      <c r="E330">
        <f>IF(A330="","",SUMIF(Tickets[TripKey],A330,Tickets[TP]))</f>
        <v/>
      </c>
      <c r="F330">
        <f>IF(A330="","",SUMIF(Tickets[TripKey],A330,Tickets[Revenue]))</f>
        <v/>
      </c>
      <c r="G330">
        <f>IF(A330="","",SUMIF(Tickets[TripKey],A330,Tickets[PK]))</f>
        <v/>
      </c>
      <c r="H330">
        <f>IF(A330="","",IFERROR(XLOOKUP(A330,Tickets[TripKey],Tickets[VehClean]),""))</f>
        <v/>
      </c>
      <c r="I330">
        <f>IF(A330="","",IFERROR(XLOOKUP(A330,Tickets[TripKey],Tickets[RouteLen]),0))</f>
        <v/>
      </c>
      <c r="J330">
        <f>IF(A330="","",IFERROR(XLOOKUP(A330,Tickets[TripKey],Tickets[Capacity]),0))</f>
        <v/>
      </c>
      <c r="K330">
        <f>IF(A330="","",I330*J330)</f>
        <v/>
      </c>
      <c r="L330">
        <f>IF(A330="","",IFERROR(MINIFS(Tickets[Trip Start Time],Tickets[TripKey],A330),""))</f>
        <v/>
      </c>
    </row>
    <row r="331">
      <c r="B331" s="8">
        <f>IF(A331="","",IFERROR(DATEVALUE(TEXTBEFORE(A331,"|")),--LEFT(A331,10)))</f>
        <v/>
      </c>
      <c r="C331">
        <f>IF(A331="","",TEXTBEFORE(TEXTAFTER(A331,"|"),"|"))</f>
        <v/>
      </c>
      <c r="D331">
        <f>IF(A331="","",TEXTAFTER(A331,"|",2))</f>
        <v/>
      </c>
      <c r="E331">
        <f>IF(A331="","",SUMIF(Tickets[TripKey],A331,Tickets[TP]))</f>
        <v/>
      </c>
      <c r="F331">
        <f>IF(A331="","",SUMIF(Tickets[TripKey],A331,Tickets[Revenue]))</f>
        <v/>
      </c>
      <c r="G331">
        <f>IF(A331="","",SUMIF(Tickets[TripKey],A331,Tickets[PK]))</f>
        <v/>
      </c>
      <c r="H331">
        <f>IF(A331="","",IFERROR(XLOOKUP(A331,Tickets[TripKey],Tickets[VehClean]),""))</f>
        <v/>
      </c>
      <c r="I331">
        <f>IF(A331="","",IFERROR(XLOOKUP(A331,Tickets[TripKey],Tickets[RouteLen]),0))</f>
        <v/>
      </c>
      <c r="J331">
        <f>IF(A331="","",IFERROR(XLOOKUP(A331,Tickets[TripKey],Tickets[Capacity]),0))</f>
        <v/>
      </c>
      <c r="K331">
        <f>IF(A331="","",I331*J331)</f>
        <v/>
      </c>
      <c r="L331">
        <f>IF(A331="","",IFERROR(MINIFS(Tickets[Trip Start Time],Tickets[TripKey],A331),""))</f>
        <v/>
      </c>
    </row>
    <row r="332">
      <c r="B332" s="8">
        <f>IF(A332="","",IFERROR(DATEVALUE(TEXTBEFORE(A332,"|")),--LEFT(A332,10)))</f>
        <v/>
      </c>
      <c r="C332">
        <f>IF(A332="","",TEXTBEFORE(TEXTAFTER(A332,"|"),"|"))</f>
        <v/>
      </c>
      <c r="D332">
        <f>IF(A332="","",TEXTAFTER(A332,"|",2))</f>
        <v/>
      </c>
      <c r="E332">
        <f>IF(A332="","",SUMIF(Tickets[TripKey],A332,Tickets[TP]))</f>
        <v/>
      </c>
      <c r="F332">
        <f>IF(A332="","",SUMIF(Tickets[TripKey],A332,Tickets[Revenue]))</f>
        <v/>
      </c>
      <c r="G332">
        <f>IF(A332="","",SUMIF(Tickets[TripKey],A332,Tickets[PK]))</f>
        <v/>
      </c>
      <c r="H332">
        <f>IF(A332="","",IFERROR(XLOOKUP(A332,Tickets[TripKey],Tickets[VehClean]),""))</f>
        <v/>
      </c>
      <c r="I332">
        <f>IF(A332="","",IFERROR(XLOOKUP(A332,Tickets[TripKey],Tickets[RouteLen]),0))</f>
        <v/>
      </c>
      <c r="J332">
        <f>IF(A332="","",IFERROR(XLOOKUP(A332,Tickets[TripKey],Tickets[Capacity]),0))</f>
        <v/>
      </c>
      <c r="K332">
        <f>IF(A332="","",I332*J332)</f>
        <v/>
      </c>
      <c r="L332">
        <f>IF(A332="","",IFERROR(MINIFS(Tickets[Trip Start Time],Tickets[TripKey],A332),""))</f>
        <v/>
      </c>
    </row>
    <row r="333">
      <c r="B333" s="8">
        <f>IF(A333="","",IFERROR(DATEVALUE(TEXTBEFORE(A333,"|")),--LEFT(A333,10)))</f>
        <v/>
      </c>
      <c r="C333">
        <f>IF(A333="","",TEXTBEFORE(TEXTAFTER(A333,"|"),"|"))</f>
        <v/>
      </c>
      <c r="D333">
        <f>IF(A333="","",TEXTAFTER(A333,"|",2))</f>
        <v/>
      </c>
      <c r="E333">
        <f>IF(A333="","",SUMIF(Tickets[TripKey],A333,Tickets[TP]))</f>
        <v/>
      </c>
      <c r="F333">
        <f>IF(A333="","",SUMIF(Tickets[TripKey],A333,Tickets[Revenue]))</f>
        <v/>
      </c>
      <c r="G333">
        <f>IF(A333="","",SUMIF(Tickets[TripKey],A333,Tickets[PK]))</f>
        <v/>
      </c>
      <c r="H333">
        <f>IF(A333="","",IFERROR(XLOOKUP(A333,Tickets[TripKey],Tickets[VehClean]),""))</f>
        <v/>
      </c>
      <c r="I333">
        <f>IF(A333="","",IFERROR(XLOOKUP(A333,Tickets[TripKey],Tickets[RouteLen]),0))</f>
        <v/>
      </c>
      <c r="J333">
        <f>IF(A333="","",IFERROR(XLOOKUP(A333,Tickets[TripKey],Tickets[Capacity]),0))</f>
        <v/>
      </c>
      <c r="K333">
        <f>IF(A333="","",I333*J333)</f>
        <v/>
      </c>
      <c r="L333">
        <f>IF(A333="","",IFERROR(MINIFS(Tickets[Trip Start Time],Tickets[TripKey],A333),""))</f>
        <v/>
      </c>
    </row>
    <row r="334">
      <c r="B334" s="8">
        <f>IF(A334="","",IFERROR(DATEVALUE(TEXTBEFORE(A334,"|")),--LEFT(A334,10)))</f>
        <v/>
      </c>
      <c r="C334">
        <f>IF(A334="","",TEXTBEFORE(TEXTAFTER(A334,"|"),"|"))</f>
        <v/>
      </c>
      <c r="D334">
        <f>IF(A334="","",TEXTAFTER(A334,"|",2))</f>
        <v/>
      </c>
      <c r="E334">
        <f>IF(A334="","",SUMIF(Tickets[TripKey],A334,Tickets[TP]))</f>
        <v/>
      </c>
      <c r="F334">
        <f>IF(A334="","",SUMIF(Tickets[TripKey],A334,Tickets[Revenue]))</f>
        <v/>
      </c>
      <c r="G334">
        <f>IF(A334="","",SUMIF(Tickets[TripKey],A334,Tickets[PK]))</f>
        <v/>
      </c>
      <c r="H334">
        <f>IF(A334="","",IFERROR(XLOOKUP(A334,Tickets[TripKey],Tickets[VehClean]),""))</f>
        <v/>
      </c>
      <c r="I334">
        <f>IF(A334="","",IFERROR(XLOOKUP(A334,Tickets[TripKey],Tickets[RouteLen]),0))</f>
        <v/>
      </c>
      <c r="J334">
        <f>IF(A334="","",IFERROR(XLOOKUP(A334,Tickets[TripKey],Tickets[Capacity]),0))</f>
        <v/>
      </c>
      <c r="K334">
        <f>IF(A334="","",I334*J334)</f>
        <v/>
      </c>
      <c r="L334">
        <f>IF(A334="","",IFERROR(MINIFS(Tickets[Trip Start Time],Tickets[TripKey],A334),""))</f>
        <v/>
      </c>
    </row>
    <row r="335">
      <c r="B335" s="8">
        <f>IF(A335="","",IFERROR(DATEVALUE(TEXTBEFORE(A335,"|")),--LEFT(A335,10)))</f>
        <v/>
      </c>
      <c r="C335">
        <f>IF(A335="","",TEXTBEFORE(TEXTAFTER(A335,"|"),"|"))</f>
        <v/>
      </c>
      <c r="D335">
        <f>IF(A335="","",TEXTAFTER(A335,"|",2))</f>
        <v/>
      </c>
      <c r="E335">
        <f>IF(A335="","",SUMIF(Tickets[TripKey],A335,Tickets[TP]))</f>
        <v/>
      </c>
      <c r="F335">
        <f>IF(A335="","",SUMIF(Tickets[TripKey],A335,Tickets[Revenue]))</f>
        <v/>
      </c>
      <c r="G335">
        <f>IF(A335="","",SUMIF(Tickets[TripKey],A335,Tickets[PK]))</f>
        <v/>
      </c>
      <c r="H335">
        <f>IF(A335="","",IFERROR(XLOOKUP(A335,Tickets[TripKey],Tickets[VehClean]),""))</f>
        <v/>
      </c>
      <c r="I335">
        <f>IF(A335="","",IFERROR(XLOOKUP(A335,Tickets[TripKey],Tickets[RouteLen]),0))</f>
        <v/>
      </c>
      <c r="J335">
        <f>IF(A335="","",IFERROR(XLOOKUP(A335,Tickets[TripKey],Tickets[Capacity]),0))</f>
        <v/>
      </c>
      <c r="K335">
        <f>IF(A335="","",I335*J335)</f>
        <v/>
      </c>
      <c r="L335">
        <f>IF(A335="","",IFERROR(MINIFS(Tickets[Trip Start Time],Tickets[TripKey],A335),""))</f>
        <v/>
      </c>
    </row>
    <row r="336">
      <c r="B336" s="8">
        <f>IF(A336="","",IFERROR(DATEVALUE(TEXTBEFORE(A336,"|")),--LEFT(A336,10)))</f>
        <v/>
      </c>
      <c r="C336">
        <f>IF(A336="","",TEXTBEFORE(TEXTAFTER(A336,"|"),"|"))</f>
        <v/>
      </c>
      <c r="D336">
        <f>IF(A336="","",TEXTAFTER(A336,"|",2))</f>
        <v/>
      </c>
      <c r="E336">
        <f>IF(A336="","",SUMIF(Tickets[TripKey],A336,Tickets[TP]))</f>
        <v/>
      </c>
      <c r="F336">
        <f>IF(A336="","",SUMIF(Tickets[TripKey],A336,Tickets[Revenue]))</f>
        <v/>
      </c>
      <c r="G336">
        <f>IF(A336="","",SUMIF(Tickets[TripKey],A336,Tickets[PK]))</f>
        <v/>
      </c>
      <c r="H336">
        <f>IF(A336="","",IFERROR(XLOOKUP(A336,Tickets[TripKey],Tickets[VehClean]),""))</f>
        <v/>
      </c>
      <c r="I336">
        <f>IF(A336="","",IFERROR(XLOOKUP(A336,Tickets[TripKey],Tickets[RouteLen]),0))</f>
        <v/>
      </c>
      <c r="J336">
        <f>IF(A336="","",IFERROR(XLOOKUP(A336,Tickets[TripKey],Tickets[Capacity]),0))</f>
        <v/>
      </c>
      <c r="K336">
        <f>IF(A336="","",I336*J336)</f>
        <v/>
      </c>
      <c r="L336">
        <f>IF(A336="","",IFERROR(MINIFS(Tickets[Trip Start Time],Tickets[TripKey],A336),""))</f>
        <v/>
      </c>
    </row>
    <row r="337">
      <c r="B337" s="8">
        <f>IF(A337="","",IFERROR(DATEVALUE(TEXTBEFORE(A337,"|")),--LEFT(A337,10)))</f>
        <v/>
      </c>
      <c r="C337">
        <f>IF(A337="","",TEXTBEFORE(TEXTAFTER(A337,"|"),"|"))</f>
        <v/>
      </c>
      <c r="D337">
        <f>IF(A337="","",TEXTAFTER(A337,"|",2))</f>
        <v/>
      </c>
      <c r="E337">
        <f>IF(A337="","",SUMIF(Tickets[TripKey],A337,Tickets[TP]))</f>
        <v/>
      </c>
      <c r="F337">
        <f>IF(A337="","",SUMIF(Tickets[TripKey],A337,Tickets[Revenue]))</f>
        <v/>
      </c>
      <c r="G337">
        <f>IF(A337="","",SUMIF(Tickets[TripKey],A337,Tickets[PK]))</f>
        <v/>
      </c>
      <c r="H337">
        <f>IF(A337="","",IFERROR(XLOOKUP(A337,Tickets[TripKey],Tickets[VehClean]),""))</f>
        <v/>
      </c>
      <c r="I337">
        <f>IF(A337="","",IFERROR(XLOOKUP(A337,Tickets[TripKey],Tickets[RouteLen]),0))</f>
        <v/>
      </c>
      <c r="J337">
        <f>IF(A337="","",IFERROR(XLOOKUP(A337,Tickets[TripKey],Tickets[Capacity]),0))</f>
        <v/>
      </c>
      <c r="K337">
        <f>IF(A337="","",I337*J337)</f>
        <v/>
      </c>
      <c r="L337">
        <f>IF(A337="","",IFERROR(MINIFS(Tickets[Trip Start Time],Tickets[TripKey],A337),""))</f>
        <v/>
      </c>
    </row>
    <row r="338">
      <c r="B338" s="8">
        <f>IF(A338="","",IFERROR(DATEVALUE(TEXTBEFORE(A338,"|")),--LEFT(A338,10)))</f>
        <v/>
      </c>
      <c r="C338">
        <f>IF(A338="","",TEXTBEFORE(TEXTAFTER(A338,"|"),"|"))</f>
        <v/>
      </c>
      <c r="D338">
        <f>IF(A338="","",TEXTAFTER(A338,"|",2))</f>
        <v/>
      </c>
      <c r="E338">
        <f>IF(A338="","",SUMIF(Tickets[TripKey],A338,Tickets[TP]))</f>
        <v/>
      </c>
      <c r="F338">
        <f>IF(A338="","",SUMIF(Tickets[TripKey],A338,Tickets[Revenue]))</f>
        <v/>
      </c>
      <c r="G338">
        <f>IF(A338="","",SUMIF(Tickets[TripKey],A338,Tickets[PK]))</f>
        <v/>
      </c>
      <c r="H338">
        <f>IF(A338="","",IFERROR(XLOOKUP(A338,Tickets[TripKey],Tickets[VehClean]),""))</f>
        <v/>
      </c>
      <c r="I338">
        <f>IF(A338="","",IFERROR(XLOOKUP(A338,Tickets[TripKey],Tickets[RouteLen]),0))</f>
        <v/>
      </c>
      <c r="J338">
        <f>IF(A338="","",IFERROR(XLOOKUP(A338,Tickets[TripKey],Tickets[Capacity]),0))</f>
        <v/>
      </c>
      <c r="K338">
        <f>IF(A338="","",I338*J338)</f>
        <v/>
      </c>
      <c r="L338">
        <f>IF(A338="","",IFERROR(MINIFS(Tickets[Trip Start Time],Tickets[TripKey],A338),""))</f>
        <v/>
      </c>
    </row>
    <row r="339">
      <c r="B339" s="8">
        <f>IF(A339="","",IFERROR(DATEVALUE(TEXTBEFORE(A339,"|")),--LEFT(A339,10)))</f>
        <v/>
      </c>
      <c r="C339">
        <f>IF(A339="","",TEXTBEFORE(TEXTAFTER(A339,"|"),"|"))</f>
        <v/>
      </c>
      <c r="D339">
        <f>IF(A339="","",TEXTAFTER(A339,"|",2))</f>
        <v/>
      </c>
      <c r="E339">
        <f>IF(A339="","",SUMIF(Tickets[TripKey],A339,Tickets[TP]))</f>
        <v/>
      </c>
      <c r="F339">
        <f>IF(A339="","",SUMIF(Tickets[TripKey],A339,Tickets[Revenue]))</f>
        <v/>
      </c>
      <c r="G339">
        <f>IF(A339="","",SUMIF(Tickets[TripKey],A339,Tickets[PK]))</f>
        <v/>
      </c>
      <c r="H339">
        <f>IF(A339="","",IFERROR(XLOOKUP(A339,Tickets[TripKey],Tickets[VehClean]),""))</f>
        <v/>
      </c>
      <c r="I339">
        <f>IF(A339="","",IFERROR(XLOOKUP(A339,Tickets[TripKey],Tickets[RouteLen]),0))</f>
        <v/>
      </c>
      <c r="J339">
        <f>IF(A339="","",IFERROR(XLOOKUP(A339,Tickets[TripKey],Tickets[Capacity]),0))</f>
        <v/>
      </c>
      <c r="K339">
        <f>IF(A339="","",I339*J339)</f>
        <v/>
      </c>
      <c r="L339">
        <f>IF(A339="","",IFERROR(MINIFS(Tickets[Trip Start Time],Tickets[TripKey],A339),""))</f>
        <v/>
      </c>
    </row>
    <row r="340">
      <c r="B340" s="8">
        <f>IF(A340="","",IFERROR(DATEVALUE(TEXTBEFORE(A340,"|")),--LEFT(A340,10)))</f>
        <v/>
      </c>
      <c r="C340">
        <f>IF(A340="","",TEXTBEFORE(TEXTAFTER(A340,"|"),"|"))</f>
        <v/>
      </c>
      <c r="D340">
        <f>IF(A340="","",TEXTAFTER(A340,"|",2))</f>
        <v/>
      </c>
      <c r="E340">
        <f>IF(A340="","",SUMIF(Tickets[TripKey],A340,Tickets[TP]))</f>
        <v/>
      </c>
      <c r="F340">
        <f>IF(A340="","",SUMIF(Tickets[TripKey],A340,Tickets[Revenue]))</f>
        <v/>
      </c>
      <c r="G340">
        <f>IF(A340="","",SUMIF(Tickets[TripKey],A340,Tickets[PK]))</f>
        <v/>
      </c>
      <c r="H340">
        <f>IF(A340="","",IFERROR(XLOOKUP(A340,Tickets[TripKey],Tickets[VehClean]),""))</f>
        <v/>
      </c>
      <c r="I340">
        <f>IF(A340="","",IFERROR(XLOOKUP(A340,Tickets[TripKey],Tickets[RouteLen]),0))</f>
        <v/>
      </c>
      <c r="J340">
        <f>IF(A340="","",IFERROR(XLOOKUP(A340,Tickets[TripKey],Tickets[Capacity]),0))</f>
        <v/>
      </c>
      <c r="K340">
        <f>IF(A340="","",I340*J340)</f>
        <v/>
      </c>
      <c r="L340">
        <f>IF(A340="","",IFERROR(MINIFS(Tickets[Trip Start Time],Tickets[TripKey],A340),""))</f>
        <v/>
      </c>
    </row>
    <row r="341">
      <c r="B341" s="8">
        <f>IF(A341="","",IFERROR(DATEVALUE(TEXTBEFORE(A341,"|")),--LEFT(A341,10)))</f>
        <v/>
      </c>
      <c r="C341">
        <f>IF(A341="","",TEXTBEFORE(TEXTAFTER(A341,"|"),"|"))</f>
        <v/>
      </c>
      <c r="D341">
        <f>IF(A341="","",TEXTAFTER(A341,"|",2))</f>
        <v/>
      </c>
      <c r="E341">
        <f>IF(A341="","",SUMIF(Tickets[TripKey],A341,Tickets[TP]))</f>
        <v/>
      </c>
      <c r="F341">
        <f>IF(A341="","",SUMIF(Tickets[TripKey],A341,Tickets[Revenue]))</f>
        <v/>
      </c>
      <c r="G341">
        <f>IF(A341="","",SUMIF(Tickets[TripKey],A341,Tickets[PK]))</f>
        <v/>
      </c>
      <c r="H341">
        <f>IF(A341="","",IFERROR(XLOOKUP(A341,Tickets[TripKey],Tickets[VehClean]),""))</f>
        <v/>
      </c>
      <c r="I341">
        <f>IF(A341="","",IFERROR(XLOOKUP(A341,Tickets[TripKey],Tickets[RouteLen]),0))</f>
        <v/>
      </c>
      <c r="J341">
        <f>IF(A341="","",IFERROR(XLOOKUP(A341,Tickets[TripKey],Tickets[Capacity]),0))</f>
        <v/>
      </c>
      <c r="K341">
        <f>IF(A341="","",I341*J341)</f>
        <v/>
      </c>
      <c r="L341">
        <f>IF(A341="","",IFERROR(MINIFS(Tickets[Trip Start Time],Tickets[TripKey],A341),""))</f>
        <v/>
      </c>
    </row>
    <row r="342">
      <c r="B342" s="8">
        <f>IF(A342="","",IFERROR(DATEVALUE(TEXTBEFORE(A342,"|")),--LEFT(A342,10)))</f>
        <v/>
      </c>
      <c r="C342">
        <f>IF(A342="","",TEXTBEFORE(TEXTAFTER(A342,"|"),"|"))</f>
        <v/>
      </c>
      <c r="D342">
        <f>IF(A342="","",TEXTAFTER(A342,"|",2))</f>
        <v/>
      </c>
      <c r="E342">
        <f>IF(A342="","",SUMIF(Tickets[TripKey],A342,Tickets[TP]))</f>
        <v/>
      </c>
      <c r="F342">
        <f>IF(A342="","",SUMIF(Tickets[TripKey],A342,Tickets[Revenue]))</f>
        <v/>
      </c>
      <c r="G342">
        <f>IF(A342="","",SUMIF(Tickets[TripKey],A342,Tickets[PK]))</f>
        <v/>
      </c>
      <c r="H342">
        <f>IF(A342="","",IFERROR(XLOOKUP(A342,Tickets[TripKey],Tickets[VehClean]),""))</f>
        <v/>
      </c>
      <c r="I342">
        <f>IF(A342="","",IFERROR(XLOOKUP(A342,Tickets[TripKey],Tickets[RouteLen]),0))</f>
        <v/>
      </c>
      <c r="J342">
        <f>IF(A342="","",IFERROR(XLOOKUP(A342,Tickets[TripKey],Tickets[Capacity]),0))</f>
        <v/>
      </c>
      <c r="K342">
        <f>IF(A342="","",I342*J342)</f>
        <v/>
      </c>
      <c r="L342">
        <f>IF(A342="","",IFERROR(MINIFS(Tickets[Trip Start Time],Tickets[TripKey],A342),""))</f>
        <v/>
      </c>
    </row>
    <row r="343">
      <c r="B343" s="8">
        <f>IF(A343="","",IFERROR(DATEVALUE(TEXTBEFORE(A343,"|")),--LEFT(A343,10)))</f>
        <v/>
      </c>
      <c r="C343">
        <f>IF(A343="","",TEXTBEFORE(TEXTAFTER(A343,"|"),"|"))</f>
        <v/>
      </c>
      <c r="D343">
        <f>IF(A343="","",TEXTAFTER(A343,"|",2))</f>
        <v/>
      </c>
      <c r="E343">
        <f>IF(A343="","",SUMIF(Tickets[TripKey],A343,Tickets[TP]))</f>
        <v/>
      </c>
      <c r="F343">
        <f>IF(A343="","",SUMIF(Tickets[TripKey],A343,Tickets[Revenue]))</f>
        <v/>
      </c>
      <c r="G343">
        <f>IF(A343="","",SUMIF(Tickets[TripKey],A343,Tickets[PK]))</f>
        <v/>
      </c>
      <c r="H343">
        <f>IF(A343="","",IFERROR(XLOOKUP(A343,Tickets[TripKey],Tickets[VehClean]),""))</f>
        <v/>
      </c>
      <c r="I343">
        <f>IF(A343="","",IFERROR(XLOOKUP(A343,Tickets[TripKey],Tickets[RouteLen]),0))</f>
        <v/>
      </c>
      <c r="J343">
        <f>IF(A343="","",IFERROR(XLOOKUP(A343,Tickets[TripKey],Tickets[Capacity]),0))</f>
        <v/>
      </c>
      <c r="K343">
        <f>IF(A343="","",I343*J343)</f>
        <v/>
      </c>
      <c r="L343">
        <f>IF(A343="","",IFERROR(MINIFS(Tickets[Trip Start Time],Tickets[TripKey],A343),""))</f>
        <v/>
      </c>
    </row>
    <row r="344">
      <c r="B344" s="8">
        <f>IF(A344="","",IFERROR(DATEVALUE(TEXTBEFORE(A344,"|")),--LEFT(A344,10)))</f>
        <v/>
      </c>
      <c r="C344">
        <f>IF(A344="","",TEXTBEFORE(TEXTAFTER(A344,"|"),"|"))</f>
        <v/>
      </c>
      <c r="D344">
        <f>IF(A344="","",TEXTAFTER(A344,"|",2))</f>
        <v/>
      </c>
      <c r="E344">
        <f>IF(A344="","",SUMIF(Tickets[TripKey],A344,Tickets[TP]))</f>
        <v/>
      </c>
      <c r="F344">
        <f>IF(A344="","",SUMIF(Tickets[TripKey],A344,Tickets[Revenue]))</f>
        <v/>
      </c>
      <c r="G344">
        <f>IF(A344="","",SUMIF(Tickets[TripKey],A344,Tickets[PK]))</f>
        <v/>
      </c>
      <c r="H344">
        <f>IF(A344="","",IFERROR(XLOOKUP(A344,Tickets[TripKey],Tickets[VehClean]),""))</f>
        <v/>
      </c>
      <c r="I344">
        <f>IF(A344="","",IFERROR(XLOOKUP(A344,Tickets[TripKey],Tickets[RouteLen]),0))</f>
        <v/>
      </c>
      <c r="J344">
        <f>IF(A344="","",IFERROR(XLOOKUP(A344,Tickets[TripKey],Tickets[Capacity]),0))</f>
        <v/>
      </c>
      <c r="K344">
        <f>IF(A344="","",I344*J344)</f>
        <v/>
      </c>
      <c r="L344">
        <f>IF(A344="","",IFERROR(MINIFS(Tickets[Trip Start Time],Tickets[TripKey],A344),""))</f>
        <v/>
      </c>
    </row>
    <row r="345">
      <c r="B345" s="8">
        <f>IF(A345="","",IFERROR(DATEVALUE(TEXTBEFORE(A345,"|")),--LEFT(A345,10)))</f>
        <v/>
      </c>
      <c r="C345">
        <f>IF(A345="","",TEXTBEFORE(TEXTAFTER(A345,"|"),"|"))</f>
        <v/>
      </c>
      <c r="D345">
        <f>IF(A345="","",TEXTAFTER(A345,"|",2))</f>
        <v/>
      </c>
      <c r="E345">
        <f>IF(A345="","",SUMIF(Tickets[TripKey],A345,Tickets[TP]))</f>
        <v/>
      </c>
      <c r="F345">
        <f>IF(A345="","",SUMIF(Tickets[TripKey],A345,Tickets[Revenue]))</f>
        <v/>
      </c>
      <c r="G345">
        <f>IF(A345="","",SUMIF(Tickets[TripKey],A345,Tickets[PK]))</f>
        <v/>
      </c>
      <c r="H345">
        <f>IF(A345="","",IFERROR(XLOOKUP(A345,Tickets[TripKey],Tickets[VehClean]),""))</f>
        <v/>
      </c>
      <c r="I345">
        <f>IF(A345="","",IFERROR(XLOOKUP(A345,Tickets[TripKey],Tickets[RouteLen]),0))</f>
        <v/>
      </c>
      <c r="J345">
        <f>IF(A345="","",IFERROR(XLOOKUP(A345,Tickets[TripKey],Tickets[Capacity]),0))</f>
        <v/>
      </c>
      <c r="K345">
        <f>IF(A345="","",I345*J345)</f>
        <v/>
      </c>
      <c r="L345">
        <f>IF(A345="","",IFERROR(MINIFS(Tickets[Trip Start Time],Tickets[TripKey],A345),""))</f>
        <v/>
      </c>
    </row>
    <row r="346">
      <c r="B346" s="8">
        <f>IF(A346="","",IFERROR(DATEVALUE(TEXTBEFORE(A346,"|")),--LEFT(A346,10)))</f>
        <v/>
      </c>
      <c r="C346">
        <f>IF(A346="","",TEXTBEFORE(TEXTAFTER(A346,"|"),"|"))</f>
        <v/>
      </c>
      <c r="D346">
        <f>IF(A346="","",TEXTAFTER(A346,"|",2))</f>
        <v/>
      </c>
      <c r="E346">
        <f>IF(A346="","",SUMIF(Tickets[TripKey],A346,Tickets[TP]))</f>
        <v/>
      </c>
      <c r="F346">
        <f>IF(A346="","",SUMIF(Tickets[TripKey],A346,Tickets[Revenue]))</f>
        <v/>
      </c>
      <c r="G346">
        <f>IF(A346="","",SUMIF(Tickets[TripKey],A346,Tickets[PK]))</f>
        <v/>
      </c>
      <c r="H346">
        <f>IF(A346="","",IFERROR(XLOOKUP(A346,Tickets[TripKey],Tickets[VehClean]),""))</f>
        <v/>
      </c>
      <c r="I346">
        <f>IF(A346="","",IFERROR(XLOOKUP(A346,Tickets[TripKey],Tickets[RouteLen]),0))</f>
        <v/>
      </c>
      <c r="J346">
        <f>IF(A346="","",IFERROR(XLOOKUP(A346,Tickets[TripKey],Tickets[Capacity]),0))</f>
        <v/>
      </c>
      <c r="K346">
        <f>IF(A346="","",I346*J346)</f>
        <v/>
      </c>
      <c r="L346">
        <f>IF(A346="","",IFERROR(MINIFS(Tickets[Trip Start Time],Tickets[TripKey],A346),""))</f>
        <v/>
      </c>
    </row>
    <row r="347">
      <c r="B347" s="8">
        <f>IF(A347="","",IFERROR(DATEVALUE(TEXTBEFORE(A347,"|")),--LEFT(A347,10)))</f>
        <v/>
      </c>
      <c r="C347">
        <f>IF(A347="","",TEXTBEFORE(TEXTAFTER(A347,"|"),"|"))</f>
        <v/>
      </c>
      <c r="D347">
        <f>IF(A347="","",TEXTAFTER(A347,"|",2))</f>
        <v/>
      </c>
      <c r="E347">
        <f>IF(A347="","",SUMIF(Tickets[TripKey],A347,Tickets[TP]))</f>
        <v/>
      </c>
      <c r="F347">
        <f>IF(A347="","",SUMIF(Tickets[TripKey],A347,Tickets[Revenue]))</f>
        <v/>
      </c>
      <c r="G347">
        <f>IF(A347="","",SUMIF(Tickets[TripKey],A347,Tickets[PK]))</f>
        <v/>
      </c>
      <c r="H347">
        <f>IF(A347="","",IFERROR(XLOOKUP(A347,Tickets[TripKey],Tickets[VehClean]),""))</f>
        <v/>
      </c>
      <c r="I347">
        <f>IF(A347="","",IFERROR(XLOOKUP(A347,Tickets[TripKey],Tickets[RouteLen]),0))</f>
        <v/>
      </c>
      <c r="J347">
        <f>IF(A347="","",IFERROR(XLOOKUP(A347,Tickets[TripKey],Tickets[Capacity]),0))</f>
        <v/>
      </c>
      <c r="K347">
        <f>IF(A347="","",I347*J347)</f>
        <v/>
      </c>
      <c r="L347">
        <f>IF(A347="","",IFERROR(MINIFS(Tickets[Trip Start Time],Tickets[TripKey],A347),""))</f>
        <v/>
      </c>
    </row>
    <row r="348">
      <c r="B348" s="8">
        <f>IF(A348="","",IFERROR(DATEVALUE(TEXTBEFORE(A348,"|")),--LEFT(A348,10)))</f>
        <v/>
      </c>
      <c r="C348">
        <f>IF(A348="","",TEXTBEFORE(TEXTAFTER(A348,"|"),"|"))</f>
        <v/>
      </c>
      <c r="D348">
        <f>IF(A348="","",TEXTAFTER(A348,"|",2))</f>
        <v/>
      </c>
      <c r="E348">
        <f>IF(A348="","",SUMIF(Tickets[TripKey],A348,Tickets[TP]))</f>
        <v/>
      </c>
      <c r="F348">
        <f>IF(A348="","",SUMIF(Tickets[TripKey],A348,Tickets[Revenue]))</f>
        <v/>
      </c>
      <c r="G348">
        <f>IF(A348="","",SUMIF(Tickets[TripKey],A348,Tickets[PK]))</f>
        <v/>
      </c>
      <c r="H348">
        <f>IF(A348="","",IFERROR(XLOOKUP(A348,Tickets[TripKey],Tickets[VehClean]),""))</f>
        <v/>
      </c>
      <c r="I348">
        <f>IF(A348="","",IFERROR(XLOOKUP(A348,Tickets[TripKey],Tickets[RouteLen]),0))</f>
        <v/>
      </c>
      <c r="J348">
        <f>IF(A348="","",IFERROR(XLOOKUP(A348,Tickets[TripKey],Tickets[Capacity]),0))</f>
        <v/>
      </c>
      <c r="K348">
        <f>IF(A348="","",I348*J348)</f>
        <v/>
      </c>
      <c r="L348">
        <f>IF(A348="","",IFERROR(MINIFS(Tickets[Trip Start Time],Tickets[TripKey],A348),""))</f>
        <v/>
      </c>
    </row>
    <row r="349">
      <c r="B349" s="8">
        <f>IF(A349="","",IFERROR(DATEVALUE(TEXTBEFORE(A349,"|")),--LEFT(A349,10)))</f>
        <v/>
      </c>
      <c r="C349">
        <f>IF(A349="","",TEXTBEFORE(TEXTAFTER(A349,"|"),"|"))</f>
        <v/>
      </c>
      <c r="D349">
        <f>IF(A349="","",TEXTAFTER(A349,"|",2))</f>
        <v/>
      </c>
      <c r="E349">
        <f>IF(A349="","",SUMIF(Tickets[TripKey],A349,Tickets[TP]))</f>
        <v/>
      </c>
      <c r="F349">
        <f>IF(A349="","",SUMIF(Tickets[TripKey],A349,Tickets[Revenue]))</f>
        <v/>
      </c>
      <c r="G349">
        <f>IF(A349="","",SUMIF(Tickets[TripKey],A349,Tickets[PK]))</f>
        <v/>
      </c>
      <c r="H349">
        <f>IF(A349="","",IFERROR(XLOOKUP(A349,Tickets[TripKey],Tickets[VehClean]),""))</f>
        <v/>
      </c>
      <c r="I349">
        <f>IF(A349="","",IFERROR(XLOOKUP(A349,Tickets[TripKey],Tickets[RouteLen]),0))</f>
        <v/>
      </c>
      <c r="J349">
        <f>IF(A349="","",IFERROR(XLOOKUP(A349,Tickets[TripKey],Tickets[Capacity]),0))</f>
        <v/>
      </c>
      <c r="K349">
        <f>IF(A349="","",I349*J349)</f>
        <v/>
      </c>
      <c r="L349">
        <f>IF(A349="","",IFERROR(MINIFS(Tickets[Trip Start Time],Tickets[TripKey],A349),""))</f>
        <v/>
      </c>
    </row>
    <row r="350">
      <c r="B350" s="8">
        <f>IF(A350="","",IFERROR(DATEVALUE(TEXTBEFORE(A350,"|")),--LEFT(A350,10)))</f>
        <v/>
      </c>
      <c r="C350">
        <f>IF(A350="","",TEXTBEFORE(TEXTAFTER(A350,"|"),"|"))</f>
        <v/>
      </c>
      <c r="D350">
        <f>IF(A350="","",TEXTAFTER(A350,"|",2))</f>
        <v/>
      </c>
      <c r="E350">
        <f>IF(A350="","",SUMIF(Tickets[TripKey],A350,Tickets[TP]))</f>
        <v/>
      </c>
      <c r="F350">
        <f>IF(A350="","",SUMIF(Tickets[TripKey],A350,Tickets[Revenue]))</f>
        <v/>
      </c>
      <c r="G350">
        <f>IF(A350="","",SUMIF(Tickets[TripKey],A350,Tickets[PK]))</f>
        <v/>
      </c>
      <c r="H350">
        <f>IF(A350="","",IFERROR(XLOOKUP(A350,Tickets[TripKey],Tickets[VehClean]),""))</f>
        <v/>
      </c>
      <c r="I350">
        <f>IF(A350="","",IFERROR(XLOOKUP(A350,Tickets[TripKey],Tickets[RouteLen]),0))</f>
        <v/>
      </c>
      <c r="J350">
        <f>IF(A350="","",IFERROR(XLOOKUP(A350,Tickets[TripKey],Tickets[Capacity]),0))</f>
        <v/>
      </c>
      <c r="K350">
        <f>IF(A350="","",I350*J350)</f>
        <v/>
      </c>
      <c r="L350">
        <f>IF(A350="","",IFERROR(MINIFS(Tickets[Trip Start Time],Tickets[TripKey],A350),""))</f>
        <v/>
      </c>
    </row>
    <row r="351">
      <c r="B351" s="8">
        <f>IF(A351="","",IFERROR(DATEVALUE(TEXTBEFORE(A351,"|")),--LEFT(A351,10)))</f>
        <v/>
      </c>
      <c r="C351">
        <f>IF(A351="","",TEXTBEFORE(TEXTAFTER(A351,"|"),"|"))</f>
        <v/>
      </c>
      <c r="D351">
        <f>IF(A351="","",TEXTAFTER(A351,"|",2))</f>
        <v/>
      </c>
      <c r="E351">
        <f>IF(A351="","",SUMIF(Tickets[TripKey],A351,Tickets[TP]))</f>
        <v/>
      </c>
      <c r="F351">
        <f>IF(A351="","",SUMIF(Tickets[TripKey],A351,Tickets[Revenue]))</f>
        <v/>
      </c>
      <c r="G351">
        <f>IF(A351="","",SUMIF(Tickets[TripKey],A351,Tickets[PK]))</f>
        <v/>
      </c>
      <c r="H351">
        <f>IF(A351="","",IFERROR(XLOOKUP(A351,Tickets[TripKey],Tickets[VehClean]),""))</f>
        <v/>
      </c>
      <c r="I351">
        <f>IF(A351="","",IFERROR(XLOOKUP(A351,Tickets[TripKey],Tickets[RouteLen]),0))</f>
        <v/>
      </c>
      <c r="J351">
        <f>IF(A351="","",IFERROR(XLOOKUP(A351,Tickets[TripKey],Tickets[Capacity]),0))</f>
        <v/>
      </c>
      <c r="K351">
        <f>IF(A351="","",I351*J351)</f>
        <v/>
      </c>
      <c r="L351">
        <f>IF(A351="","",IFERROR(MINIFS(Tickets[Trip Start Time],Tickets[TripKey],A351),""))</f>
        <v/>
      </c>
    </row>
    <row r="352">
      <c r="B352" s="8">
        <f>IF(A352="","",IFERROR(DATEVALUE(TEXTBEFORE(A352,"|")),--LEFT(A352,10)))</f>
        <v/>
      </c>
      <c r="C352">
        <f>IF(A352="","",TEXTBEFORE(TEXTAFTER(A352,"|"),"|"))</f>
        <v/>
      </c>
      <c r="D352">
        <f>IF(A352="","",TEXTAFTER(A352,"|",2))</f>
        <v/>
      </c>
      <c r="E352">
        <f>IF(A352="","",SUMIF(Tickets[TripKey],A352,Tickets[TP]))</f>
        <v/>
      </c>
      <c r="F352">
        <f>IF(A352="","",SUMIF(Tickets[TripKey],A352,Tickets[Revenue]))</f>
        <v/>
      </c>
      <c r="G352">
        <f>IF(A352="","",SUMIF(Tickets[TripKey],A352,Tickets[PK]))</f>
        <v/>
      </c>
      <c r="H352">
        <f>IF(A352="","",IFERROR(XLOOKUP(A352,Tickets[TripKey],Tickets[VehClean]),""))</f>
        <v/>
      </c>
      <c r="I352">
        <f>IF(A352="","",IFERROR(XLOOKUP(A352,Tickets[TripKey],Tickets[RouteLen]),0))</f>
        <v/>
      </c>
      <c r="J352">
        <f>IF(A352="","",IFERROR(XLOOKUP(A352,Tickets[TripKey],Tickets[Capacity]),0))</f>
        <v/>
      </c>
      <c r="K352">
        <f>IF(A352="","",I352*J352)</f>
        <v/>
      </c>
      <c r="L352">
        <f>IF(A352="","",IFERROR(MINIFS(Tickets[Trip Start Time],Tickets[TripKey],A352),""))</f>
        <v/>
      </c>
    </row>
    <row r="353">
      <c r="B353" s="8">
        <f>IF(A353="","",IFERROR(DATEVALUE(TEXTBEFORE(A353,"|")),--LEFT(A353,10)))</f>
        <v/>
      </c>
      <c r="C353">
        <f>IF(A353="","",TEXTBEFORE(TEXTAFTER(A353,"|"),"|"))</f>
        <v/>
      </c>
      <c r="D353">
        <f>IF(A353="","",TEXTAFTER(A353,"|",2))</f>
        <v/>
      </c>
      <c r="E353">
        <f>IF(A353="","",SUMIF(Tickets[TripKey],A353,Tickets[TP]))</f>
        <v/>
      </c>
      <c r="F353">
        <f>IF(A353="","",SUMIF(Tickets[TripKey],A353,Tickets[Revenue]))</f>
        <v/>
      </c>
      <c r="G353">
        <f>IF(A353="","",SUMIF(Tickets[TripKey],A353,Tickets[PK]))</f>
        <v/>
      </c>
      <c r="H353">
        <f>IF(A353="","",IFERROR(XLOOKUP(A353,Tickets[TripKey],Tickets[VehClean]),""))</f>
        <v/>
      </c>
      <c r="I353">
        <f>IF(A353="","",IFERROR(XLOOKUP(A353,Tickets[TripKey],Tickets[RouteLen]),0))</f>
        <v/>
      </c>
      <c r="J353">
        <f>IF(A353="","",IFERROR(XLOOKUP(A353,Tickets[TripKey],Tickets[Capacity]),0))</f>
        <v/>
      </c>
      <c r="K353">
        <f>IF(A353="","",I353*J353)</f>
        <v/>
      </c>
      <c r="L353">
        <f>IF(A353="","",IFERROR(MINIFS(Tickets[Trip Start Time],Tickets[TripKey],A353),""))</f>
        <v/>
      </c>
    </row>
    <row r="354">
      <c r="B354" s="8">
        <f>IF(A354="","",IFERROR(DATEVALUE(TEXTBEFORE(A354,"|")),--LEFT(A354,10)))</f>
        <v/>
      </c>
      <c r="C354">
        <f>IF(A354="","",TEXTBEFORE(TEXTAFTER(A354,"|"),"|"))</f>
        <v/>
      </c>
      <c r="D354">
        <f>IF(A354="","",TEXTAFTER(A354,"|",2))</f>
        <v/>
      </c>
      <c r="E354">
        <f>IF(A354="","",SUMIF(Tickets[TripKey],A354,Tickets[TP]))</f>
        <v/>
      </c>
      <c r="F354">
        <f>IF(A354="","",SUMIF(Tickets[TripKey],A354,Tickets[Revenue]))</f>
        <v/>
      </c>
      <c r="G354">
        <f>IF(A354="","",SUMIF(Tickets[TripKey],A354,Tickets[PK]))</f>
        <v/>
      </c>
      <c r="H354">
        <f>IF(A354="","",IFERROR(XLOOKUP(A354,Tickets[TripKey],Tickets[VehClean]),""))</f>
        <v/>
      </c>
      <c r="I354">
        <f>IF(A354="","",IFERROR(XLOOKUP(A354,Tickets[TripKey],Tickets[RouteLen]),0))</f>
        <v/>
      </c>
      <c r="J354">
        <f>IF(A354="","",IFERROR(XLOOKUP(A354,Tickets[TripKey],Tickets[Capacity]),0))</f>
        <v/>
      </c>
      <c r="K354">
        <f>IF(A354="","",I354*J354)</f>
        <v/>
      </c>
      <c r="L354">
        <f>IF(A354="","",IFERROR(MINIFS(Tickets[Trip Start Time],Tickets[TripKey],A354),""))</f>
        <v/>
      </c>
    </row>
    <row r="355">
      <c r="B355" s="8">
        <f>IF(A355="","",IFERROR(DATEVALUE(TEXTBEFORE(A355,"|")),--LEFT(A355,10)))</f>
        <v/>
      </c>
      <c r="C355">
        <f>IF(A355="","",TEXTBEFORE(TEXTAFTER(A355,"|"),"|"))</f>
        <v/>
      </c>
      <c r="D355">
        <f>IF(A355="","",TEXTAFTER(A355,"|",2))</f>
        <v/>
      </c>
      <c r="E355">
        <f>IF(A355="","",SUMIF(Tickets[TripKey],A355,Tickets[TP]))</f>
        <v/>
      </c>
      <c r="F355">
        <f>IF(A355="","",SUMIF(Tickets[TripKey],A355,Tickets[Revenue]))</f>
        <v/>
      </c>
      <c r="G355">
        <f>IF(A355="","",SUMIF(Tickets[TripKey],A355,Tickets[PK]))</f>
        <v/>
      </c>
      <c r="H355">
        <f>IF(A355="","",IFERROR(XLOOKUP(A355,Tickets[TripKey],Tickets[VehClean]),""))</f>
        <v/>
      </c>
      <c r="I355">
        <f>IF(A355="","",IFERROR(XLOOKUP(A355,Tickets[TripKey],Tickets[RouteLen]),0))</f>
        <v/>
      </c>
      <c r="J355">
        <f>IF(A355="","",IFERROR(XLOOKUP(A355,Tickets[TripKey],Tickets[Capacity]),0))</f>
        <v/>
      </c>
      <c r="K355">
        <f>IF(A355="","",I355*J355)</f>
        <v/>
      </c>
      <c r="L355">
        <f>IF(A355="","",IFERROR(MINIFS(Tickets[Trip Start Time],Tickets[TripKey],A355),""))</f>
        <v/>
      </c>
    </row>
    <row r="356">
      <c r="B356" s="8">
        <f>IF(A356="","",IFERROR(DATEVALUE(TEXTBEFORE(A356,"|")),--LEFT(A356,10)))</f>
        <v/>
      </c>
      <c r="C356">
        <f>IF(A356="","",TEXTBEFORE(TEXTAFTER(A356,"|"),"|"))</f>
        <v/>
      </c>
      <c r="D356">
        <f>IF(A356="","",TEXTAFTER(A356,"|",2))</f>
        <v/>
      </c>
      <c r="E356">
        <f>IF(A356="","",SUMIF(Tickets[TripKey],A356,Tickets[TP]))</f>
        <v/>
      </c>
      <c r="F356">
        <f>IF(A356="","",SUMIF(Tickets[TripKey],A356,Tickets[Revenue]))</f>
        <v/>
      </c>
      <c r="G356">
        <f>IF(A356="","",SUMIF(Tickets[TripKey],A356,Tickets[PK]))</f>
        <v/>
      </c>
      <c r="H356">
        <f>IF(A356="","",IFERROR(XLOOKUP(A356,Tickets[TripKey],Tickets[VehClean]),""))</f>
        <v/>
      </c>
      <c r="I356">
        <f>IF(A356="","",IFERROR(XLOOKUP(A356,Tickets[TripKey],Tickets[RouteLen]),0))</f>
        <v/>
      </c>
      <c r="J356">
        <f>IF(A356="","",IFERROR(XLOOKUP(A356,Tickets[TripKey],Tickets[Capacity]),0))</f>
        <v/>
      </c>
      <c r="K356">
        <f>IF(A356="","",I356*J356)</f>
        <v/>
      </c>
      <c r="L356">
        <f>IF(A356="","",IFERROR(MINIFS(Tickets[Trip Start Time],Tickets[TripKey],A356),""))</f>
        <v/>
      </c>
    </row>
    <row r="357">
      <c r="B357" s="8">
        <f>IF(A357="","",IFERROR(DATEVALUE(TEXTBEFORE(A357,"|")),--LEFT(A357,10)))</f>
        <v/>
      </c>
      <c r="C357">
        <f>IF(A357="","",TEXTBEFORE(TEXTAFTER(A357,"|"),"|"))</f>
        <v/>
      </c>
      <c r="D357">
        <f>IF(A357="","",TEXTAFTER(A357,"|",2))</f>
        <v/>
      </c>
      <c r="E357">
        <f>IF(A357="","",SUMIF(Tickets[TripKey],A357,Tickets[TP]))</f>
        <v/>
      </c>
      <c r="F357">
        <f>IF(A357="","",SUMIF(Tickets[TripKey],A357,Tickets[Revenue]))</f>
        <v/>
      </c>
      <c r="G357">
        <f>IF(A357="","",SUMIF(Tickets[TripKey],A357,Tickets[PK]))</f>
        <v/>
      </c>
      <c r="H357">
        <f>IF(A357="","",IFERROR(XLOOKUP(A357,Tickets[TripKey],Tickets[VehClean]),""))</f>
        <v/>
      </c>
      <c r="I357">
        <f>IF(A357="","",IFERROR(XLOOKUP(A357,Tickets[TripKey],Tickets[RouteLen]),0))</f>
        <v/>
      </c>
      <c r="J357">
        <f>IF(A357="","",IFERROR(XLOOKUP(A357,Tickets[TripKey],Tickets[Capacity]),0))</f>
        <v/>
      </c>
      <c r="K357">
        <f>IF(A357="","",I357*J357)</f>
        <v/>
      </c>
      <c r="L357">
        <f>IF(A357="","",IFERROR(MINIFS(Tickets[Trip Start Time],Tickets[TripKey],A357),""))</f>
        <v/>
      </c>
    </row>
    <row r="358">
      <c r="B358" s="8">
        <f>IF(A358="","",IFERROR(DATEVALUE(TEXTBEFORE(A358,"|")),--LEFT(A358,10)))</f>
        <v/>
      </c>
      <c r="C358">
        <f>IF(A358="","",TEXTBEFORE(TEXTAFTER(A358,"|"),"|"))</f>
        <v/>
      </c>
      <c r="D358">
        <f>IF(A358="","",TEXTAFTER(A358,"|",2))</f>
        <v/>
      </c>
      <c r="E358">
        <f>IF(A358="","",SUMIF(Tickets[TripKey],A358,Tickets[TP]))</f>
        <v/>
      </c>
      <c r="F358">
        <f>IF(A358="","",SUMIF(Tickets[TripKey],A358,Tickets[Revenue]))</f>
        <v/>
      </c>
      <c r="G358">
        <f>IF(A358="","",SUMIF(Tickets[TripKey],A358,Tickets[PK]))</f>
        <v/>
      </c>
      <c r="H358">
        <f>IF(A358="","",IFERROR(XLOOKUP(A358,Tickets[TripKey],Tickets[VehClean]),""))</f>
        <v/>
      </c>
      <c r="I358">
        <f>IF(A358="","",IFERROR(XLOOKUP(A358,Tickets[TripKey],Tickets[RouteLen]),0))</f>
        <v/>
      </c>
      <c r="J358">
        <f>IF(A358="","",IFERROR(XLOOKUP(A358,Tickets[TripKey],Tickets[Capacity]),0))</f>
        <v/>
      </c>
      <c r="K358">
        <f>IF(A358="","",I358*J358)</f>
        <v/>
      </c>
      <c r="L358">
        <f>IF(A358="","",IFERROR(MINIFS(Tickets[Trip Start Time],Tickets[TripKey],A358),""))</f>
        <v/>
      </c>
    </row>
    <row r="359">
      <c r="B359" s="8">
        <f>IF(A359="","",IFERROR(DATEVALUE(TEXTBEFORE(A359,"|")),--LEFT(A359,10)))</f>
        <v/>
      </c>
      <c r="C359">
        <f>IF(A359="","",TEXTBEFORE(TEXTAFTER(A359,"|"),"|"))</f>
        <v/>
      </c>
      <c r="D359">
        <f>IF(A359="","",TEXTAFTER(A359,"|",2))</f>
        <v/>
      </c>
      <c r="E359">
        <f>IF(A359="","",SUMIF(Tickets[TripKey],A359,Tickets[TP]))</f>
        <v/>
      </c>
      <c r="F359">
        <f>IF(A359="","",SUMIF(Tickets[TripKey],A359,Tickets[Revenue]))</f>
        <v/>
      </c>
      <c r="G359">
        <f>IF(A359="","",SUMIF(Tickets[TripKey],A359,Tickets[PK]))</f>
        <v/>
      </c>
      <c r="H359">
        <f>IF(A359="","",IFERROR(XLOOKUP(A359,Tickets[TripKey],Tickets[VehClean]),""))</f>
        <v/>
      </c>
      <c r="I359">
        <f>IF(A359="","",IFERROR(XLOOKUP(A359,Tickets[TripKey],Tickets[RouteLen]),0))</f>
        <v/>
      </c>
      <c r="J359">
        <f>IF(A359="","",IFERROR(XLOOKUP(A359,Tickets[TripKey],Tickets[Capacity]),0))</f>
        <v/>
      </c>
      <c r="K359">
        <f>IF(A359="","",I359*J359)</f>
        <v/>
      </c>
      <c r="L359">
        <f>IF(A359="","",IFERROR(MINIFS(Tickets[Trip Start Time],Tickets[TripKey],A359),""))</f>
        <v/>
      </c>
    </row>
    <row r="360">
      <c r="B360" s="8">
        <f>IF(A360="","",IFERROR(DATEVALUE(TEXTBEFORE(A360,"|")),--LEFT(A360,10)))</f>
        <v/>
      </c>
      <c r="C360">
        <f>IF(A360="","",TEXTBEFORE(TEXTAFTER(A360,"|"),"|"))</f>
        <v/>
      </c>
      <c r="D360">
        <f>IF(A360="","",TEXTAFTER(A360,"|",2))</f>
        <v/>
      </c>
      <c r="E360">
        <f>IF(A360="","",SUMIF(Tickets[TripKey],A360,Tickets[TP]))</f>
        <v/>
      </c>
      <c r="F360">
        <f>IF(A360="","",SUMIF(Tickets[TripKey],A360,Tickets[Revenue]))</f>
        <v/>
      </c>
      <c r="G360">
        <f>IF(A360="","",SUMIF(Tickets[TripKey],A360,Tickets[PK]))</f>
        <v/>
      </c>
      <c r="H360">
        <f>IF(A360="","",IFERROR(XLOOKUP(A360,Tickets[TripKey],Tickets[VehClean]),""))</f>
        <v/>
      </c>
      <c r="I360">
        <f>IF(A360="","",IFERROR(XLOOKUP(A360,Tickets[TripKey],Tickets[RouteLen]),0))</f>
        <v/>
      </c>
      <c r="J360">
        <f>IF(A360="","",IFERROR(XLOOKUP(A360,Tickets[TripKey],Tickets[Capacity]),0))</f>
        <v/>
      </c>
      <c r="K360">
        <f>IF(A360="","",I360*J360)</f>
        <v/>
      </c>
      <c r="L360">
        <f>IF(A360="","",IFERROR(MINIFS(Tickets[Trip Start Time],Tickets[TripKey],A360),""))</f>
        <v/>
      </c>
    </row>
    <row r="361">
      <c r="B361" s="8">
        <f>IF(A361="","",IFERROR(DATEVALUE(TEXTBEFORE(A361,"|")),--LEFT(A361,10)))</f>
        <v/>
      </c>
      <c r="C361">
        <f>IF(A361="","",TEXTBEFORE(TEXTAFTER(A361,"|"),"|"))</f>
        <v/>
      </c>
      <c r="D361">
        <f>IF(A361="","",TEXTAFTER(A361,"|",2))</f>
        <v/>
      </c>
      <c r="E361">
        <f>IF(A361="","",SUMIF(Tickets[TripKey],A361,Tickets[TP]))</f>
        <v/>
      </c>
      <c r="F361">
        <f>IF(A361="","",SUMIF(Tickets[TripKey],A361,Tickets[Revenue]))</f>
        <v/>
      </c>
      <c r="G361">
        <f>IF(A361="","",SUMIF(Tickets[TripKey],A361,Tickets[PK]))</f>
        <v/>
      </c>
      <c r="H361">
        <f>IF(A361="","",IFERROR(XLOOKUP(A361,Tickets[TripKey],Tickets[VehClean]),""))</f>
        <v/>
      </c>
      <c r="I361">
        <f>IF(A361="","",IFERROR(XLOOKUP(A361,Tickets[TripKey],Tickets[RouteLen]),0))</f>
        <v/>
      </c>
      <c r="J361">
        <f>IF(A361="","",IFERROR(XLOOKUP(A361,Tickets[TripKey],Tickets[Capacity]),0))</f>
        <v/>
      </c>
      <c r="K361">
        <f>IF(A361="","",I361*J361)</f>
        <v/>
      </c>
      <c r="L361">
        <f>IF(A361="","",IFERROR(MINIFS(Tickets[Trip Start Time],Tickets[TripKey],A361),""))</f>
        <v/>
      </c>
    </row>
    <row r="362">
      <c r="B362" s="8">
        <f>IF(A362="","",IFERROR(DATEVALUE(TEXTBEFORE(A362,"|")),--LEFT(A362,10)))</f>
        <v/>
      </c>
      <c r="C362">
        <f>IF(A362="","",TEXTBEFORE(TEXTAFTER(A362,"|"),"|"))</f>
        <v/>
      </c>
      <c r="D362">
        <f>IF(A362="","",TEXTAFTER(A362,"|",2))</f>
        <v/>
      </c>
      <c r="E362">
        <f>IF(A362="","",SUMIF(Tickets[TripKey],A362,Tickets[TP]))</f>
        <v/>
      </c>
      <c r="F362">
        <f>IF(A362="","",SUMIF(Tickets[TripKey],A362,Tickets[Revenue]))</f>
        <v/>
      </c>
      <c r="G362">
        <f>IF(A362="","",SUMIF(Tickets[TripKey],A362,Tickets[PK]))</f>
        <v/>
      </c>
      <c r="H362">
        <f>IF(A362="","",IFERROR(XLOOKUP(A362,Tickets[TripKey],Tickets[VehClean]),""))</f>
        <v/>
      </c>
      <c r="I362">
        <f>IF(A362="","",IFERROR(XLOOKUP(A362,Tickets[TripKey],Tickets[RouteLen]),0))</f>
        <v/>
      </c>
      <c r="J362">
        <f>IF(A362="","",IFERROR(XLOOKUP(A362,Tickets[TripKey],Tickets[Capacity]),0))</f>
        <v/>
      </c>
      <c r="K362">
        <f>IF(A362="","",I362*J362)</f>
        <v/>
      </c>
      <c r="L362">
        <f>IF(A362="","",IFERROR(MINIFS(Tickets[Trip Start Time],Tickets[TripKey],A362),""))</f>
        <v/>
      </c>
    </row>
    <row r="363">
      <c r="B363" s="8">
        <f>IF(A363="","",IFERROR(DATEVALUE(TEXTBEFORE(A363,"|")),--LEFT(A363,10)))</f>
        <v/>
      </c>
      <c r="C363">
        <f>IF(A363="","",TEXTBEFORE(TEXTAFTER(A363,"|"),"|"))</f>
        <v/>
      </c>
      <c r="D363">
        <f>IF(A363="","",TEXTAFTER(A363,"|",2))</f>
        <v/>
      </c>
      <c r="E363">
        <f>IF(A363="","",SUMIF(Tickets[TripKey],A363,Tickets[TP]))</f>
        <v/>
      </c>
      <c r="F363">
        <f>IF(A363="","",SUMIF(Tickets[TripKey],A363,Tickets[Revenue]))</f>
        <v/>
      </c>
      <c r="G363">
        <f>IF(A363="","",SUMIF(Tickets[TripKey],A363,Tickets[PK]))</f>
        <v/>
      </c>
      <c r="H363">
        <f>IF(A363="","",IFERROR(XLOOKUP(A363,Tickets[TripKey],Tickets[VehClean]),""))</f>
        <v/>
      </c>
      <c r="I363">
        <f>IF(A363="","",IFERROR(XLOOKUP(A363,Tickets[TripKey],Tickets[RouteLen]),0))</f>
        <v/>
      </c>
      <c r="J363">
        <f>IF(A363="","",IFERROR(XLOOKUP(A363,Tickets[TripKey],Tickets[Capacity]),0))</f>
        <v/>
      </c>
      <c r="K363">
        <f>IF(A363="","",I363*J363)</f>
        <v/>
      </c>
      <c r="L363">
        <f>IF(A363="","",IFERROR(MINIFS(Tickets[Trip Start Time],Tickets[TripKey],A363),""))</f>
        <v/>
      </c>
    </row>
    <row r="364">
      <c r="B364" s="8">
        <f>IF(A364="","",IFERROR(DATEVALUE(TEXTBEFORE(A364,"|")),--LEFT(A364,10)))</f>
        <v/>
      </c>
      <c r="C364">
        <f>IF(A364="","",TEXTBEFORE(TEXTAFTER(A364,"|"),"|"))</f>
        <v/>
      </c>
      <c r="D364">
        <f>IF(A364="","",TEXTAFTER(A364,"|",2))</f>
        <v/>
      </c>
      <c r="E364">
        <f>IF(A364="","",SUMIF(Tickets[TripKey],A364,Tickets[TP]))</f>
        <v/>
      </c>
      <c r="F364">
        <f>IF(A364="","",SUMIF(Tickets[TripKey],A364,Tickets[Revenue]))</f>
        <v/>
      </c>
      <c r="G364">
        <f>IF(A364="","",SUMIF(Tickets[TripKey],A364,Tickets[PK]))</f>
        <v/>
      </c>
      <c r="H364">
        <f>IF(A364="","",IFERROR(XLOOKUP(A364,Tickets[TripKey],Tickets[VehClean]),""))</f>
        <v/>
      </c>
      <c r="I364">
        <f>IF(A364="","",IFERROR(XLOOKUP(A364,Tickets[TripKey],Tickets[RouteLen]),0))</f>
        <v/>
      </c>
      <c r="J364">
        <f>IF(A364="","",IFERROR(XLOOKUP(A364,Tickets[TripKey],Tickets[Capacity]),0))</f>
        <v/>
      </c>
      <c r="K364">
        <f>IF(A364="","",I364*J364)</f>
        <v/>
      </c>
      <c r="L364">
        <f>IF(A364="","",IFERROR(MINIFS(Tickets[Trip Start Time],Tickets[TripKey],A364),""))</f>
        <v/>
      </c>
    </row>
    <row r="365">
      <c r="B365" s="8">
        <f>IF(A365="","",IFERROR(DATEVALUE(TEXTBEFORE(A365,"|")),--LEFT(A365,10)))</f>
        <v/>
      </c>
      <c r="C365">
        <f>IF(A365="","",TEXTBEFORE(TEXTAFTER(A365,"|"),"|"))</f>
        <v/>
      </c>
      <c r="D365">
        <f>IF(A365="","",TEXTAFTER(A365,"|",2))</f>
        <v/>
      </c>
      <c r="E365">
        <f>IF(A365="","",SUMIF(Tickets[TripKey],A365,Tickets[TP]))</f>
        <v/>
      </c>
      <c r="F365">
        <f>IF(A365="","",SUMIF(Tickets[TripKey],A365,Tickets[Revenue]))</f>
        <v/>
      </c>
      <c r="G365">
        <f>IF(A365="","",SUMIF(Tickets[TripKey],A365,Tickets[PK]))</f>
        <v/>
      </c>
      <c r="H365">
        <f>IF(A365="","",IFERROR(XLOOKUP(A365,Tickets[TripKey],Tickets[VehClean]),""))</f>
        <v/>
      </c>
      <c r="I365">
        <f>IF(A365="","",IFERROR(XLOOKUP(A365,Tickets[TripKey],Tickets[RouteLen]),0))</f>
        <v/>
      </c>
      <c r="J365">
        <f>IF(A365="","",IFERROR(XLOOKUP(A365,Tickets[TripKey],Tickets[Capacity]),0))</f>
        <v/>
      </c>
      <c r="K365">
        <f>IF(A365="","",I365*J365)</f>
        <v/>
      </c>
      <c r="L365">
        <f>IF(A365="","",IFERROR(MINIFS(Tickets[Trip Start Time],Tickets[TripKey],A365),""))</f>
        <v/>
      </c>
    </row>
    <row r="366">
      <c r="B366" s="8">
        <f>IF(A366="","",IFERROR(DATEVALUE(TEXTBEFORE(A366,"|")),--LEFT(A366,10)))</f>
        <v/>
      </c>
      <c r="C366">
        <f>IF(A366="","",TEXTBEFORE(TEXTAFTER(A366,"|"),"|"))</f>
        <v/>
      </c>
      <c r="D366">
        <f>IF(A366="","",TEXTAFTER(A366,"|",2))</f>
        <v/>
      </c>
      <c r="E366">
        <f>IF(A366="","",SUMIF(Tickets[TripKey],A366,Tickets[TP]))</f>
        <v/>
      </c>
      <c r="F366">
        <f>IF(A366="","",SUMIF(Tickets[TripKey],A366,Tickets[Revenue]))</f>
        <v/>
      </c>
      <c r="G366">
        <f>IF(A366="","",SUMIF(Tickets[TripKey],A366,Tickets[PK]))</f>
        <v/>
      </c>
      <c r="H366">
        <f>IF(A366="","",IFERROR(XLOOKUP(A366,Tickets[TripKey],Tickets[VehClean]),""))</f>
        <v/>
      </c>
      <c r="I366">
        <f>IF(A366="","",IFERROR(XLOOKUP(A366,Tickets[TripKey],Tickets[RouteLen]),0))</f>
        <v/>
      </c>
      <c r="J366">
        <f>IF(A366="","",IFERROR(XLOOKUP(A366,Tickets[TripKey],Tickets[Capacity]),0))</f>
        <v/>
      </c>
      <c r="K366">
        <f>IF(A366="","",I366*J366)</f>
        <v/>
      </c>
      <c r="L366">
        <f>IF(A366="","",IFERROR(MINIFS(Tickets[Trip Start Time],Tickets[TripKey],A366),""))</f>
        <v/>
      </c>
    </row>
    <row r="367">
      <c r="B367" s="8">
        <f>IF(A367="","",IFERROR(DATEVALUE(TEXTBEFORE(A367,"|")),--LEFT(A367,10)))</f>
        <v/>
      </c>
      <c r="C367">
        <f>IF(A367="","",TEXTBEFORE(TEXTAFTER(A367,"|"),"|"))</f>
        <v/>
      </c>
      <c r="D367">
        <f>IF(A367="","",TEXTAFTER(A367,"|",2))</f>
        <v/>
      </c>
      <c r="E367">
        <f>IF(A367="","",SUMIF(Tickets[TripKey],A367,Tickets[TP]))</f>
        <v/>
      </c>
      <c r="F367">
        <f>IF(A367="","",SUMIF(Tickets[TripKey],A367,Tickets[Revenue]))</f>
        <v/>
      </c>
      <c r="G367">
        <f>IF(A367="","",SUMIF(Tickets[TripKey],A367,Tickets[PK]))</f>
        <v/>
      </c>
      <c r="H367">
        <f>IF(A367="","",IFERROR(XLOOKUP(A367,Tickets[TripKey],Tickets[VehClean]),""))</f>
        <v/>
      </c>
      <c r="I367">
        <f>IF(A367="","",IFERROR(XLOOKUP(A367,Tickets[TripKey],Tickets[RouteLen]),0))</f>
        <v/>
      </c>
      <c r="J367">
        <f>IF(A367="","",IFERROR(XLOOKUP(A367,Tickets[TripKey],Tickets[Capacity]),0))</f>
        <v/>
      </c>
      <c r="K367">
        <f>IF(A367="","",I367*J367)</f>
        <v/>
      </c>
      <c r="L367">
        <f>IF(A367="","",IFERROR(MINIFS(Tickets[Trip Start Time],Tickets[TripKey],A367),""))</f>
        <v/>
      </c>
    </row>
    <row r="368">
      <c r="B368" s="8">
        <f>IF(A368="","",IFERROR(DATEVALUE(TEXTBEFORE(A368,"|")),--LEFT(A368,10)))</f>
        <v/>
      </c>
      <c r="C368">
        <f>IF(A368="","",TEXTBEFORE(TEXTAFTER(A368,"|"),"|"))</f>
        <v/>
      </c>
      <c r="D368">
        <f>IF(A368="","",TEXTAFTER(A368,"|",2))</f>
        <v/>
      </c>
      <c r="E368">
        <f>IF(A368="","",SUMIF(Tickets[TripKey],A368,Tickets[TP]))</f>
        <v/>
      </c>
      <c r="F368">
        <f>IF(A368="","",SUMIF(Tickets[TripKey],A368,Tickets[Revenue]))</f>
        <v/>
      </c>
      <c r="G368">
        <f>IF(A368="","",SUMIF(Tickets[TripKey],A368,Tickets[PK]))</f>
        <v/>
      </c>
      <c r="H368">
        <f>IF(A368="","",IFERROR(XLOOKUP(A368,Tickets[TripKey],Tickets[VehClean]),""))</f>
        <v/>
      </c>
      <c r="I368">
        <f>IF(A368="","",IFERROR(XLOOKUP(A368,Tickets[TripKey],Tickets[RouteLen]),0))</f>
        <v/>
      </c>
      <c r="J368">
        <f>IF(A368="","",IFERROR(XLOOKUP(A368,Tickets[TripKey],Tickets[Capacity]),0))</f>
        <v/>
      </c>
      <c r="K368">
        <f>IF(A368="","",I368*J368)</f>
        <v/>
      </c>
      <c r="L368">
        <f>IF(A368="","",IFERROR(MINIFS(Tickets[Trip Start Time],Tickets[TripKey],A368),""))</f>
        <v/>
      </c>
    </row>
    <row r="369">
      <c r="B369" s="8">
        <f>IF(A369="","",IFERROR(DATEVALUE(TEXTBEFORE(A369,"|")),--LEFT(A369,10)))</f>
        <v/>
      </c>
      <c r="C369">
        <f>IF(A369="","",TEXTBEFORE(TEXTAFTER(A369,"|"),"|"))</f>
        <v/>
      </c>
      <c r="D369">
        <f>IF(A369="","",TEXTAFTER(A369,"|",2))</f>
        <v/>
      </c>
      <c r="E369">
        <f>IF(A369="","",SUMIF(Tickets[TripKey],A369,Tickets[TP]))</f>
        <v/>
      </c>
      <c r="F369">
        <f>IF(A369="","",SUMIF(Tickets[TripKey],A369,Tickets[Revenue]))</f>
        <v/>
      </c>
      <c r="G369">
        <f>IF(A369="","",SUMIF(Tickets[TripKey],A369,Tickets[PK]))</f>
        <v/>
      </c>
      <c r="H369">
        <f>IF(A369="","",IFERROR(XLOOKUP(A369,Tickets[TripKey],Tickets[VehClean]),""))</f>
        <v/>
      </c>
      <c r="I369">
        <f>IF(A369="","",IFERROR(XLOOKUP(A369,Tickets[TripKey],Tickets[RouteLen]),0))</f>
        <v/>
      </c>
      <c r="J369">
        <f>IF(A369="","",IFERROR(XLOOKUP(A369,Tickets[TripKey],Tickets[Capacity]),0))</f>
        <v/>
      </c>
      <c r="K369">
        <f>IF(A369="","",I369*J369)</f>
        <v/>
      </c>
      <c r="L369">
        <f>IF(A369="","",IFERROR(MINIFS(Tickets[Trip Start Time],Tickets[TripKey],A369),""))</f>
        <v/>
      </c>
    </row>
    <row r="370">
      <c r="B370" s="8">
        <f>IF(A370="","",IFERROR(DATEVALUE(TEXTBEFORE(A370,"|")),--LEFT(A370,10)))</f>
        <v/>
      </c>
      <c r="C370">
        <f>IF(A370="","",TEXTBEFORE(TEXTAFTER(A370,"|"),"|"))</f>
        <v/>
      </c>
      <c r="D370">
        <f>IF(A370="","",TEXTAFTER(A370,"|",2))</f>
        <v/>
      </c>
      <c r="E370">
        <f>IF(A370="","",SUMIF(Tickets[TripKey],A370,Tickets[TP]))</f>
        <v/>
      </c>
      <c r="F370">
        <f>IF(A370="","",SUMIF(Tickets[TripKey],A370,Tickets[Revenue]))</f>
        <v/>
      </c>
      <c r="G370">
        <f>IF(A370="","",SUMIF(Tickets[TripKey],A370,Tickets[PK]))</f>
        <v/>
      </c>
      <c r="H370">
        <f>IF(A370="","",IFERROR(XLOOKUP(A370,Tickets[TripKey],Tickets[VehClean]),""))</f>
        <v/>
      </c>
      <c r="I370">
        <f>IF(A370="","",IFERROR(XLOOKUP(A370,Tickets[TripKey],Tickets[RouteLen]),0))</f>
        <v/>
      </c>
      <c r="J370">
        <f>IF(A370="","",IFERROR(XLOOKUP(A370,Tickets[TripKey],Tickets[Capacity]),0))</f>
        <v/>
      </c>
      <c r="K370">
        <f>IF(A370="","",I370*J370)</f>
        <v/>
      </c>
      <c r="L370">
        <f>IF(A370="","",IFERROR(MINIFS(Tickets[Trip Start Time],Tickets[TripKey],A370),""))</f>
        <v/>
      </c>
    </row>
    <row r="371">
      <c r="B371" s="8">
        <f>IF(A371="","",IFERROR(DATEVALUE(TEXTBEFORE(A371,"|")),--LEFT(A371,10)))</f>
        <v/>
      </c>
      <c r="C371">
        <f>IF(A371="","",TEXTBEFORE(TEXTAFTER(A371,"|"),"|"))</f>
        <v/>
      </c>
      <c r="D371">
        <f>IF(A371="","",TEXTAFTER(A371,"|",2))</f>
        <v/>
      </c>
      <c r="E371">
        <f>IF(A371="","",SUMIF(Tickets[TripKey],A371,Tickets[TP]))</f>
        <v/>
      </c>
      <c r="F371">
        <f>IF(A371="","",SUMIF(Tickets[TripKey],A371,Tickets[Revenue]))</f>
        <v/>
      </c>
      <c r="G371">
        <f>IF(A371="","",SUMIF(Tickets[TripKey],A371,Tickets[PK]))</f>
        <v/>
      </c>
      <c r="H371">
        <f>IF(A371="","",IFERROR(XLOOKUP(A371,Tickets[TripKey],Tickets[VehClean]),""))</f>
        <v/>
      </c>
      <c r="I371">
        <f>IF(A371="","",IFERROR(XLOOKUP(A371,Tickets[TripKey],Tickets[RouteLen]),0))</f>
        <v/>
      </c>
      <c r="J371">
        <f>IF(A371="","",IFERROR(XLOOKUP(A371,Tickets[TripKey],Tickets[Capacity]),0))</f>
        <v/>
      </c>
      <c r="K371">
        <f>IF(A371="","",I371*J371)</f>
        <v/>
      </c>
      <c r="L371">
        <f>IF(A371="","",IFERROR(MINIFS(Tickets[Trip Start Time],Tickets[TripKey],A371),""))</f>
        <v/>
      </c>
    </row>
    <row r="372">
      <c r="B372" s="8">
        <f>IF(A372="","",IFERROR(DATEVALUE(TEXTBEFORE(A372,"|")),--LEFT(A372,10)))</f>
        <v/>
      </c>
      <c r="C372">
        <f>IF(A372="","",TEXTBEFORE(TEXTAFTER(A372,"|"),"|"))</f>
        <v/>
      </c>
      <c r="D372">
        <f>IF(A372="","",TEXTAFTER(A372,"|",2))</f>
        <v/>
      </c>
      <c r="E372">
        <f>IF(A372="","",SUMIF(Tickets[TripKey],A372,Tickets[TP]))</f>
        <v/>
      </c>
      <c r="F372">
        <f>IF(A372="","",SUMIF(Tickets[TripKey],A372,Tickets[Revenue]))</f>
        <v/>
      </c>
      <c r="G372">
        <f>IF(A372="","",SUMIF(Tickets[TripKey],A372,Tickets[PK]))</f>
        <v/>
      </c>
      <c r="H372">
        <f>IF(A372="","",IFERROR(XLOOKUP(A372,Tickets[TripKey],Tickets[VehClean]),""))</f>
        <v/>
      </c>
      <c r="I372">
        <f>IF(A372="","",IFERROR(XLOOKUP(A372,Tickets[TripKey],Tickets[RouteLen]),0))</f>
        <v/>
      </c>
      <c r="J372">
        <f>IF(A372="","",IFERROR(XLOOKUP(A372,Tickets[TripKey],Tickets[Capacity]),0))</f>
        <v/>
      </c>
      <c r="K372">
        <f>IF(A372="","",I372*J372)</f>
        <v/>
      </c>
      <c r="L372">
        <f>IF(A372="","",IFERROR(MINIFS(Tickets[Trip Start Time],Tickets[TripKey],A372),""))</f>
        <v/>
      </c>
    </row>
    <row r="373">
      <c r="B373" s="8">
        <f>IF(A373="","",IFERROR(DATEVALUE(TEXTBEFORE(A373,"|")),--LEFT(A373,10)))</f>
        <v/>
      </c>
      <c r="C373">
        <f>IF(A373="","",TEXTBEFORE(TEXTAFTER(A373,"|"),"|"))</f>
        <v/>
      </c>
      <c r="D373">
        <f>IF(A373="","",TEXTAFTER(A373,"|",2))</f>
        <v/>
      </c>
      <c r="E373">
        <f>IF(A373="","",SUMIF(Tickets[TripKey],A373,Tickets[TP]))</f>
        <v/>
      </c>
      <c r="F373">
        <f>IF(A373="","",SUMIF(Tickets[TripKey],A373,Tickets[Revenue]))</f>
        <v/>
      </c>
      <c r="G373">
        <f>IF(A373="","",SUMIF(Tickets[TripKey],A373,Tickets[PK]))</f>
        <v/>
      </c>
      <c r="H373">
        <f>IF(A373="","",IFERROR(XLOOKUP(A373,Tickets[TripKey],Tickets[VehClean]),""))</f>
        <v/>
      </c>
      <c r="I373">
        <f>IF(A373="","",IFERROR(XLOOKUP(A373,Tickets[TripKey],Tickets[RouteLen]),0))</f>
        <v/>
      </c>
      <c r="J373">
        <f>IF(A373="","",IFERROR(XLOOKUP(A373,Tickets[TripKey],Tickets[Capacity]),0))</f>
        <v/>
      </c>
      <c r="K373">
        <f>IF(A373="","",I373*J373)</f>
        <v/>
      </c>
      <c r="L373">
        <f>IF(A373="","",IFERROR(MINIFS(Tickets[Trip Start Time],Tickets[TripKey],A373),""))</f>
        <v/>
      </c>
    </row>
    <row r="374">
      <c r="B374" s="8">
        <f>IF(A374="","",IFERROR(DATEVALUE(TEXTBEFORE(A374,"|")),--LEFT(A374,10)))</f>
        <v/>
      </c>
      <c r="C374">
        <f>IF(A374="","",TEXTBEFORE(TEXTAFTER(A374,"|"),"|"))</f>
        <v/>
      </c>
      <c r="D374">
        <f>IF(A374="","",TEXTAFTER(A374,"|",2))</f>
        <v/>
      </c>
      <c r="E374">
        <f>IF(A374="","",SUMIF(Tickets[TripKey],A374,Tickets[TP]))</f>
        <v/>
      </c>
      <c r="F374">
        <f>IF(A374="","",SUMIF(Tickets[TripKey],A374,Tickets[Revenue]))</f>
        <v/>
      </c>
      <c r="G374">
        <f>IF(A374="","",SUMIF(Tickets[TripKey],A374,Tickets[PK]))</f>
        <v/>
      </c>
      <c r="H374">
        <f>IF(A374="","",IFERROR(XLOOKUP(A374,Tickets[TripKey],Tickets[VehClean]),""))</f>
        <v/>
      </c>
      <c r="I374">
        <f>IF(A374="","",IFERROR(XLOOKUP(A374,Tickets[TripKey],Tickets[RouteLen]),0))</f>
        <v/>
      </c>
      <c r="J374">
        <f>IF(A374="","",IFERROR(XLOOKUP(A374,Tickets[TripKey],Tickets[Capacity]),0))</f>
        <v/>
      </c>
      <c r="K374">
        <f>IF(A374="","",I374*J374)</f>
        <v/>
      </c>
      <c r="L374">
        <f>IF(A374="","",IFERROR(MINIFS(Tickets[Trip Start Time],Tickets[TripKey],A374),""))</f>
        <v/>
      </c>
    </row>
    <row r="375">
      <c r="B375" s="8">
        <f>IF(A375="","",IFERROR(DATEVALUE(TEXTBEFORE(A375,"|")),--LEFT(A375,10)))</f>
        <v/>
      </c>
      <c r="C375">
        <f>IF(A375="","",TEXTBEFORE(TEXTAFTER(A375,"|"),"|"))</f>
        <v/>
      </c>
      <c r="D375">
        <f>IF(A375="","",TEXTAFTER(A375,"|",2))</f>
        <v/>
      </c>
      <c r="E375">
        <f>IF(A375="","",SUMIF(Tickets[TripKey],A375,Tickets[TP]))</f>
        <v/>
      </c>
      <c r="F375">
        <f>IF(A375="","",SUMIF(Tickets[TripKey],A375,Tickets[Revenue]))</f>
        <v/>
      </c>
      <c r="G375">
        <f>IF(A375="","",SUMIF(Tickets[TripKey],A375,Tickets[PK]))</f>
        <v/>
      </c>
      <c r="H375">
        <f>IF(A375="","",IFERROR(XLOOKUP(A375,Tickets[TripKey],Tickets[VehClean]),""))</f>
        <v/>
      </c>
      <c r="I375">
        <f>IF(A375="","",IFERROR(XLOOKUP(A375,Tickets[TripKey],Tickets[RouteLen]),0))</f>
        <v/>
      </c>
      <c r="J375">
        <f>IF(A375="","",IFERROR(XLOOKUP(A375,Tickets[TripKey],Tickets[Capacity]),0))</f>
        <v/>
      </c>
      <c r="K375">
        <f>IF(A375="","",I375*J375)</f>
        <v/>
      </c>
      <c r="L375">
        <f>IF(A375="","",IFERROR(MINIFS(Tickets[Trip Start Time],Tickets[TripKey],A375),""))</f>
        <v/>
      </c>
    </row>
    <row r="376">
      <c r="B376" s="8">
        <f>IF(A376="","",IFERROR(DATEVALUE(TEXTBEFORE(A376,"|")),--LEFT(A376,10)))</f>
        <v/>
      </c>
      <c r="C376">
        <f>IF(A376="","",TEXTBEFORE(TEXTAFTER(A376,"|"),"|"))</f>
        <v/>
      </c>
      <c r="D376">
        <f>IF(A376="","",TEXTAFTER(A376,"|",2))</f>
        <v/>
      </c>
      <c r="E376">
        <f>IF(A376="","",SUMIF(Tickets[TripKey],A376,Tickets[TP]))</f>
        <v/>
      </c>
      <c r="F376">
        <f>IF(A376="","",SUMIF(Tickets[TripKey],A376,Tickets[Revenue]))</f>
        <v/>
      </c>
      <c r="G376">
        <f>IF(A376="","",SUMIF(Tickets[TripKey],A376,Tickets[PK]))</f>
        <v/>
      </c>
      <c r="H376">
        <f>IF(A376="","",IFERROR(XLOOKUP(A376,Tickets[TripKey],Tickets[VehClean]),""))</f>
        <v/>
      </c>
      <c r="I376">
        <f>IF(A376="","",IFERROR(XLOOKUP(A376,Tickets[TripKey],Tickets[RouteLen]),0))</f>
        <v/>
      </c>
      <c r="J376">
        <f>IF(A376="","",IFERROR(XLOOKUP(A376,Tickets[TripKey],Tickets[Capacity]),0))</f>
        <v/>
      </c>
      <c r="K376">
        <f>IF(A376="","",I376*J376)</f>
        <v/>
      </c>
      <c r="L376">
        <f>IF(A376="","",IFERROR(MINIFS(Tickets[Trip Start Time],Tickets[TripKey],A376),""))</f>
        <v/>
      </c>
    </row>
    <row r="377">
      <c r="B377" s="8">
        <f>IF(A377="","",IFERROR(DATEVALUE(TEXTBEFORE(A377,"|")),--LEFT(A377,10)))</f>
        <v/>
      </c>
      <c r="C377">
        <f>IF(A377="","",TEXTBEFORE(TEXTAFTER(A377,"|"),"|"))</f>
        <v/>
      </c>
      <c r="D377">
        <f>IF(A377="","",TEXTAFTER(A377,"|",2))</f>
        <v/>
      </c>
      <c r="E377">
        <f>IF(A377="","",SUMIF(Tickets[TripKey],A377,Tickets[TP]))</f>
        <v/>
      </c>
      <c r="F377">
        <f>IF(A377="","",SUMIF(Tickets[TripKey],A377,Tickets[Revenue]))</f>
        <v/>
      </c>
      <c r="G377">
        <f>IF(A377="","",SUMIF(Tickets[TripKey],A377,Tickets[PK]))</f>
        <v/>
      </c>
      <c r="H377">
        <f>IF(A377="","",IFERROR(XLOOKUP(A377,Tickets[TripKey],Tickets[VehClean]),""))</f>
        <v/>
      </c>
      <c r="I377">
        <f>IF(A377="","",IFERROR(XLOOKUP(A377,Tickets[TripKey],Tickets[RouteLen]),0))</f>
        <v/>
      </c>
      <c r="J377">
        <f>IF(A377="","",IFERROR(XLOOKUP(A377,Tickets[TripKey],Tickets[Capacity]),0))</f>
        <v/>
      </c>
      <c r="K377">
        <f>IF(A377="","",I377*J377)</f>
        <v/>
      </c>
      <c r="L377">
        <f>IF(A377="","",IFERROR(MINIFS(Tickets[Trip Start Time],Tickets[TripKey],A377),""))</f>
        <v/>
      </c>
    </row>
    <row r="378">
      <c r="B378" s="8">
        <f>IF(A378="","",IFERROR(DATEVALUE(TEXTBEFORE(A378,"|")),--LEFT(A378,10)))</f>
        <v/>
      </c>
      <c r="C378">
        <f>IF(A378="","",TEXTBEFORE(TEXTAFTER(A378,"|"),"|"))</f>
        <v/>
      </c>
      <c r="D378">
        <f>IF(A378="","",TEXTAFTER(A378,"|",2))</f>
        <v/>
      </c>
      <c r="E378">
        <f>IF(A378="","",SUMIF(Tickets[TripKey],A378,Tickets[TP]))</f>
        <v/>
      </c>
      <c r="F378">
        <f>IF(A378="","",SUMIF(Tickets[TripKey],A378,Tickets[Revenue]))</f>
        <v/>
      </c>
      <c r="G378">
        <f>IF(A378="","",SUMIF(Tickets[TripKey],A378,Tickets[PK]))</f>
        <v/>
      </c>
      <c r="H378">
        <f>IF(A378="","",IFERROR(XLOOKUP(A378,Tickets[TripKey],Tickets[VehClean]),""))</f>
        <v/>
      </c>
      <c r="I378">
        <f>IF(A378="","",IFERROR(XLOOKUP(A378,Tickets[TripKey],Tickets[RouteLen]),0))</f>
        <v/>
      </c>
      <c r="J378">
        <f>IF(A378="","",IFERROR(XLOOKUP(A378,Tickets[TripKey],Tickets[Capacity]),0))</f>
        <v/>
      </c>
      <c r="K378">
        <f>IF(A378="","",I378*J378)</f>
        <v/>
      </c>
      <c r="L378">
        <f>IF(A378="","",IFERROR(MINIFS(Tickets[Trip Start Time],Tickets[TripKey],A378),""))</f>
        <v/>
      </c>
    </row>
    <row r="379">
      <c r="B379" s="8">
        <f>IF(A379="","",IFERROR(DATEVALUE(TEXTBEFORE(A379,"|")),--LEFT(A379,10)))</f>
        <v/>
      </c>
      <c r="C379">
        <f>IF(A379="","",TEXTBEFORE(TEXTAFTER(A379,"|"),"|"))</f>
        <v/>
      </c>
      <c r="D379">
        <f>IF(A379="","",TEXTAFTER(A379,"|",2))</f>
        <v/>
      </c>
      <c r="E379">
        <f>IF(A379="","",SUMIF(Tickets[TripKey],A379,Tickets[TP]))</f>
        <v/>
      </c>
      <c r="F379">
        <f>IF(A379="","",SUMIF(Tickets[TripKey],A379,Tickets[Revenue]))</f>
        <v/>
      </c>
      <c r="G379">
        <f>IF(A379="","",SUMIF(Tickets[TripKey],A379,Tickets[PK]))</f>
        <v/>
      </c>
      <c r="H379">
        <f>IF(A379="","",IFERROR(XLOOKUP(A379,Tickets[TripKey],Tickets[VehClean]),""))</f>
        <v/>
      </c>
      <c r="I379">
        <f>IF(A379="","",IFERROR(XLOOKUP(A379,Tickets[TripKey],Tickets[RouteLen]),0))</f>
        <v/>
      </c>
      <c r="J379">
        <f>IF(A379="","",IFERROR(XLOOKUP(A379,Tickets[TripKey],Tickets[Capacity]),0))</f>
        <v/>
      </c>
      <c r="K379">
        <f>IF(A379="","",I379*J379)</f>
        <v/>
      </c>
      <c r="L379">
        <f>IF(A379="","",IFERROR(MINIFS(Tickets[Trip Start Time],Tickets[TripKey],A379),""))</f>
        <v/>
      </c>
    </row>
    <row r="380">
      <c r="B380" s="8">
        <f>IF(A380="","",IFERROR(DATEVALUE(TEXTBEFORE(A380,"|")),--LEFT(A380,10)))</f>
        <v/>
      </c>
      <c r="C380">
        <f>IF(A380="","",TEXTBEFORE(TEXTAFTER(A380,"|"),"|"))</f>
        <v/>
      </c>
      <c r="D380">
        <f>IF(A380="","",TEXTAFTER(A380,"|",2))</f>
        <v/>
      </c>
      <c r="E380">
        <f>IF(A380="","",SUMIF(Tickets[TripKey],A380,Tickets[TP]))</f>
        <v/>
      </c>
      <c r="F380">
        <f>IF(A380="","",SUMIF(Tickets[TripKey],A380,Tickets[Revenue]))</f>
        <v/>
      </c>
      <c r="G380">
        <f>IF(A380="","",SUMIF(Tickets[TripKey],A380,Tickets[PK]))</f>
        <v/>
      </c>
      <c r="H380">
        <f>IF(A380="","",IFERROR(XLOOKUP(A380,Tickets[TripKey],Tickets[VehClean]),""))</f>
        <v/>
      </c>
      <c r="I380">
        <f>IF(A380="","",IFERROR(XLOOKUP(A380,Tickets[TripKey],Tickets[RouteLen]),0))</f>
        <v/>
      </c>
      <c r="J380">
        <f>IF(A380="","",IFERROR(XLOOKUP(A380,Tickets[TripKey],Tickets[Capacity]),0))</f>
        <v/>
      </c>
      <c r="K380">
        <f>IF(A380="","",I380*J380)</f>
        <v/>
      </c>
      <c r="L380">
        <f>IF(A380="","",IFERROR(MINIFS(Tickets[Trip Start Time],Tickets[TripKey],A380),""))</f>
        <v/>
      </c>
    </row>
    <row r="381">
      <c r="B381" s="8">
        <f>IF(A381="","",IFERROR(DATEVALUE(TEXTBEFORE(A381,"|")),--LEFT(A381,10)))</f>
        <v/>
      </c>
      <c r="C381">
        <f>IF(A381="","",TEXTBEFORE(TEXTAFTER(A381,"|"),"|"))</f>
        <v/>
      </c>
      <c r="D381">
        <f>IF(A381="","",TEXTAFTER(A381,"|",2))</f>
        <v/>
      </c>
      <c r="E381">
        <f>IF(A381="","",SUMIF(Tickets[TripKey],A381,Tickets[TP]))</f>
        <v/>
      </c>
      <c r="F381">
        <f>IF(A381="","",SUMIF(Tickets[TripKey],A381,Tickets[Revenue]))</f>
        <v/>
      </c>
      <c r="G381">
        <f>IF(A381="","",SUMIF(Tickets[TripKey],A381,Tickets[PK]))</f>
        <v/>
      </c>
      <c r="H381">
        <f>IF(A381="","",IFERROR(XLOOKUP(A381,Tickets[TripKey],Tickets[VehClean]),""))</f>
        <v/>
      </c>
      <c r="I381">
        <f>IF(A381="","",IFERROR(XLOOKUP(A381,Tickets[TripKey],Tickets[RouteLen]),0))</f>
        <v/>
      </c>
      <c r="J381">
        <f>IF(A381="","",IFERROR(XLOOKUP(A381,Tickets[TripKey],Tickets[Capacity]),0))</f>
        <v/>
      </c>
      <c r="K381">
        <f>IF(A381="","",I381*J381)</f>
        <v/>
      </c>
      <c r="L381">
        <f>IF(A381="","",IFERROR(MINIFS(Tickets[Trip Start Time],Tickets[TripKey],A381),""))</f>
        <v/>
      </c>
    </row>
    <row r="382">
      <c r="B382" s="8">
        <f>IF(A382="","",IFERROR(DATEVALUE(TEXTBEFORE(A382,"|")),--LEFT(A382,10)))</f>
        <v/>
      </c>
      <c r="C382">
        <f>IF(A382="","",TEXTBEFORE(TEXTAFTER(A382,"|"),"|"))</f>
        <v/>
      </c>
      <c r="D382">
        <f>IF(A382="","",TEXTAFTER(A382,"|",2))</f>
        <v/>
      </c>
      <c r="E382">
        <f>IF(A382="","",SUMIF(Tickets[TripKey],A382,Tickets[TP]))</f>
        <v/>
      </c>
      <c r="F382">
        <f>IF(A382="","",SUMIF(Tickets[TripKey],A382,Tickets[Revenue]))</f>
        <v/>
      </c>
      <c r="G382">
        <f>IF(A382="","",SUMIF(Tickets[TripKey],A382,Tickets[PK]))</f>
        <v/>
      </c>
      <c r="H382">
        <f>IF(A382="","",IFERROR(XLOOKUP(A382,Tickets[TripKey],Tickets[VehClean]),""))</f>
        <v/>
      </c>
      <c r="I382">
        <f>IF(A382="","",IFERROR(XLOOKUP(A382,Tickets[TripKey],Tickets[RouteLen]),0))</f>
        <v/>
      </c>
      <c r="J382">
        <f>IF(A382="","",IFERROR(XLOOKUP(A382,Tickets[TripKey],Tickets[Capacity]),0))</f>
        <v/>
      </c>
      <c r="K382">
        <f>IF(A382="","",I382*J382)</f>
        <v/>
      </c>
      <c r="L382">
        <f>IF(A382="","",IFERROR(MINIFS(Tickets[Trip Start Time],Tickets[TripKey],A382),""))</f>
        <v/>
      </c>
    </row>
    <row r="383">
      <c r="B383" s="8">
        <f>IF(A383="","",IFERROR(DATEVALUE(TEXTBEFORE(A383,"|")),--LEFT(A383,10)))</f>
        <v/>
      </c>
      <c r="C383">
        <f>IF(A383="","",TEXTBEFORE(TEXTAFTER(A383,"|"),"|"))</f>
        <v/>
      </c>
      <c r="D383">
        <f>IF(A383="","",TEXTAFTER(A383,"|",2))</f>
        <v/>
      </c>
      <c r="E383">
        <f>IF(A383="","",SUMIF(Tickets[TripKey],A383,Tickets[TP]))</f>
        <v/>
      </c>
      <c r="F383">
        <f>IF(A383="","",SUMIF(Tickets[TripKey],A383,Tickets[Revenue]))</f>
        <v/>
      </c>
      <c r="G383">
        <f>IF(A383="","",SUMIF(Tickets[TripKey],A383,Tickets[PK]))</f>
        <v/>
      </c>
      <c r="H383">
        <f>IF(A383="","",IFERROR(XLOOKUP(A383,Tickets[TripKey],Tickets[VehClean]),""))</f>
        <v/>
      </c>
      <c r="I383">
        <f>IF(A383="","",IFERROR(XLOOKUP(A383,Tickets[TripKey],Tickets[RouteLen]),0))</f>
        <v/>
      </c>
      <c r="J383">
        <f>IF(A383="","",IFERROR(XLOOKUP(A383,Tickets[TripKey],Tickets[Capacity]),0))</f>
        <v/>
      </c>
      <c r="K383">
        <f>IF(A383="","",I383*J383)</f>
        <v/>
      </c>
      <c r="L383">
        <f>IF(A383="","",IFERROR(MINIFS(Tickets[Trip Start Time],Tickets[TripKey],A383),""))</f>
        <v/>
      </c>
    </row>
    <row r="384">
      <c r="B384" s="8">
        <f>IF(A384="","",IFERROR(DATEVALUE(TEXTBEFORE(A384,"|")),--LEFT(A384,10)))</f>
        <v/>
      </c>
      <c r="C384">
        <f>IF(A384="","",TEXTBEFORE(TEXTAFTER(A384,"|"),"|"))</f>
        <v/>
      </c>
      <c r="D384">
        <f>IF(A384="","",TEXTAFTER(A384,"|",2))</f>
        <v/>
      </c>
      <c r="E384">
        <f>IF(A384="","",SUMIF(Tickets[TripKey],A384,Tickets[TP]))</f>
        <v/>
      </c>
      <c r="F384">
        <f>IF(A384="","",SUMIF(Tickets[TripKey],A384,Tickets[Revenue]))</f>
        <v/>
      </c>
      <c r="G384">
        <f>IF(A384="","",SUMIF(Tickets[TripKey],A384,Tickets[PK]))</f>
        <v/>
      </c>
      <c r="H384">
        <f>IF(A384="","",IFERROR(XLOOKUP(A384,Tickets[TripKey],Tickets[VehClean]),""))</f>
        <v/>
      </c>
      <c r="I384">
        <f>IF(A384="","",IFERROR(XLOOKUP(A384,Tickets[TripKey],Tickets[RouteLen]),0))</f>
        <v/>
      </c>
      <c r="J384">
        <f>IF(A384="","",IFERROR(XLOOKUP(A384,Tickets[TripKey],Tickets[Capacity]),0))</f>
        <v/>
      </c>
      <c r="K384">
        <f>IF(A384="","",I384*J384)</f>
        <v/>
      </c>
      <c r="L384">
        <f>IF(A384="","",IFERROR(MINIFS(Tickets[Trip Start Time],Tickets[TripKey],A384),""))</f>
        <v/>
      </c>
    </row>
    <row r="385">
      <c r="B385" s="8">
        <f>IF(A385="","",IFERROR(DATEVALUE(TEXTBEFORE(A385,"|")),--LEFT(A385,10)))</f>
        <v/>
      </c>
      <c r="C385">
        <f>IF(A385="","",TEXTBEFORE(TEXTAFTER(A385,"|"),"|"))</f>
        <v/>
      </c>
      <c r="D385">
        <f>IF(A385="","",TEXTAFTER(A385,"|",2))</f>
        <v/>
      </c>
      <c r="E385">
        <f>IF(A385="","",SUMIF(Tickets[TripKey],A385,Tickets[TP]))</f>
        <v/>
      </c>
      <c r="F385">
        <f>IF(A385="","",SUMIF(Tickets[TripKey],A385,Tickets[Revenue]))</f>
        <v/>
      </c>
      <c r="G385">
        <f>IF(A385="","",SUMIF(Tickets[TripKey],A385,Tickets[PK]))</f>
        <v/>
      </c>
      <c r="H385">
        <f>IF(A385="","",IFERROR(XLOOKUP(A385,Tickets[TripKey],Tickets[VehClean]),""))</f>
        <v/>
      </c>
      <c r="I385">
        <f>IF(A385="","",IFERROR(XLOOKUP(A385,Tickets[TripKey],Tickets[RouteLen]),0))</f>
        <v/>
      </c>
      <c r="J385">
        <f>IF(A385="","",IFERROR(XLOOKUP(A385,Tickets[TripKey],Tickets[Capacity]),0))</f>
        <v/>
      </c>
      <c r="K385">
        <f>IF(A385="","",I385*J385)</f>
        <v/>
      </c>
      <c r="L385">
        <f>IF(A385="","",IFERROR(MINIFS(Tickets[Trip Start Time],Tickets[TripKey],A385),""))</f>
        <v/>
      </c>
    </row>
    <row r="386">
      <c r="B386" s="8">
        <f>IF(A386="","",IFERROR(DATEVALUE(TEXTBEFORE(A386,"|")),--LEFT(A386,10)))</f>
        <v/>
      </c>
      <c r="C386">
        <f>IF(A386="","",TEXTBEFORE(TEXTAFTER(A386,"|"),"|"))</f>
        <v/>
      </c>
      <c r="D386">
        <f>IF(A386="","",TEXTAFTER(A386,"|",2))</f>
        <v/>
      </c>
      <c r="E386">
        <f>IF(A386="","",SUMIF(Tickets[TripKey],A386,Tickets[TP]))</f>
        <v/>
      </c>
      <c r="F386">
        <f>IF(A386="","",SUMIF(Tickets[TripKey],A386,Tickets[Revenue]))</f>
        <v/>
      </c>
      <c r="G386">
        <f>IF(A386="","",SUMIF(Tickets[TripKey],A386,Tickets[PK]))</f>
        <v/>
      </c>
      <c r="H386">
        <f>IF(A386="","",IFERROR(XLOOKUP(A386,Tickets[TripKey],Tickets[VehClean]),""))</f>
        <v/>
      </c>
      <c r="I386">
        <f>IF(A386="","",IFERROR(XLOOKUP(A386,Tickets[TripKey],Tickets[RouteLen]),0))</f>
        <v/>
      </c>
      <c r="J386">
        <f>IF(A386="","",IFERROR(XLOOKUP(A386,Tickets[TripKey],Tickets[Capacity]),0))</f>
        <v/>
      </c>
      <c r="K386">
        <f>IF(A386="","",I386*J386)</f>
        <v/>
      </c>
      <c r="L386">
        <f>IF(A386="","",IFERROR(MINIFS(Tickets[Trip Start Time],Tickets[TripKey],A386),""))</f>
        <v/>
      </c>
    </row>
    <row r="387">
      <c r="B387" s="8">
        <f>IF(A387="","",IFERROR(DATEVALUE(TEXTBEFORE(A387,"|")),--LEFT(A387,10)))</f>
        <v/>
      </c>
      <c r="C387">
        <f>IF(A387="","",TEXTBEFORE(TEXTAFTER(A387,"|"),"|"))</f>
        <v/>
      </c>
      <c r="D387">
        <f>IF(A387="","",TEXTAFTER(A387,"|",2))</f>
        <v/>
      </c>
      <c r="E387">
        <f>IF(A387="","",SUMIF(Tickets[TripKey],A387,Tickets[TP]))</f>
        <v/>
      </c>
      <c r="F387">
        <f>IF(A387="","",SUMIF(Tickets[TripKey],A387,Tickets[Revenue]))</f>
        <v/>
      </c>
      <c r="G387">
        <f>IF(A387="","",SUMIF(Tickets[TripKey],A387,Tickets[PK]))</f>
        <v/>
      </c>
      <c r="H387">
        <f>IF(A387="","",IFERROR(XLOOKUP(A387,Tickets[TripKey],Tickets[VehClean]),""))</f>
        <v/>
      </c>
      <c r="I387">
        <f>IF(A387="","",IFERROR(XLOOKUP(A387,Tickets[TripKey],Tickets[RouteLen]),0))</f>
        <v/>
      </c>
      <c r="J387">
        <f>IF(A387="","",IFERROR(XLOOKUP(A387,Tickets[TripKey],Tickets[Capacity]),0))</f>
        <v/>
      </c>
      <c r="K387">
        <f>IF(A387="","",I387*J387)</f>
        <v/>
      </c>
      <c r="L387">
        <f>IF(A387="","",IFERROR(MINIFS(Tickets[Trip Start Time],Tickets[TripKey],A387),""))</f>
        <v/>
      </c>
    </row>
    <row r="388">
      <c r="B388" s="8">
        <f>IF(A388="","",IFERROR(DATEVALUE(TEXTBEFORE(A388,"|")),--LEFT(A388,10)))</f>
        <v/>
      </c>
      <c r="C388">
        <f>IF(A388="","",TEXTBEFORE(TEXTAFTER(A388,"|"),"|"))</f>
        <v/>
      </c>
      <c r="D388">
        <f>IF(A388="","",TEXTAFTER(A388,"|",2))</f>
        <v/>
      </c>
      <c r="E388">
        <f>IF(A388="","",SUMIF(Tickets[TripKey],A388,Tickets[TP]))</f>
        <v/>
      </c>
      <c r="F388">
        <f>IF(A388="","",SUMIF(Tickets[TripKey],A388,Tickets[Revenue]))</f>
        <v/>
      </c>
      <c r="G388">
        <f>IF(A388="","",SUMIF(Tickets[TripKey],A388,Tickets[PK]))</f>
        <v/>
      </c>
      <c r="H388">
        <f>IF(A388="","",IFERROR(XLOOKUP(A388,Tickets[TripKey],Tickets[VehClean]),""))</f>
        <v/>
      </c>
      <c r="I388">
        <f>IF(A388="","",IFERROR(XLOOKUP(A388,Tickets[TripKey],Tickets[RouteLen]),0))</f>
        <v/>
      </c>
      <c r="J388">
        <f>IF(A388="","",IFERROR(XLOOKUP(A388,Tickets[TripKey],Tickets[Capacity]),0))</f>
        <v/>
      </c>
      <c r="K388">
        <f>IF(A388="","",I388*J388)</f>
        <v/>
      </c>
      <c r="L388">
        <f>IF(A388="","",IFERROR(MINIFS(Tickets[Trip Start Time],Tickets[TripKey],A388),""))</f>
        <v/>
      </c>
    </row>
    <row r="389">
      <c r="B389" s="8">
        <f>IF(A389="","",IFERROR(DATEVALUE(TEXTBEFORE(A389,"|")),--LEFT(A389,10)))</f>
        <v/>
      </c>
      <c r="C389">
        <f>IF(A389="","",TEXTBEFORE(TEXTAFTER(A389,"|"),"|"))</f>
        <v/>
      </c>
      <c r="D389">
        <f>IF(A389="","",TEXTAFTER(A389,"|",2))</f>
        <v/>
      </c>
      <c r="E389">
        <f>IF(A389="","",SUMIF(Tickets[TripKey],A389,Tickets[TP]))</f>
        <v/>
      </c>
      <c r="F389">
        <f>IF(A389="","",SUMIF(Tickets[TripKey],A389,Tickets[Revenue]))</f>
        <v/>
      </c>
      <c r="G389">
        <f>IF(A389="","",SUMIF(Tickets[TripKey],A389,Tickets[PK]))</f>
        <v/>
      </c>
      <c r="H389">
        <f>IF(A389="","",IFERROR(XLOOKUP(A389,Tickets[TripKey],Tickets[VehClean]),""))</f>
        <v/>
      </c>
      <c r="I389">
        <f>IF(A389="","",IFERROR(XLOOKUP(A389,Tickets[TripKey],Tickets[RouteLen]),0))</f>
        <v/>
      </c>
      <c r="J389">
        <f>IF(A389="","",IFERROR(XLOOKUP(A389,Tickets[TripKey],Tickets[Capacity]),0))</f>
        <v/>
      </c>
      <c r="K389">
        <f>IF(A389="","",I389*J389)</f>
        <v/>
      </c>
      <c r="L389">
        <f>IF(A389="","",IFERROR(MINIFS(Tickets[Trip Start Time],Tickets[TripKey],A389),""))</f>
        <v/>
      </c>
    </row>
    <row r="390">
      <c r="B390" s="8">
        <f>IF(A390="","",IFERROR(DATEVALUE(TEXTBEFORE(A390,"|")),--LEFT(A390,10)))</f>
        <v/>
      </c>
      <c r="C390">
        <f>IF(A390="","",TEXTBEFORE(TEXTAFTER(A390,"|"),"|"))</f>
        <v/>
      </c>
      <c r="D390">
        <f>IF(A390="","",TEXTAFTER(A390,"|",2))</f>
        <v/>
      </c>
      <c r="E390">
        <f>IF(A390="","",SUMIF(Tickets[TripKey],A390,Tickets[TP]))</f>
        <v/>
      </c>
      <c r="F390">
        <f>IF(A390="","",SUMIF(Tickets[TripKey],A390,Tickets[Revenue]))</f>
        <v/>
      </c>
      <c r="G390">
        <f>IF(A390="","",SUMIF(Tickets[TripKey],A390,Tickets[PK]))</f>
        <v/>
      </c>
      <c r="H390">
        <f>IF(A390="","",IFERROR(XLOOKUP(A390,Tickets[TripKey],Tickets[VehClean]),""))</f>
        <v/>
      </c>
      <c r="I390">
        <f>IF(A390="","",IFERROR(XLOOKUP(A390,Tickets[TripKey],Tickets[RouteLen]),0))</f>
        <v/>
      </c>
      <c r="J390">
        <f>IF(A390="","",IFERROR(XLOOKUP(A390,Tickets[TripKey],Tickets[Capacity]),0))</f>
        <v/>
      </c>
      <c r="K390">
        <f>IF(A390="","",I390*J390)</f>
        <v/>
      </c>
      <c r="L390">
        <f>IF(A390="","",IFERROR(MINIFS(Tickets[Trip Start Time],Tickets[TripKey],A390),""))</f>
        <v/>
      </c>
    </row>
    <row r="391">
      <c r="B391" s="8">
        <f>IF(A391="","",IFERROR(DATEVALUE(TEXTBEFORE(A391,"|")),--LEFT(A391,10)))</f>
        <v/>
      </c>
      <c r="C391">
        <f>IF(A391="","",TEXTBEFORE(TEXTAFTER(A391,"|"),"|"))</f>
        <v/>
      </c>
      <c r="D391">
        <f>IF(A391="","",TEXTAFTER(A391,"|",2))</f>
        <v/>
      </c>
      <c r="E391">
        <f>IF(A391="","",SUMIF(Tickets[TripKey],A391,Tickets[TP]))</f>
        <v/>
      </c>
      <c r="F391">
        <f>IF(A391="","",SUMIF(Tickets[TripKey],A391,Tickets[Revenue]))</f>
        <v/>
      </c>
      <c r="G391">
        <f>IF(A391="","",SUMIF(Tickets[TripKey],A391,Tickets[PK]))</f>
        <v/>
      </c>
      <c r="H391">
        <f>IF(A391="","",IFERROR(XLOOKUP(A391,Tickets[TripKey],Tickets[VehClean]),""))</f>
        <v/>
      </c>
      <c r="I391">
        <f>IF(A391="","",IFERROR(XLOOKUP(A391,Tickets[TripKey],Tickets[RouteLen]),0))</f>
        <v/>
      </c>
      <c r="J391">
        <f>IF(A391="","",IFERROR(XLOOKUP(A391,Tickets[TripKey],Tickets[Capacity]),0))</f>
        <v/>
      </c>
      <c r="K391">
        <f>IF(A391="","",I391*J391)</f>
        <v/>
      </c>
      <c r="L391">
        <f>IF(A391="","",IFERROR(MINIFS(Tickets[Trip Start Time],Tickets[TripKey],A391),""))</f>
        <v/>
      </c>
    </row>
    <row r="392">
      <c r="B392" s="8">
        <f>IF(A392="","",IFERROR(DATEVALUE(TEXTBEFORE(A392,"|")),--LEFT(A392,10)))</f>
        <v/>
      </c>
      <c r="C392">
        <f>IF(A392="","",TEXTBEFORE(TEXTAFTER(A392,"|"),"|"))</f>
        <v/>
      </c>
      <c r="D392">
        <f>IF(A392="","",TEXTAFTER(A392,"|",2))</f>
        <v/>
      </c>
      <c r="E392">
        <f>IF(A392="","",SUMIF(Tickets[TripKey],A392,Tickets[TP]))</f>
        <v/>
      </c>
      <c r="F392">
        <f>IF(A392="","",SUMIF(Tickets[TripKey],A392,Tickets[Revenue]))</f>
        <v/>
      </c>
      <c r="G392">
        <f>IF(A392="","",SUMIF(Tickets[TripKey],A392,Tickets[PK]))</f>
        <v/>
      </c>
      <c r="H392">
        <f>IF(A392="","",IFERROR(XLOOKUP(A392,Tickets[TripKey],Tickets[VehClean]),""))</f>
        <v/>
      </c>
      <c r="I392">
        <f>IF(A392="","",IFERROR(XLOOKUP(A392,Tickets[TripKey],Tickets[RouteLen]),0))</f>
        <v/>
      </c>
      <c r="J392">
        <f>IF(A392="","",IFERROR(XLOOKUP(A392,Tickets[TripKey],Tickets[Capacity]),0))</f>
        <v/>
      </c>
      <c r="K392">
        <f>IF(A392="","",I392*J392)</f>
        <v/>
      </c>
      <c r="L392">
        <f>IF(A392="","",IFERROR(MINIFS(Tickets[Trip Start Time],Tickets[TripKey],A392),""))</f>
        <v/>
      </c>
    </row>
    <row r="393">
      <c r="B393" s="8">
        <f>IF(A393="","",IFERROR(DATEVALUE(TEXTBEFORE(A393,"|")),--LEFT(A393,10)))</f>
        <v/>
      </c>
      <c r="C393">
        <f>IF(A393="","",TEXTBEFORE(TEXTAFTER(A393,"|"),"|"))</f>
        <v/>
      </c>
      <c r="D393">
        <f>IF(A393="","",TEXTAFTER(A393,"|",2))</f>
        <v/>
      </c>
      <c r="E393">
        <f>IF(A393="","",SUMIF(Tickets[TripKey],A393,Tickets[TP]))</f>
        <v/>
      </c>
      <c r="F393">
        <f>IF(A393="","",SUMIF(Tickets[TripKey],A393,Tickets[Revenue]))</f>
        <v/>
      </c>
      <c r="G393">
        <f>IF(A393="","",SUMIF(Tickets[TripKey],A393,Tickets[PK]))</f>
        <v/>
      </c>
      <c r="H393">
        <f>IF(A393="","",IFERROR(XLOOKUP(A393,Tickets[TripKey],Tickets[VehClean]),""))</f>
        <v/>
      </c>
      <c r="I393">
        <f>IF(A393="","",IFERROR(XLOOKUP(A393,Tickets[TripKey],Tickets[RouteLen]),0))</f>
        <v/>
      </c>
      <c r="J393">
        <f>IF(A393="","",IFERROR(XLOOKUP(A393,Tickets[TripKey],Tickets[Capacity]),0))</f>
        <v/>
      </c>
      <c r="K393">
        <f>IF(A393="","",I393*J393)</f>
        <v/>
      </c>
      <c r="L393">
        <f>IF(A393="","",IFERROR(MINIFS(Tickets[Trip Start Time],Tickets[TripKey],A393),""))</f>
        <v/>
      </c>
    </row>
    <row r="394">
      <c r="B394" s="8">
        <f>IF(A394="","",IFERROR(DATEVALUE(TEXTBEFORE(A394,"|")),--LEFT(A394,10)))</f>
        <v/>
      </c>
      <c r="C394">
        <f>IF(A394="","",TEXTBEFORE(TEXTAFTER(A394,"|"),"|"))</f>
        <v/>
      </c>
      <c r="D394">
        <f>IF(A394="","",TEXTAFTER(A394,"|",2))</f>
        <v/>
      </c>
      <c r="E394">
        <f>IF(A394="","",SUMIF(Tickets[TripKey],A394,Tickets[TP]))</f>
        <v/>
      </c>
      <c r="F394">
        <f>IF(A394="","",SUMIF(Tickets[TripKey],A394,Tickets[Revenue]))</f>
        <v/>
      </c>
      <c r="G394">
        <f>IF(A394="","",SUMIF(Tickets[TripKey],A394,Tickets[PK]))</f>
        <v/>
      </c>
      <c r="H394">
        <f>IF(A394="","",IFERROR(XLOOKUP(A394,Tickets[TripKey],Tickets[VehClean]),""))</f>
        <v/>
      </c>
      <c r="I394">
        <f>IF(A394="","",IFERROR(XLOOKUP(A394,Tickets[TripKey],Tickets[RouteLen]),0))</f>
        <v/>
      </c>
      <c r="J394">
        <f>IF(A394="","",IFERROR(XLOOKUP(A394,Tickets[TripKey],Tickets[Capacity]),0))</f>
        <v/>
      </c>
      <c r="K394">
        <f>IF(A394="","",I394*J394)</f>
        <v/>
      </c>
      <c r="L394">
        <f>IF(A394="","",IFERROR(MINIFS(Tickets[Trip Start Time],Tickets[TripKey],A394),""))</f>
        <v/>
      </c>
    </row>
    <row r="395">
      <c r="B395" s="8">
        <f>IF(A395="","",IFERROR(DATEVALUE(TEXTBEFORE(A395,"|")),--LEFT(A395,10)))</f>
        <v/>
      </c>
      <c r="C395">
        <f>IF(A395="","",TEXTBEFORE(TEXTAFTER(A395,"|"),"|"))</f>
        <v/>
      </c>
      <c r="D395">
        <f>IF(A395="","",TEXTAFTER(A395,"|",2))</f>
        <v/>
      </c>
      <c r="E395">
        <f>IF(A395="","",SUMIF(Tickets[TripKey],A395,Tickets[TP]))</f>
        <v/>
      </c>
      <c r="F395">
        <f>IF(A395="","",SUMIF(Tickets[TripKey],A395,Tickets[Revenue]))</f>
        <v/>
      </c>
      <c r="G395">
        <f>IF(A395="","",SUMIF(Tickets[TripKey],A395,Tickets[PK]))</f>
        <v/>
      </c>
      <c r="H395">
        <f>IF(A395="","",IFERROR(XLOOKUP(A395,Tickets[TripKey],Tickets[VehClean]),""))</f>
        <v/>
      </c>
      <c r="I395">
        <f>IF(A395="","",IFERROR(XLOOKUP(A395,Tickets[TripKey],Tickets[RouteLen]),0))</f>
        <v/>
      </c>
      <c r="J395">
        <f>IF(A395="","",IFERROR(XLOOKUP(A395,Tickets[TripKey],Tickets[Capacity]),0))</f>
        <v/>
      </c>
      <c r="K395">
        <f>IF(A395="","",I395*J395)</f>
        <v/>
      </c>
      <c r="L395">
        <f>IF(A395="","",IFERROR(MINIFS(Tickets[Trip Start Time],Tickets[TripKey],A395),""))</f>
        <v/>
      </c>
    </row>
    <row r="396">
      <c r="B396" s="8">
        <f>IF(A396="","",IFERROR(DATEVALUE(TEXTBEFORE(A396,"|")),--LEFT(A396,10)))</f>
        <v/>
      </c>
      <c r="C396">
        <f>IF(A396="","",TEXTBEFORE(TEXTAFTER(A396,"|"),"|"))</f>
        <v/>
      </c>
      <c r="D396">
        <f>IF(A396="","",TEXTAFTER(A396,"|",2))</f>
        <v/>
      </c>
      <c r="E396">
        <f>IF(A396="","",SUMIF(Tickets[TripKey],A396,Tickets[TP]))</f>
        <v/>
      </c>
      <c r="F396">
        <f>IF(A396="","",SUMIF(Tickets[TripKey],A396,Tickets[Revenue]))</f>
        <v/>
      </c>
      <c r="G396">
        <f>IF(A396="","",SUMIF(Tickets[TripKey],A396,Tickets[PK]))</f>
        <v/>
      </c>
      <c r="H396">
        <f>IF(A396="","",IFERROR(XLOOKUP(A396,Tickets[TripKey],Tickets[VehClean]),""))</f>
        <v/>
      </c>
      <c r="I396">
        <f>IF(A396="","",IFERROR(XLOOKUP(A396,Tickets[TripKey],Tickets[RouteLen]),0))</f>
        <v/>
      </c>
      <c r="J396">
        <f>IF(A396="","",IFERROR(XLOOKUP(A396,Tickets[TripKey],Tickets[Capacity]),0))</f>
        <v/>
      </c>
      <c r="K396">
        <f>IF(A396="","",I396*J396)</f>
        <v/>
      </c>
      <c r="L396">
        <f>IF(A396="","",IFERROR(MINIFS(Tickets[Trip Start Time],Tickets[TripKey],A396),""))</f>
        <v/>
      </c>
    </row>
    <row r="397">
      <c r="B397" s="8">
        <f>IF(A397="","",IFERROR(DATEVALUE(TEXTBEFORE(A397,"|")),--LEFT(A397,10)))</f>
        <v/>
      </c>
      <c r="C397">
        <f>IF(A397="","",TEXTBEFORE(TEXTAFTER(A397,"|"),"|"))</f>
        <v/>
      </c>
      <c r="D397">
        <f>IF(A397="","",TEXTAFTER(A397,"|",2))</f>
        <v/>
      </c>
      <c r="E397">
        <f>IF(A397="","",SUMIF(Tickets[TripKey],A397,Tickets[TP]))</f>
        <v/>
      </c>
      <c r="F397">
        <f>IF(A397="","",SUMIF(Tickets[TripKey],A397,Tickets[Revenue]))</f>
        <v/>
      </c>
      <c r="G397">
        <f>IF(A397="","",SUMIF(Tickets[TripKey],A397,Tickets[PK]))</f>
        <v/>
      </c>
      <c r="H397">
        <f>IF(A397="","",IFERROR(XLOOKUP(A397,Tickets[TripKey],Tickets[VehClean]),""))</f>
        <v/>
      </c>
      <c r="I397">
        <f>IF(A397="","",IFERROR(XLOOKUP(A397,Tickets[TripKey],Tickets[RouteLen]),0))</f>
        <v/>
      </c>
      <c r="J397">
        <f>IF(A397="","",IFERROR(XLOOKUP(A397,Tickets[TripKey],Tickets[Capacity]),0))</f>
        <v/>
      </c>
      <c r="K397">
        <f>IF(A397="","",I397*J397)</f>
        <v/>
      </c>
      <c r="L397">
        <f>IF(A397="","",IFERROR(MINIFS(Tickets[Trip Start Time],Tickets[TripKey],A397),""))</f>
        <v/>
      </c>
    </row>
    <row r="398">
      <c r="B398" s="8">
        <f>IF(A398="","",IFERROR(DATEVALUE(TEXTBEFORE(A398,"|")),--LEFT(A398,10)))</f>
        <v/>
      </c>
      <c r="C398">
        <f>IF(A398="","",TEXTBEFORE(TEXTAFTER(A398,"|"),"|"))</f>
        <v/>
      </c>
      <c r="D398">
        <f>IF(A398="","",TEXTAFTER(A398,"|",2))</f>
        <v/>
      </c>
      <c r="E398">
        <f>IF(A398="","",SUMIF(Tickets[TripKey],A398,Tickets[TP]))</f>
        <v/>
      </c>
      <c r="F398">
        <f>IF(A398="","",SUMIF(Tickets[TripKey],A398,Tickets[Revenue]))</f>
        <v/>
      </c>
      <c r="G398">
        <f>IF(A398="","",SUMIF(Tickets[TripKey],A398,Tickets[PK]))</f>
        <v/>
      </c>
      <c r="H398">
        <f>IF(A398="","",IFERROR(XLOOKUP(A398,Tickets[TripKey],Tickets[VehClean]),""))</f>
        <v/>
      </c>
      <c r="I398">
        <f>IF(A398="","",IFERROR(XLOOKUP(A398,Tickets[TripKey],Tickets[RouteLen]),0))</f>
        <v/>
      </c>
      <c r="J398">
        <f>IF(A398="","",IFERROR(XLOOKUP(A398,Tickets[TripKey],Tickets[Capacity]),0))</f>
        <v/>
      </c>
      <c r="K398">
        <f>IF(A398="","",I398*J398)</f>
        <v/>
      </c>
      <c r="L398">
        <f>IF(A398="","",IFERROR(MINIFS(Tickets[Trip Start Time],Tickets[TripKey],A398),""))</f>
        <v/>
      </c>
    </row>
    <row r="399">
      <c r="B399" s="8">
        <f>IF(A399="","",IFERROR(DATEVALUE(TEXTBEFORE(A399,"|")),--LEFT(A399,10)))</f>
        <v/>
      </c>
      <c r="C399">
        <f>IF(A399="","",TEXTBEFORE(TEXTAFTER(A399,"|"),"|"))</f>
        <v/>
      </c>
      <c r="D399">
        <f>IF(A399="","",TEXTAFTER(A399,"|",2))</f>
        <v/>
      </c>
      <c r="E399">
        <f>IF(A399="","",SUMIF(Tickets[TripKey],A399,Tickets[TP]))</f>
        <v/>
      </c>
      <c r="F399">
        <f>IF(A399="","",SUMIF(Tickets[TripKey],A399,Tickets[Revenue]))</f>
        <v/>
      </c>
      <c r="G399">
        <f>IF(A399="","",SUMIF(Tickets[TripKey],A399,Tickets[PK]))</f>
        <v/>
      </c>
      <c r="H399">
        <f>IF(A399="","",IFERROR(XLOOKUP(A399,Tickets[TripKey],Tickets[VehClean]),""))</f>
        <v/>
      </c>
      <c r="I399">
        <f>IF(A399="","",IFERROR(XLOOKUP(A399,Tickets[TripKey],Tickets[RouteLen]),0))</f>
        <v/>
      </c>
      <c r="J399">
        <f>IF(A399="","",IFERROR(XLOOKUP(A399,Tickets[TripKey],Tickets[Capacity]),0))</f>
        <v/>
      </c>
      <c r="K399">
        <f>IF(A399="","",I399*J399)</f>
        <v/>
      </c>
      <c r="L399">
        <f>IF(A399="","",IFERROR(MINIFS(Tickets[Trip Start Time],Tickets[TripKey],A399),""))</f>
        <v/>
      </c>
    </row>
    <row r="400">
      <c r="B400" s="8">
        <f>IF(A400="","",IFERROR(DATEVALUE(TEXTBEFORE(A400,"|")),--LEFT(A400,10)))</f>
        <v/>
      </c>
      <c r="C400">
        <f>IF(A400="","",TEXTBEFORE(TEXTAFTER(A400,"|"),"|"))</f>
        <v/>
      </c>
      <c r="D400">
        <f>IF(A400="","",TEXTAFTER(A400,"|",2))</f>
        <v/>
      </c>
      <c r="E400">
        <f>IF(A400="","",SUMIF(Tickets[TripKey],A400,Tickets[TP]))</f>
        <v/>
      </c>
      <c r="F400">
        <f>IF(A400="","",SUMIF(Tickets[TripKey],A400,Tickets[Revenue]))</f>
        <v/>
      </c>
      <c r="G400">
        <f>IF(A400="","",SUMIF(Tickets[TripKey],A400,Tickets[PK]))</f>
        <v/>
      </c>
      <c r="H400">
        <f>IF(A400="","",IFERROR(XLOOKUP(A400,Tickets[TripKey],Tickets[VehClean]),""))</f>
        <v/>
      </c>
      <c r="I400">
        <f>IF(A400="","",IFERROR(XLOOKUP(A400,Tickets[TripKey],Tickets[RouteLen]),0))</f>
        <v/>
      </c>
      <c r="J400">
        <f>IF(A400="","",IFERROR(XLOOKUP(A400,Tickets[TripKey],Tickets[Capacity]),0))</f>
        <v/>
      </c>
      <c r="K400">
        <f>IF(A400="","",I400*J400)</f>
        <v/>
      </c>
      <c r="L400">
        <f>IF(A400="","",IFERROR(MINIFS(Tickets[Trip Start Time],Tickets[TripKey],A400),""))</f>
        <v/>
      </c>
    </row>
    <row r="401">
      <c r="B401" s="8">
        <f>IF(A401="","",IFERROR(DATEVALUE(TEXTBEFORE(A401,"|")),--LEFT(A401,10)))</f>
        <v/>
      </c>
      <c r="C401">
        <f>IF(A401="","",TEXTBEFORE(TEXTAFTER(A401,"|"),"|"))</f>
        <v/>
      </c>
      <c r="D401">
        <f>IF(A401="","",TEXTAFTER(A401,"|",2))</f>
        <v/>
      </c>
      <c r="E401">
        <f>IF(A401="","",SUMIF(Tickets[TripKey],A401,Tickets[TP]))</f>
        <v/>
      </c>
      <c r="F401">
        <f>IF(A401="","",SUMIF(Tickets[TripKey],A401,Tickets[Revenue]))</f>
        <v/>
      </c>
      <c r="G401">
        <f>IF(A401="","",SUMIF(Tickets[TripKey],A401,Tickets[PK]))</f>
        <v/>
      </c>
      <c r="H401">
        <f>IF(A401="","",IFERROR(XLOOKUP(A401,Tickets[TripKey],Tickets[VehClean]),""))</f>
        <v/>
      </c>
      <c r="I401">
        <f>IF(A401="","",IFERROR(XLOOKUP(A401,Tickets[TripKey],Tickets[RouteLen]),0))</f>
        <v/>
      </c>
      <c r="J401">
        <f>IF(A401="","",IFERROR(XLOOKUP(A401,Tickets[TripKey],Tickets[Capacity]),0))</f>
        <v/>
      </c>
      <c r="K401">
        <f>IF(A401="","",I401*J401)</f>
        <v/>
      </c>
      <c r="L401">
        <f>IF(A401="","",IFERROR(MINIFS(Tickets[Trip Start Time],Tickets[TripKey],A401),""))</f>
        <v/>
      </c>
    </row>
    <row r="402">
      <c r="B402" s="8">
        <f>IF(A402="","",IFERROR(DATEVALUE(TEXTBEFORE(A402,"|")),--LEFT(A402,10)))</f>
        <v/>
      </c>
      <c r="C402">
        <f>IF(A402="","",TEXTBEFORE(TEXTAFTER(A402,"|"),"|"))</f>
        <v/>
      </c>
      <c r="D402">
        <f>IF(A402="","",TEXTAFTER(A402,"|",2))</f>
        <v/>
      </c>
      <c r="E402">
        <f>IF(A402="","",SUMIF(Tickets[TripKey],A402,Tickets[TP]))</f>
        <v/>
      </c>
      <c r="F402">
        <f>IF(A402="","",SUMIF(Tickets[TripKey],A402,Tickets[Revenue]))</f>
        <v/>
      </c>
      <c r="G402">
        <f>IF(A402="","",SUMIF(Tickets[TripKey],A402,Tickets[PK]))</f>
        <v/>
      </c>
      <c r="H402">
        <f>IF(A402="","",IFERROR(XLOOKUP(A402,Tickets[TripKey],Tickets[VehClean]),""))</f>
        <v/>
      </c>
      <c r="I402">
        <f>IF(A402="","",IFERROR(XLOOKUP(A402,Tickets[TripKey],Tickets[RouteLen]),0))</f>
        <v/>
      </c>
      <c r="J402">
        <f>IF(A402="","",IFERROR(XLOOKUP(A402,Tickets[TripKey],Tickets[Capacity]),0))</f>
        <v/>
      </c>
      <c r="K402">
        <f>IF(A402="","",I402*J402)</f>
        <v/>
      </c>
      <c r="L402">
        <f>IF(A402="","",IFERROR(MINIFS(Tickets[Trip Start Time],Tickets[TripKey],A402),""))</f>
        <v/>
      </c>
    </row>
    <row r="403">
      <c r="B403" s="8">
        <f>IF(A403="","",IFERROR(DATEVALUE(TEXTBEFORE(A403,"|")),--LEFT(A403,10)))</f>
        <v/>
      </c>
      <c r="C403">
        <f>IF(A403="","",TEXTBEFORE(TEXTAFTER(A403,"|"),"|"))</f>
        <v/>
      </c>
      <c r="D403">
        <f>IF(A403="","",TEXTAFTER(A403,"|",2))</f>
        <v/>
      </c>
      <c r="E403">
        <f>IF(A403="","",SUMIF(Tickets[TripKey],A403,Tickets[TP]))</f>
        <v/>
      </c>
      <c r="F403">
        <f>IF(A403="","",SUMIF(Tickets[TripKey],A403,Tickets[Revenue]))</f>
        <v/>
      </c>
      <c r="G403">
        <f>IF(A403="","",SUMIF(Tickets[TripKey],A403,Tickets[PK]))</f>
        <v/>
      </c>
      <c r="H403">
        <f>IF(A403="","",IFERROR(XLOOKUP(A403,Tickets[TripKey],Tickets[VehClean]),""))</f>
        <v/>
      </c>
      <c r="I403">
        <f>IF(A403="","",IFERROR(XLOOKUP(A403,Tickets[TripKey],Tickets[RouteLen]),0))</f>
        <v/>
      </c>
      <c r="J403">
        <f>IF(A403="","",IFERROR(XLOOKUP(A403,Tickets[TripKey],Tickets[Capacity]),0))</f>
        <v/>
      </c>
      <c r="K403">
        <f>IF(A403="","",I403*J403)</f>
        <v/>
      </c>
      <c r="L403">
        <f>IF(A403="","",IFERROR(MINIFS(Tickets[Trip Start Time],Tickets[TripKey],A403),""))</f>
        <v/>
      </c>
    </row>
    <row r="404">
      <c r="B404" s="8">
        <f>IF(A404="","",IFERROR(DATEVALUE(TEXTBEFORE(A404,"|")),--LEFT(A404,10)))</f>
        <v/>
      </c>
      <c r="C404">
        <f>IF(A404="","",TEXTBEFORE(TEXTAFTER(A404,"|"),"|"))</f>
        <v/>
      </c>
      <c r="D404">
        <f>IF(A404="","",TEXTAFTER(A404,"|",2))</f>
        <v/>
      </c>
      <c r="E404">
        <f>IF(A404="","",SUMIF(Tickets[TripKey],A404,Tickets[TP]))</f>
        <v/>
      </c>
      <c r="F404">
        <f>IF(A404="","",SUMIF(Tickets[TripKey],A404,Tickets[Revenue]))</f>
        <v/>
      </c>
      <c r="G404">
        <f>IF(A404="","",SUMIF(Tickets[TripKey],A404,Tickets[PK]))</f>
        <v/>
      </c>
      <c r="H404">
        <f>IF(A404="","",IFERROR(XLOOKUP(A404,Tickets[TripKey],Tickets[VehClean]),""))</f>
        <v/>
      </c>
      <c r="I404">
        <f>IF(A404="","",IFERROR(XLOOKUP(A404,Tickets[TripKey],Tickets[RouteLen]),0))</f>
        <v/>
      </c>
      <c r="J404">
        <f>IF(A404="","",IFERROR(XLOOKUP(A404,Tickets[TripKey],Tickets[Capacity]),0))</f>
        <v/>
      </c>
      <c r="K404">
        <f>IF(A404="","",I404*J404)</f>
        <v/>
      </c>
      <c r="L404">
        <f>IF(A404="","",IFERROR(MINIFS(Tickets[Trip Start Time],Tickets[TripKey],A404),""))</f>
        <v/>
      </c>
    </row>
    <row r="405">
      <c r="B405" s="8">
        <f>IF(A405="","",IFERROR(DATEVALUE(TEXTBEFORE(A405,"|")),--LEFT(A405,10)))</f>
        <v/>
      </c>
      <c r="C405">
        <f>IF(A405="","",TEXTBEFORE(TEXTAFTER(A405,"|"),"|"))</f>
        <v/>
      </c>
      <c r="D405">
        <f>IF(A405="","",TEXTAFTER(A405,"|",2))</f>
        <v/>
      </c>
      <c r="E405">
        <f>IF(A405="","",SUMIF(Tickets[TripKey],A405,Tickets[TP]))</f>
        <v/>
      </c>
      <c r="F405">
        <f>IF(A405="","",SUMIF(Tickets[TripKey],A405,Tickets[Revenue]))</f>
        <v/>
      </c>
      <c r="G405">
        <f>IF(A405="","",SUMIF(Tickets[TripKey],A405,Tickets[PK]))</f>
        <v/>
      </c>
      <c r="H405">
        <f>IF(A405="","",IFERROR(XLOOKUP(A405,Tickets[TripKey],Tickets[VehClean]),""))</f>
        <v/>
      </c>
      <c r="I405">
        <f>IF(A405="","",IFERROR(XLOOKUP(A405,Tickets[TripKey],Tickets[RouteLen]),0))</f>
        <v/>
      </c>
      <c r="J405">
        <f>IF(A405="","",IFERROR(XLOOKUP(A405,Tickets[TripKey],Tickets[Capacity]),0))</f>
        <v/>
      </c>
      <c r="K405">
        <f>IF(A405="","",I405*J405)</f>
        <v/>
      </c>
      <c r="L405">
        <f>IF(A405="","",IFERROR(MINIFS(Tickets[Trip Start Time],Tickets[TripKey],A405),""))</f>
        <v/>
      </c>
    </row>
    <row r="406">
      <c r="B406" s="8">
        <f>IF(A406="","",IFERROR(DATEVALUE(TEXTBEFORE(A406,"|")),--LEFT(A406,10)))</f>
        <v/>
      </c>
      <c r="C406">
        <f>IF(A406="","",TEXTBEFORE(TEXTAFTER(A406,"|"),"|"))</f>
        <v/>
      </c>
      <c r="D406">
        <f>IF(A406="","",TEXTAFTER(A406,"|",2))</f>
        <v/>
      </c>
      <c r="E406">
        <f>IF(A406="","",SUMIF(Tickets[TripKey],A406,Tickets[TP]))</f>
        <v/>
      </c>
      <c r="F406">
        <f>IF(A406="","",SUMIF(Tickets[TripKey],A406,Tickets[Revenue]))</f>
        <v/>
      </c>
      <c r="G406">
        <f>IF(A406="","",SUMIF(Tickets[TripKey],A406,Tickets[PK]))</f>
        <v/>
      </c>
      <c r="H406">
        <f>IF(A406="","",IFERROR(XLOOKUP(A406,Tickets[TripKey],Tickets[VehClean]),""))</f>
        <v/>
      </c>
      <c r="I406">
        <f>IF(A406="","",IFERROR(XLOOKUP(A406,Tickets[TripKey],Tickets[RouteLen]),0))</f>
        <v/>
      </c>
      <c r="J406">
        <f>IF(A406="","",IFERROR(XLOOKUP(A406,Tickets[TripKey],Tickets[Capacity]),0))</f>
        <v/>
      </c>
      <c r="K406">
        <f>IF(A406="","",I406*J406)</f>
        <v/>
      </c>
      <c r="L406">
        <f>IF(A406="","",IFERROR(MINIFS(Tickets[Trip Start Time],Tickets[TripKey],A406),""))</f>
        <v/>
      </c>
    </row>
    <row r="407">
      <c r="B407" s="8">
        <f>IF(A407="","",IFERROR(DATEVALUE(TEXTBEFORE(A407,"|")),--LEFT(A407,10)))</f>
        <v/>
      </c>
      <c r="C407">
        <f>IF(A407="","",TEXTBEFORE(TEXTAFTER(A407,"|"),"|"))</f>
        <v/>
      </c>
      <c r="D407">
        <f>IF(A407="","",TEXTAFTER(A407,"|",2))</f>
        <v/>
      </c>
      <c r="E407">
        <f>IF(A407="","",SUMIF(Tickets[TripKey],A407,Tickets[TP]))</f>
        <v/>
      </c>
      <c r="F407">
        <f>IF(A407="","",SUMIF(Tickets[TripKey],A407,Tickets[Revenue]))</f>
        <v/>
      </c>
      <c r="G407">
        <f>IF(A407="","",SUMIF(Tickets[TripKey],A407,Tickets[PK]))</f>
        <v/>
      </c>
      <c r="H407">
        <f>IF(A407="","",IFERROR(XLOOKUP(A407,Tickets[TripKey],Tickets[VehClean]),""))</f>
        <v/>
      </c>
      <c r="I407">
        <f>IF(A407="","",IFERROR(XLOOKUP(A407,Tickets[TripKey],Tickets[RouteLen]),0))</f>
        <v/>
      </c>
      <c r="J407">
        <f>IF(A407="","",IFERROR(XLOOKUP(A407,Tickets[TripKey],Tickets[Capacity]),0))</f>
        <v/>
      </c>
      <c r="K407">
        <f>IF(A407="","",I407*J407)</f>
        <v/>
      </c>
      <c r="L407">
        <f>IF(A407="","",IFERROR(MINIFS(Tickets[Trip Start Time],Tickets[TripKey],A407),""))</f>
        <v/>
      </c>
    </row>
    <row r="408">
      <c r="B408" s="8">
        <f>IF(A408="","",IFERROR(DATEVALUE(TEXTBEFORE(A408,"|")),--LEFT(A408,10)))</f>
        <v/>
      </c>
      <c r="C408">
        <f>IF(A408="","",TEXTBEFORE(TEXTAFTER(A408,"|"),"|"))</f>
        <v/>
      </c>
      <c r="D408">
        <f>IF(A408="","",TEXTAFTER(A408,"|",2))</f>
        <v/>
      </c>
      <c r="E408">
        <f>IF(A408="","",SUMIF(Tickets[TripKey],A408,Tickets[TP]))</f>
        <v/>
      </c>
      <c r="F408">
        <f>IF(A408="","",SUMIF(Tickets[TripKey],A408,Tickets[Revenue]))</f>
        <v/>
      </c>
      <c r="G408">
        <f>IF(A408="","",SUMIF(Tickets[TripKey],A408,Tickets[PK]))</f>
        <v/>
      </c>
      <c r="H408">
        <f>IF(A408="","",IFERROR(XLOOKUP(A408,Tickets[TripKey],Tickets[VehClean]),""))</f>
        <v/>
      </c>
      <c r="I408">
        <f>IF(A408="","",IFERROR(XLOOKUP(A408,Tickets[TripKey],Tickets[RouteLen]),0))</f>
        <v/>
      </c>
      <c r="J408">
        <f>IF(A408="","",IFERROR(XLOOKUP(A408,Tickets[TripKey],Tickets[Capacity]),0))</f>
        <v/>
      </c>
      <c r="K408">
        <f>IF(A408="","",I408*J408)</f>
        <v/>
      </c>
      <c r="L408">
        <f>IF(A408="","",IFERROR(MINIFS(Tickets[Trip Start Time],Tickets[TripKey],A408),""))</f>
        <v/>
      </c>
    </row>
    <row r="409">
      <c r="B409" s="8">
        <f>IF(A409="","",IFERROR(DATEVALUE(TEXTBEFORE(A409,"|")),--LEFT(A409,10)))</f>
        <v/>
      </c>
      <c r="C409">
        <f>IF(A409="","",TEXTBEFORE(TEXTAFTER(A409,"|"),"|"))</f>
        <v/>
      </c>
      <c r="D409">
        <f>IF(A409="","",TEXTAFTER(A409,"|",2))</f>
        <v/>
      </c>
      <c r="E409">
        <f>IF(A409="","",SUMIF(Tickets[TripKey],A409,Tickets[TP]))</f>
        <v/>
      </c>
      <c r="F409">
        <f>IF(A409="","",SUMIF(Tickets[TripKey],A409,Tickets[Revenue]))</f>
        <v/>
      </c>
      <c r="G409">
        <f>IF(A409="","",SUMIF(Tickets[TripKey],A409,Tickets[PK]))</f>
        <v/>
      </c>
      <c r="H409">
        <f>IF(A409="","",IFERROR(XLOOKUP(A409,Tickets[TripKey],Tickets[VehClean]),""))</f>
        <v/>
      </c>
      <c r="I409">
        <f>IF(A409="","",IFERROR(XLOOKUP(A409,Tickets[TripKey],Tickets[RouteLen]),0))</f>
        <v/>
      </c>
      <c r="J409">
        <f>IF(A409="","",IFERROR(XLOOKUP(A409,Tickets[TripKey],Tickets[Capacity]),0))</f>
        <v/>
      </c>
      <c r="K409">
        <f>IF(A409="","",I409*J409)</f>
        <v/>
      </c>
      <c r="L409">
        <f>IF(A409="","",IFERROR(MINIFS(Tickets[Trip Start Time],Tickets[TripKey],A409),""))</f>
        <v/>
      </c>
    </row>
    <row r="410">
      <c r="B410" s="8">
        <f>IF(A410="","",IFERROR(DATEVALUE(TEXTBEFORE(A410,"|")),--LEFT(A410,10)))</f>
        <v/>
      </c>
      <c r="C410">
        <f>IF(A410="","",TEXTBEFORE(TEXTAFTER(A410,"|"),"|"))</f>
        <v/>
      </c>
      <c r="D410">
        <f>IF(A410="","",TEXTAFTER(A410,"|",2))</f>
        <v/>
      </c>
      <c r="E410">
        <f>IF(A410="","",SUMIF(Tickets[TripKey],A410,Tickets[TP]))</f>
        <v/>
      </c>
      <c r="F410">
        <f>IF(A410="","",SUMIF(Tickets[TripKey],A410,Tickets[Revenue]))</f>
        <v/>
      </c>
      <c r="G410">
        <f>IF(A410="","",SUMIF(Tickets[TripKey],A410,Tickets[PK]))</f>
        <v/>
      </c>
      <c r="H410">
        <f>IF(A410="","",IFERROR(XLOOKUP(A410,Tickets[TripKey],Tickets[VehClean]),""))</f>
        <v/>
      </c>
      <c r="I410">
        <f>IF(A410="","",IFERROR(XLOOKUP(A410,Tickets[TripKey],Tickets[RouteLen]),0))</f>
        <v/>
      </c>
      <c r="J410">
        <f>IF(A410="","",IFERROR(XLOOKUP(A410,Tickets[TripKey],Tickets[Capacity]),0))</f>
        <v/>
      </c>
      <c r="K410">
        <f>IF(A410="","",I410*J410)</f>
        <v/>
      </c>
      <c r="L410">
        <f>IF(A410="","",IFERROR(MINIFS(Tickets[Trip Start Time],Tickets[TripKey],A410),""))</f>
        <v/>
      </c>
    </row>
    <row r="411">
      <c r="B411" s="8">
        <f>IF(A411="","",IFERROR(DATEVALUE(TEXTBEFORE(A411,"|")),--LEFT(A411,10)))</f>
        <v/>
      </c>
      <c r="C411">
        <f>IF(A411="","",TEXTBEFORE(TEXTAFTER(A411,"|"),"|"))</f>
        <v/>
      </c>
      <c r="D411">
        <f>IF(A411="","",TEXTAFTER(A411,"|",2))</f>
        <v/>
      </c>
      <c r="E411">
        <f>IF(A411="","",SUMIF(Tickets[TripKey],A411,Tickets[TP]))</f>
        <v/>
      </c>
      <c r="F411">
        <f>IF(A411="","",SUMIF(Tickets[TripKey],A411,Tickets[Revenue]))</f>
        <v/>
      </c>
      <c r="G411">
        <f>IF(A411="","",SUMIF(Tickets[TripKey],A411,Tickets[PK]))</f>
        <v/>
      </c>
      <c r="H411">
        <f>IF(A411="","",IFERROR(XLOOKUP(A411,Tickets[TripKey],Tickets[VehClean]),""))</f>
        <v/>
      </c>
      <c r="I411">
        <f>IF(A411="","",IFERROR(XLOOKUP(A411,Tickets[TripKey],Tickets[RouteLen]),0))</f>
        <v/>
      </c>
      <c r="J411">
        <f>IF(A411="","",IFERROR(XLOOKUP(A411,Tickets[TripKey],Tickets[Capacity]),0))</f>
        <v/>
      </c>
      <c r="K411">
        <f>IF(A411="","",I411*J411)</f>
        <v/>
      </c>
      <c r="L411">
        <f>IF(A411="","",IFERROR(MINIFS(Tickets[Trip Start Time],Tickets[TripKey],A411),""))</f>
        <v/>
      </c>
    </row>
    <row r="412">
      <c r="B412" s="8">
        <f>IF(A412="","",IFERROR(DATEVALUE(TEXTBEFORE(A412,"|")),--LEFT(A412,10)))</f>
        <v/>
      </c>
      <c r="C412">
        <f>IF(A412="","",TEXTBEFORE(TEXTAFTER(A412,"|"),"|"))</f>
        <v/>
      </c>
      <c r="D412">
        <f>IF(A412="","",TEXTAFTER(A412,"|",2))</f>
        <v/>
      </c>
      <c r="E412">
        <f>IF(A412="","",SUMIF(Tickets[TripKey],A412,Tickets[TP]))</f>
        <v/>
      </c>
      <c r="F412">
        <f>IF(A412="","",SUMIF(Tickets[TripKey],A412,Tickets[Revenue]))</f>
        <v/>
      </c>
      <c r="G412">
        <f>IF(A412="","",SUMIF(Tickets[TripKey],A412,Tickets[PK]))</f>
        <v/>
      </c>
      <c r="H412">
        <f>IF(A412="","",IFERROR(XLOOKUP(A412,Tickets[TripKey],Tickets[VehClean]),""))</f>
        <v/>
      </c>
      <c r="I412">
        <f>IF(A412="","",IFERROR(XLOOKUP(A412,Tickets[TripKey],Tickets[RouteLen]),0))</f>
        <v/>
      </c>
      <c r="J412">
        <f>IF(A412="","",IFERROR(XLOOKUP(A412,Tickets[TripKey],Tickets[Capacity]),0))</f>
        <v/>
      </c>
      <c r="K412">
        <f>IF(A412="","",I412*J412)</f>
        <v/>
      </c>
      <c r="L412">
        <f>IF(A412="","",IFERROR(MINIFS(Tickets[Trip Start Time],Tickets[TripKey],A412),""))</f>
        <v/>
      </c>
    </row>
    <row r="413">
      <c r="B413" s="8">
        <f>IF(A413="","",IFERROR(DATEVALUE(TEXTBEFORE(A413,"|")),--LEFT(A413,10)))</f>
        <v/>
      </c>
      <c r="C413">
        <f>IF(A413="","",TEXTBEFORE(TEXTAFTER(A413,"|"),"|"))</f>
        <v/>
      </c>
      <c r="D413">
        <f>IF(A413="","",TEXTAFTER(A413,"|",2))</f>
        <v/>
      </c>
      <c r="E413">
        <f>IF(A413="","",SUMIF(Tickets[TripKey],A413,Tickets[TP]))</f>
        <v/>
      </c>
      <c r="F413">
        <f>IF(A413="","",SUMIF(Tickets[TripKey],A413,Tickets[Revenue]))</f>
        <v/>
      </c>
      <c r="G413">
        <f>IF(A413="","",SUMIF(Tickets[TripKey],A413,Tickets[PK]))</f>
        <v/>
      </c>
      <c r="H413">
        <f>IF(A413="","",IFERROR(XLOOKUP(A413,Tickets[TripKey],Tickets[VehClean]),""))</f>
        <v/>
      </c>
      <c r="I413">
        <f>IF(A413="","",IFERROR(XLOOKUP(A413,Tickets[TripKey],Tickets[RouteLen]),0))</f>
        <v/>
      </c>
      <c r="J413">
        <f>IF(A413="","",IFERROR(XLOOKUP(A413,Tickets[TripKey],Tickets[Capacity]),0))</f>
        <v/>
      </c>
      <c r="K413">
        <f>IF(A413="","",I413*J413)</f>
        <v/>
      </c>
      <c r="L413">
        <f>IF(A413="","",IFERROR(MINIFS(Tickets[Trip Start Time],Tickets[TripKey],A413),""))</f>
        <v/>
      </c>
    </row>
    <row r="414">
      <c r="B414" s="8">
        <f>IF(A414="","",IFERROR(DATEVALUE(TEXTBEFORE(A414,"|")),--LEFT(A414,10)))</f>
        <v/>
      </c>
      <c r="C414">
        <f>IF(A414="","",TEXTBEFORE(TEXTAFTER(A414,"|"),"|"))</f>
        <v/>
      </c>
      <c r="D414">
        <f>IF(A414="","",TEXTAFTER(A414,"|",2))</f>
        <v/>
      </c>
      <c r="E414">
        <f>IF(A414="","",SUMIF(Tickets[TripKey],A414,Tickets[TP]))</f>
        <v/>
      </c>
      <c r="F414">
        <f>IF(A414="","",SUMIF(Tickets[TripKey],A414,Tickets[Revenue]))</f>
        <v/>
      </c>
      <c r="G414">
        <f>IF(A414="","",SUMIF(Tickets[TripKey],A414,Tickets[PK]))</f>
        <v/>
      </c>
      <c r="H414">
        <f>IF(A414="","",IFERROR(XLOOKUP(A414,Tickets[TripKey],Tickets[VehClean]),""))</f>
        <v/>
      </c>
      <c r="I414">
        <f>IF(A414="","",IFERROR(XLOOKUP(A414,Tickets[TripKey],Tickets[RouteLen]),0))</f>
        <v/>
      </c>
      <c r="J414">
        <f>IF(A414="","",IFERROR(XLOOKUP(A414,Tickets[TripKey],Tickets[Capacity]),0))</f>
        <v/>
      </c>
      <c r="K414">
        <f>IF(A414="","",I414*J414)</f>
        <v/>
      </c>
      <c r="L414">
        <f>IF(A414="","",IFERROR(MINIFS(Tickets[Trip Start Time],Tickets[TripKey],A414),""))</f>
        <v/>
      </c>
    </row>
    <row r="415">
      <c r="B415" s="8">
        <f>IF(A415="","",IFERROR(DATEVALUE(TEXTBEFORE(A415,"|")),--LEFT(A415,10)))</f>
        <v/>
      </c>
      <c r="C415">
        <f>IF(A415="","",TEXTBEFORE(TEXTAFTER(A415,"|"),"|"))</f>
        <v/>
      </c>
      <c r="D415">
        <f>IF(A415="","",TEXTAFTER(A415,"|",2))</f>
        <v/>
      </c>
      <c r="E415">
        <f>IF(A415="","",SUMIF(Tickets[TripKey],A415,Tickets[TP]))</f>
        <v/>
      </c>
      <c r="F415">
        <f>IF(A415="","",SUMIF(Tickets[TripKey],A415,Tickets[Revenue]))</f>
        <v/>
      </c>
      <c r="G415">
        <f>IF(A415="","",SUMIF(Tickets[TripKey],A415,Tickets[PK]))</f>
        <v/>
      </c>
      <c r="H415">
        <f>IF(A415="","",IFERROR(XLOOKUP(A415,Tickets[TripKey],Tickets[VehClean]),""))</f>
        <v/>
      </c>
      <c r="I415">
        <f>IF(A415="","",IFERROR(XLOOKUP(A415,Tickets[TripKey],Tickets[RouteLen]),0))</f>
        <v/>
      </c>
      <c r="J415">
        <f>IF(A415="","",IFERROR(XLOOKUP(A415,Tickets[TripKey],Tickets[Capacity]),0))</f>
        <v/>
      </c>
      <c r="K415">
        <f>IF(A415="","",I415*J415)</f>
        <v/>
      </c>
      <c r="L415">
        <f>IF(A415="","",IFERROR(MINIFS(Tickets[Trip Start Time],Tickets[TripKey],A415),""))</f>
        <v/>
      </c>
    </row>
    <row r="416">
      <c r="B416" s="8">
        <f>IF(A416="","",IFERROR(DATEVALUE(TEXTBEFORE(A416,"|")),--LEFT(A416,10)))</f>
        <v/>
      </c>
      <c r="C416">
        <f>IF(A416="","",TEXTBEFORE(TEXTAFTER(A416,"|"),"|"))</f>
        <v/>
      </c>
      <c r="D416">
        <f>IF(A416="","",TEXTAFTER(A416,"|",2))</f>
        <v/>
      </c>
      <c r="E416">
        <f>IF(A416="","",SUMIF(Tickets[TripKey],A416,Tickets[TP]))</f>
        <v/>
      </c>
      <c r="F416">
        <f>IF(A416="","",SUMIF(Tickets[TripKey],A416,Tickets[Revenue]))</f>
        <v/>
      </c>
      <c r="G416">
        <f>IF(A416="","",SUMIF(Tickets[TripKey],A416,Tickets[PK]))</f>
        <v/>
      </c>
      <c r="H416">
        <f>IF(A416="","",IFERROR(XLOOKUP(A416,Tickets[TripKey],Tickets[VehClean]),""))</f>
        <v/>
      </c>
      <c r="I416">
        <f>IF(A416="","",IFERROR(XLOOKUP(A416,Tickets[TripKey],Tickets[RouteLen]),0))</f>
        <v/>
      </c>
      <c r="J416">
        <f>IF(A416="","",IFERROR(XLOOKUP(A416,Tickets[TripKey],Tickets[Capacity]),0))</f>
        <v/>
      </c>
      <c r="K416">
        <f>IF(A416="","",I416*J416)</f>
        <v/>
      </c>
      <c r="L416">
        <f>IF(A416="","",IFERROR(MINIFS(Tickets[Trip Start Time],Tickets[TripKey],A416),""))</f>
        <v/>
      </c>
    </row>
    <row r="417">
      <c r="B417" s="8">
        <f>IF(A417="","",IFERROR(DATEVALUE(TEXTBEFORE(A417,"|")),--LEFT(A417,10)))</f>
        <v/>
      </c>
      <c r="C417">
        <f>IF(A417="","",TEXTBEFORE(TEXTAFTER(A417,"|"),"|"))</f>
        <v/>
      </c>
      <c r="D417">
        <f>IF(A417="","",TEXTAFTER(A417,"|",2))</f>
        <v/>
      </c>
      <c r="E417">
        <f>IF(A417="","",SUMIF(Tickets[TripKey],A417,Tickets[TP]))</f>
        <v/>
      </c>
      <c r="F417">
        <f>IF(A417="","",SUMIF(Tickets[TripKey],A417,Tickets[Revenue]))</f>
        <v/>
      </c>
      <c r="G417">
        <f>IF(A417="","",SUMIF(Tickets[TripKey],A417,Tickets[PK]))</f>
        <v/>
      </c>
      <c r="H417">
        <f>IF(A417="","",IFERROR(XLOOKUP(A417,Tickets[TripKey],Tickets[VehClean]),""))</f>
        <v/>
      </c>
      <c r="I417">
        <f>IF(A417="","",IFERROR(XLOOKUP(A417,Tickets[TripKey],Tickets[RouteLen]),0))</f>
        <v/>
      </c>
      <c r="J417">
        <f>IF(A417="","",IFERROR(XLOOKUP(A417,Tickets[TripKey],Tickets[Capacity]),0))</f>
        <v/>
      </c>
      <c r="K417">
        <f>IF(A417="","",I417*J417)</f>
        <v/>
      </c>
      <c r="L417">
        <f>IF(A417="","",IFERROR(MINIFS(Tickets[Trip Start Time],Tickets[TripKey],A417),""))</f>
        <v/>
      </c>
    </row>
    <row r="418">
      <c r="B418" s="8">
        <f>IF(A418="","",IFERROR(DATEVALUE(TEXTBEFORE(A418,"|")),--LEFT(A418,10)))</f>
        <v/>
      </c>
      <c r="C418">
        <f>IF(A418="","",TEXTBEFORE(TEXTAFTER(A418,"|"),"|"))</f>
        <v/>
      </c>
      <c r="D418">
        <f>IF(A418="","",TEXTAFTER(A418,"|",2))</f>
        <v/>
      </c>
      <c r="E418">
        <f>IF(A418="","",SUMIF(Tickets[TripKey],A418,Tickets[TP]))</f>
        <v/>
      </c>
      <c r="F418">
        <f>IF(A418="","",SUMIF(Tickets[TripKey],A418,Tickets[Revenue]))</f>
        <v/>
      </c>
      <c r="G418">
        <f>IF(A418="","",SUMIF(Tickets[TripKey],A418,Tickets[PK]))</f>
        <v/>
      </c>
      <c r="H418">
        <f>IF(A418="","",IFERROR(XLOOKUP(A418,Tickets[TripKey],Tickets[VehClean]),""))</f>
        <v/>
      </c>
      <c r="I418">
        <f>IF(A418="","",IFERROR(XLOOKUP(A418,Tickets[TripKey],Tickets[RouteLen]),0))</f>
        <v/>
      </c>
      <c r="J418">
        <f>IF(A418="","",IFERROR(XLOOKUP(A418,Tickets[TripKey],Tickets[Capacity]),0))</f>
        <v/>
      </c>
      <c r="K418">
        <f>IF(A418="","",I418*J418)</f>
        <v/>
      </c>
      <c r="L418">
        <f>IF(A418="","",IFERROR(MINIFS(Tickets[Trip Start Time],Tickets[TripKey],A418),""))</f>
        <v/>
      </c>
    </row>
    <row r="419">
      <c r="B419" s="8">
        <f>IF(A419="","",IFERROR(DATEVALUE(TEXTBEFORE(A419,"|")),--LEFT(A419,10)))</f>
        <v/>
      </c>
      <c r="C419">
        <f>IF(A419="","",TEXTBEFORE(TEXTAFTER(A419,"|"),"|"))</f>
        <v/>
      </c>
      <c r="D419">
        <f>IF(A419="","",TEXTAFTER(A419,"|",2))</f>
        <v/>
      </c>
      <c r="E419">
        <f>IF(A419="","",SUMIF(Tickets[TripKey],A419,Tickets[TP]))</f>
        <v/>
      </c>
      <c r="F419">
        <f>IF(A419="","",SUMIF(Tickets[TripKey],A419,Tickets[Revenue]))</f>
        <v/>
      </c>
      <c r="G419">
        <f>IF(A419="","",SUMIF(Tickets[TripKey],A419,Tickets[PK]))</f>
        <v/>
      </c>
      <c r="H419">
        <f>IF(A419="","",IFERROR(XLOOKUP(A419,Tickets[TripKey],Tickets[VehClean]),""))</f>
        <v/>
      </c>
      <c r="I419">
        <f>IF(A419="","",IFERROR(XLOOKUP(A419,Tickets[TripKey],Tickets[RouteLen]),0))</f>
        <v/>
      </c>
      <c r="J419">
        <f>IF(A419="","",IFERROR(XLOOKUP(A419,Tickets[TripKey],Tickets[Capacity]),0))</f>
        <v/>
      </c>
      <c r="K419">
        <f>IF(A419="","",I419*J419)</f>
        <v/>
      </c>
      <c r="L419">
        <f>IF(A419="","",IFERROR(MINIFS(Tickets[Trip Start Time],Tickets[TripKey],A419),""))</f>
        <v/>
      </c>
    </row>
    <row r="420">
      <c r="B420" s="8">
        <f>IF(A420="","",IFERROR(DATEVALUE(TEXTBEFORE(A420,"|")),--LEFT(A420,10)))</f>
        <v/>
      </c>
      <c r="C420">
        <f>IF(A420="","",TEXTBEFORE(TEXTAFTER(A420,"|"),"|"))</f>
        <v/>
      </c>
      <c r="D420">
        <f>IF(A420="","",TEXTAFTER(A420,"|",2))</f>
        <v/>
      </c>
      <c r="E420">
        <f>IF(A420="","",SUMIF(Tickets[TripKey],A420,Tickets[TP]))</f>
        <v/>
      </c>
      <c r="F420">
        <f>IF(A420="","",SUMIF(Tickets[TripKey],A420,Tickets[Revenue]))</f>
        <v/>
      </c>
      <c r="G420">
        <f>IF(A420="","",SUMIF(Tickets[TripKey],A420,Tickets[PK]))</f>
        <v/>
      </c>
      <c r="H420">
        <f>IF(A420="","",IFERROR(XLOOKUP(A420,Tickets[TripKey],Tickets[VehClean]),""))</f>
        <v/>
      </c>
      <c r="I420">
        <f>IF(A420="","",IFERROR(XLOOKUP(A420,Tickets[TripKey],Tickets[RouteLen]),0))</f>
        <v/>
      </c>
      <c r="J420">
        <f>IF(A420="","",IFERROR(XLOOKUP(A420,Tickets[TripKey],Tickets[Capacity]),0))</f>
        <v/>
      </c>
      <c r="K420">
        <f>IF(A420="","",I420*J420)</f>
        <v/>
      </c>
      <c r="L420">
        <f>IF(A420="","",IFERROR(MINIFS(Tickets[Trip Start Time],Tickets[TripKey],A420),""))</f>
        <v/>
      </c>
    </row>
    <row r="421">
      <c r="B421" s="8">
        <f>IF(A421="","",IFERROR(DATEVALUE(TEXTBEFORE(A421,"|")),--LEFT(A421,10)))</f>
        <v/>
      </c>
      <c r="C421">
        <f>IF(A421="","",TEXTBEFORE(TEXTAFTER(A421,"|"),"|"))</f>
        <v/>
      </c>
      <c r="D421">
        <f>IF(A421="","",TEXTAFTER(A421,"|",2))</f>
        <v/>
      </c>
      <c r="E421">
        <f>IF(A421="","",SUMIF(Tickets[TripKey],A421,Tickets[TP]))</f>
        <v/>
      </c>
      <c r="F421">
        <f>IF(A421="","",SUMIF(Tickets[TripKey],A421,Tickets[Revenue]))</f>
        <v/>
      </c>
      <c r="G421">
        <f>IF(A421="","",SUMIF(Tickets[TripKey],A421,Tickets[PK]))</f>
        <v/>
      </c>
      <c r="H421">
        <f>IF(A421="","",IFERROR(XLOOKUP(A421,Tickets[TripKey],Tickets[VehClean]),""))</f>
        <v/>
      </c>
      <c r="I421">
        <f>IF(A421="","",IFERROR(XLOOKUP(A421,Tickets[TripKey],Tickets[RouteLen]),0))</f>
        <v/>
      </c>
      <c r="J421">
        <f>IF(A421="","",IFERROR(XLOOKUP(A421,Tickets[TripKey],Tickets[Capacity]),0))</f>
        <v/>
      </c>
      <c r="K421">
        <f>IF(A421="","",I421*J421)</f>
        <v/>
      </c>
      <c r="L421">
        <f>IF(A421="","",IFERROR(MINIFS(Tickets[Trip Start Time],Tickets[TripKey],A421),""))</f>
        <v/>
      </c>
    </row>
    <row r="422">
      <c r="B422" s="8">
        <f>IF(A422="","",IFERROR(DATEVALUE(TEXTBEFORE(A422,"|")),--LEFT(A422,10)))</f>
        <v/>
      </c>
      <c r="C422">
        <f>IF(A422="","",TEXTBEFORE(TEXTAFTER(A422,"|"),"|"))</f>
        <v/>
      </c>
      <c r="D422">
        <f>IF(A422="","",TEXTAFTER(A422,"|",2))</f>
        <v/>
      </c>
      <c r="E422">
        <f>IF(A422="","",SUMIF(Tickets[TripKey],A422,Tickets[TP]))</f>
        <v/>
      </c>
      <c r="F422">
        <f>IF(A422="","",SUMIF(Tickets[TripKey],A422,Tickets[Revenue]))</f>
        <v/>
      </c>
      <c r="G422">
        <f>IF(A422="","",SUMIF(Tickets[TripKey],A422,Tickets[PK]))</f>
        <v/>
      </c>
      <c r="H422">
        <f>IF(A422="","",IFERROR(XLOOKUP(A422,Tickets[TripKey],Tickets[VehClean]),""))</f>
        <v/>
      </c>
      <c r="I422">
        <f>IF(A422="","",IFERROR(XLOOKUP(A422,Tickets[TripKey],Tickets[RouteLen]),0))</f>
        <v/>
      </c>
      <c r="J422">
        <f>IF(A422="","",IFERROR(XLOOKUP(A422,Tickets[TripKey],Tickets[Capacity]),0))</f>
        <v/>
      </c>
      <c r="K422">
        <f>IF(A422="","",I422*J422)</f>
        <v/>
      </c>
      <c r="L422">
        <f>IF(A422="","",IFERROR(MINIFS(Tickets[Trip Start Time],Tickets[TripKey],A422),""))</f>
        <v/>
      </c>
    </row>
    <row r="423">
      <c r="B423" s="8">
        <f>IF(A423="","",IFERROR(DATEVALUE(TEXTBEFORE(A423,"|")),--LEFT(A423,10)))</f>
        <v/>
      </c>
      <c r="C423">
        <f>IF(A423="","",TEXTBEFORE(TEXTAFTER(A423,"|"),"|"))</f>
        <v/>
      </c>
      <c r="D423">
        <f>IF(A423="","",TEXTAFTER(A423,"|",2))</f>
        <v/>
      </c>
      <c r="E423">
        <f>IF(A423="","",SUMIF(Tickets[TripKey],A423,Tickets[TP]))</f>
        <v/>
      </c>
      <c r="F423">
        <f>IF(A423="","",SUMIF(Tickets[TripKey],A423,Tickets[Revenue]))</f>
        <v/>
      </c>
      <c r="G423">
        <f>IF(A423="","",SUMIF(Tickets[TripKey],A423,Tickets[PK]))</f>
        <v/>
      </c>
      <c r="H423">
        <f>IF(A423="","",IFERROR(XLOOKUP(A423,Tickets[TripKey],Tickets[VehClean]),""))</f>
        <v/>
      </c>
      <c r="I423">
        <f>IF(A423="","",IFERROR(XLOOKUP(A423,Tickets[TripKey],Tickets[RouteLen]),0))</f>
        <v/>
      </c>
      <c r="J423">
        <f>IF(A423="","",IFERROR(XLOOKUP(A423,Tickets[TripKey],Tickets[Capacity]),0))</f>
        <v/>
      </c>
      <c r="K423">
        <f>IF(A423="","",I423*J423)</f>
        <v/>
      </c>
      <c r="L423">
        <f>IF(A423="","",IFERROR(MINIFS(Tickets[Trip Start Time],Tickets[TripKey],A423),""))</f>
        <v/>
      </c>
    </row>
    <row r="424">
      <c r="B424" s="8">
        <f>IF(A424="","",IFERROR(DATEVALUE(TEXTBEFORE(A424,"|")),--LEFT(A424,10)))</f>
        <v/>
      </c>
      <c r="C424">
        <f>IF(A424="","",TEXTBEFORE(TEXTAFTER(A424,"|"),"|"))</f>
        <v/>
      </c>
      <c r="D424">
        <f>IF(A424="","",TEXTAFTER(A424,"|",2))</f>
        <v/>
      </c>
      <c r="E424">
        <f>IF(A424="","",SUMIF(Tickets[TripKey],A424,Tickets[TP]))</f>
        <v/>
      </c>
      <c r="F424">
        <f>IF(A424="","",SUMIF(Tickets[TripKey],A424,Tickets[Revenue]))</f>
        <v/>
      </c>
      <c r="G424">
        <f>IF(A424="","",SUMIF(Tickets[TripKey],A424,Tickets[PK]))</f>
        <v/>
      </c>
      <c r="H424">
        <f>IF(A424="","",IFERROR(XLOOKUP(A424,Tickets[TripKey],Tickets[VehClean]),""))</f>
        <v/>
      </c>
      <c r="I424">
        <f>IF(A424="","",IFERROR(XLOOKUP(A424,Tickets[TripKey],Tickets[RouteLen]),0))</f>
        <v/>
      </c>
      <c r="J424">
        <f>IF(A424="","",IFERROR(XLOOKUP(A424,Tickets[TripKey],Tickets[Capacity]),0))</f>
        <v/>
      </c>
      <c r="K424">
        <f>IF(A424="","",I424*J424)</f>
        <v/>
      </c>
      <c r="L424">
        <f>IF(A424="","",IFERROR(MINIFS(Tickets[Trip Start Time],Tickets[TripKey],A424),""))</f>
        <v/>
      </c>
    </row>
    <row r="425">
      <c r="B425" s="8">
        <f>IF(A425="","",IFERROR(DATEVALUE(TEXTBEFORE(A425,"|")),--LEFT(A425,10)))</f>
        <v/>
      </c>
      <c r="C425">
        <f>IF(A425="","",TEXTBEFORE(TEXTAFTER(A425,"|"),"|"))</f>
        <v/>
      </c>
      <c r="D425">
        <f>IF(A425="","",TEXTAFTER(A425,"|",2))</f>
        <v/>
      </c>
      <c r="E425">
        <f>IF(A425="","",SUMIF(Tickets[TripKey],A425,Tickets[TP]))</f>
        <v/>
      </c>
      <c r="F425">
        <f>IF(A425="","",SUMIF(Tickets[TripKey],A425,Tickets[Revenue]))</f>
        <v/>
      </c>
      <c r="G425">
        <f>IF(A425="","",SUMIF(Tickets[TripKey],A425,Tickets[PK]))</f>
        <v/>
      </c>
      <c r="H425">
        <f>IF(A425="","",IFERROR(XLOOKUP(A425,Tickets[TripKey],Tickets[VehClean]),""))</f>
        <v/>
      </c>
      <c r="I425">
        <f>IF(A425="","",IFERROR(XLOOKUP(A425,Tickets[TripKey],Tickets[RouteLen]),0))</f>
        <v/>
      </c>
      <c r="J425">
        <f>IF(A425="","",IFERROR(XLOOKUP(A425,Tickets[TripKey],Tickets[Capacity]),0))</f>
        <v/>
      </c>
      <c r="K425">
        <f>IF(A425="","",I425*J425)</f>
        <v/>
      </c>
      <c r="L425">
        <f>IF(A425="","",IFERROR(MINIFS(Tickets[Trip Start Time],Tickets[TripKey],A425),""))</f>
        <v/>
      </c>
    </row>
    <row r="426">
      <c r="B426" s="8">
        <f>IF(A426="","",IFERROR(DATEVALUE(TEXTBEFORE(A426,"|")),--LEFT(A426,10)))</f>
        <v/>
      </c>
      <c r="C426">
        <f>IF(A426="","",TEXTBEFORE(TEXTAFTER(A426,"|"),"|"))</f>
        <v/>
      </c>
      <c r="D426">
        <f>IF(A426="","",TEXTAFTER(A426,"|",2))</f>
        <v/>
      </c>
      <c r="E426">
        <f>IF(A426="","",SUMIF(Tickets[TripKey],A426,Tickets[TP]))</f>
        <v/>
      </c>
      <c r="F426">
        <f>IF(A426="","",SUMIF(Tickets[TripKey],A426,Tickets[Revenue]))</f>
        <v/>
      </c>
      <c r="G426">
        <f>IF(A426="","",SUMIF(Tickets[TripKey],A426,Tickets[PK]))</f>
        <v/>
      </c>
      <c r="H426">
        <f>IF(A426="","",IFERROR(XLOOKUP(A426,Tickets[TripKey],Tickets[VehClean]),""))</f>
        <v/>
      </c>
      <c r="I426">
        <f>IF(A426="","",IFERROR(XLOOKUP(A426,Tickets[TripKey],Tickets[RouteLen]),0))</f>
        <v/>
      </c>
      <c r="J426">
        <f>IF(A426="","",IFERROR(XLOOKUP(A426,Tickets[TripKey],Tickets[Capacity]),0))</f>
        <v/>
      </c>
      <c r="K426">
        <f>IF(A426="","",I426*J426)</f>
        <v/>
      </c>
      <c r="L426">
        <f>IF(A426="","",IFERROR(MINIFS(Tickets[Trip Start Time],Tickets[TripKey],A426),""))</f>
        <v/>
      </c>
    </row>
    <row r="427">
      <c r="B427" s="8">
        <f>IF(A427="","",IFERROR(DATEVALUE(TEXTBEFORE(A427,"|")),--LEFT(A427,10)))</f>
        <v/>
      </c>
      <c r="C427">
        <f>IF(A427="","",TEXTBEFORE(TEXTAFTER(A427,"|"),"|"))</f>
        <v/>
      </c>
      <c r="D427">
        <f>IF(A427="","",TEXTAFTER(A427,"|",2))</f>
        <v/>
      </c>
      <c r="E427">
        <f>IF(A427="","",SUMIF(Tickets[TripKey],A427,Tickets[TP]))</f>
        <v/>
      </c>
      <c r="F427">
        <f>IF(A427="","",SUMIF(Tickets[TripKey],A427,Tickets[Revenue]))</f>
        <v/>
      </c>
      <c r="G427">
        <f>IF(A427="","",SUMIF(Tickets[TripKey],A427,Tickets[PK]))</f>
        <v/>
      </c>
      <c r="H427">
        <f>IF(A427="","",IFERROR(XLOOKUP(A427,Tickets[TripKey],Tickets[VehClean]),""))</f>
        <v/>
      </c>
      <c r="I427">
        <f>IF(A427="","",IFERROR(XLOOKUP(A427,Tickets[TripKey],Tickets[RouteLen]),0))</f>
        <v/>
      </c>
      <c r="J427">
        <f>IF(A427="","",IFERROR(XLOOKUP(A427,Tickets[TripKey],Tickets[Capacity]),0))</f>
        <v/>
      </c>
      <c r="K427">
        <f>IF(A427="","",I427*J427)</f>
        <v/>
      </c>
      <c r="L427">
        <f>IF(A427="","",IFERROR(MINIFS(Tickets[Trip Start Time],Tickets[TripKey],A427),""))</f>
        <v/>
      </c>
    </row>
    <row r="428">
      <c r="B428" s="8">
        <f>IF(A428="","",IFERROR(DATEVALUE(TEXTBEFORE(A428,"|")),--LEFT(A428,10)))</f>
        <v/>
      </c>
      <c r="C428">
        <f>IF(A428="","",TEXTBEFORE(TEXTAFTER(A428,"|"),"|"))</f>
        <v/>
      </c>
      <c r="D428">
        <f>IF(A428="","",TEXTAFTER(A428,"|",2))</f>
        <v/>
      </c>
      <c r="E428">
        <f>IF(A428="","",SUMIF(Tickets[TripKey],A428,Tickets[TP]))</f>
        <v/>
      </c>
      <c r="F428">
        <f>IF(A428="","",SUMIF(Tickets[TripKey],A428,Tickets[Revenue]))</f>
        <v/>
      </c>
      <c r="G428">
        <f>IF(A428="","",SUMIF(Tickets[TripKey],A428,Tickets[PK]))</f>
        <v/>
      </c>
      <c r="H428">
        <f>IF(A428="","",IFERROR(XLOOKUP(A428,Tickets[TripKey],Tickets[VehClean]),""))</f>
        <v/>
      </c>
      <c r="I428">
        <f>IF(A428="","",IFERROR(XLOOKUP(A428,Tickets[TripKey],Tickets[RouteLen]),0))</f>
        <v/>
      </c>
      <c r="J428">
        <f>IF(A428="","",IFERROR(XLOOKUP(A428,Tickets[TripKey],Tickets[Capacity]),0))</f>
        <v/>
      </c>
      <c r="K428">
        <f>IF(A428="","",I428*J428)</f>
        <v/>
      </c>
      <c r="L428">
        <f>IF(A428="","",IFERROR(MINIFS(Tickets[Trip Start Time],Tickets[TripKey],A428),""))</f>
        <v/>
      </c>
    </row>
    <row r="429">
      <c r="B429" s="8">
        <f>IF(A429="","",IFERROR(DATEVALUE(TEXTBEFORE(A429,"|")),--LEFT(A429,10)))</f>
        <v/>
      </c>
      <c r="C429">
        <f>IF(A429="","",TEXTBEFORE(TEXTAFTER(A429,"|"),"|"))</f>
        <v/>
      </c>
      <c r="D429">
        <f>IF(A429="","",TEXTAFTER(A429,"|",2))</f>
        <v/>
      </c>
      <c r="E429">
        <f>IF(A429="","",SUMIF(Tickets[TripKey],A429,Tickets[TP]))</f>
        <v/>
      </c>
      <c r="F429">
        <f>IF(A429="","",SUMIF(Tickets[TripKey],A429,Tickets[Revenue]))</f>
        <v/>
      </c>
      <c r="G429">
        <f>IF(A429="","",SUMIF(Tickets[TripKey],A429,Tickets[PK]))</f>
        <v/>
      </c>
      <c r="H429">
        <f>IF(A429="","",IFERROR(XLOOKUP(A429,Tickets[TripKey],Tickets[VehClean]),""))</f>
        <v/>
      </c>
      <c r="I429">
        <f>IF(A429="","",IFERROR(XLOOKUP(A429,Tickets[TripKey],Tickets[RouteLen]),0))</f>
        <v/>
      </c>
      <c r="J429">
        <f>IF(A429="","",IFERROR(XLOOKUP(A429,Tickets[TripKey],Tickets[Capacity]),0))</f>
        <v/>
      </c>
      <c r="K429">
        <f>IF(A429="","",I429*J429)</f>
        <v/>
      </c>
      <c r="L429">
        <f>IF(A429="","",IFERROR(MINIFS(Tickets[Trip Start Time],Tickets[TripKey],A429),""))</f>
        <v/>
      </c>
    </row>
    <row r="430">
      <c r="B430" s="8">
        <f>IF(A430="","",IFERROR(DATEVALUE(TEXTBEFORE(A430,"|")),--LEFT(A430,10)))</f>
        <v/>
      </c>
      <c r="C430">
        <f>IF(A430="","",TEXTBEFORE(TEXTAFTER(A430,"|"),"|"))</f>
        <v/>
      </c>
      <c r="D430">
        <f>IF(A430="","",TEXTAFTER(A430,"|",2))</f>
        <v/>
      </c>
      <c r="E430">
        <f>IF(A430="","",SUMIF(Tickets[TripKey],A430,Tickets[TP]))</f>
        <v/>
      </c>
      <c r="F430">
        <f>IF(A430="","",SUMIF(Tickets[TripKey],A430,Tickets[Revenue]))</f>
        <v/>
      </c>
      <c r="G430">
        <f>IF(A430="","",SUMIF(Tickets[TripKey],A430,Tickets[PK]))</f>
        <v/>
      </c>
      <c r="H430">
        <f>IF(A430="","",IFERROR(XLOOKUP(A430,Tickets[TripKey],Tickets[VehClean]),""))</f>
        <v/>
      </c>
      <c r="I430">
        <f>IF(A430="","",IFERROR(XLOOKUP(A430,Tickets[TripKey],Tickets[RouteLen]),0))</f>
        <v/>
      </c>
      <c r="J430">
        <f>IF(A430="","",IFERROR(XLOOKUP(A430,Tickets[TripKey],Tickets[Capacity]),0))</f>
        <v/>
      </c>
      <c r="K430">
        <f>IF(A430="","",I430*J430)</f>
        <v/>
      </c>
      <c r="L430">
        <f>IF(A430="","",IFERROR(MINIFS(Tickets[Trip Start Time],Tickets[TripKey],A430),""))</f>
        <v/>
      </c>
    </row>
    <row r="431">
      <c r="B431" s="8">
        <f>IF(A431="","",IFERROR(DATEVALUE(TEXTBEFORE(A431,"|")),--LEFT(A431,10)))</f>
        <v/>
      </c>
      <c r="C431">
        <f>IF(A431="","",TEXTBEFORE(TEXTAFTER(A431,"|"),"|"))</f>
        <v/>
      </c>
      <c r="D431">
        <f>IF(A431="","",TEXTAFTER(A431,"|",2))</f>
        <v/>
      </c>
      <c r="E431">
        <f>IF(A431="","",SUMIF(Tickets[TripKey],A431,Tickets[TP]))</f>
        <v/>
      </c>
      <c r="F431">
        <f>IF(A431="","",SUMIF(Tickets[TripKey],A431,Tickets[Revenue]))</f>
        <v/>
      </c>
      <c r="G431">
        <f>IF(A431="","",SUMIF(Tickets[TripKey],A431,Tickets[PK]))</f>
        <v/>
      </c>
      <c r="H431">
        <f>IF(A431="","",IFERROR(XLOOKUP(A431,Tickets[TripKey],Tickets[VehClean]),""))</f>
        <v/>
      </c>
      <c r="I431">
        <f>IF(A431="","",IFERROR(XLOOKUP(A431,Tickets[TripKey],Tickets[RouteLen]),0))</f>
        <v/>
      </c>
      <c r="J431">
        <f>IF(A431="","",IFERROR(XLOOKUP(A431,Tickets[TripKey],Tickets[Capacity]),0))</f>
        <v/>
      </c>
      <c r="K431">
        <f>IF(A431="","",I431*J431)</f>
        <v/>
      </c>
      <c r="L431">
        <f>IF(A431="","",IFERROR(MINIFS(Tickets[Trip Start Time],Tickets[TripKey],A431),""))</f>
        <v/>
      </c>
    </row>
    <row r="432">
      <c r="B432" s="8">
        <f>IF(A432="","",IFERROR(DATEVALUE(TEXTBEFORE(A432,"|")),--LEFT(A432,10)))</f>
        <v/>
      </c>
      <c r="C432">
        <f>IF(A432="","",TEXTBEFORE(TEXTAFTER(A432,"|"),"|"))</f>
        <v/>
      </c>
      <c r="D432">
        <f>IF(A432="","",TEXTAFTER(A432,"|",2))</f>
        <v/>
      </c>
      <c r="E432">
        <f>IF(A432="","",SUMIF(Tickets[TripKey],A432,Tickets[TP]))</f>
        <v/>
      </c>
      <c r="F432">
        <f>IF(A432="","",SUMIF(Tickets[TripKey],A432,Tickets[Revenue]))</f>
        <v/>
      </c>
      <c r="G432">
        <f>IF(A432="","",SUMIF(Tickets[TripKey],A432,Tickets[PK]))</f>
        <v/>
      </c>
      <c r="H432">
        <f>IF(A432="","",IFERROR(XLOOKUP(A432,Tickets[TripKey],Tickets[VehClean]),""))</f>
        <v/>
      </c>
      <c r="I432">
        <f>IF(A432="","",IFERROR(XLOOKUP(A432,Tickets[TripKey],Tickets[RouteLen]),0))</f>
        <v/>
      </c>
      <c r="J432">
        <f>IF(A432="","",IFERROR(XLOOKUP(A432,Tickets[TripKey],Tickets[Capacity]),0))</f>
        <v/>
      </c>
      <c r="K432">
        <f>IF(A432="","",I432*J432)</f>
        <v/>
      </c>
      <c r="L432">
        <f>IF(A432="","",IFERROR(MINIFS(Tickets[Trip Start Time],Tickets[TripKey],A432),""))</f>
        <v/>
      </c>
    </row>
    <row r="433">
      <c r="B433" s="8">
        <f>IF(A433="","",IFERROR(DATEVALUE(TEXTBEFORE(A433,"|")),--LEFT(A433,10)))</f>
        <v/>
      </c>
      <c r="C433">
        <f>IF(A433="","",TEXTBEFORE(TEXTAFTER(A433,"|"),"|"))</f>
        <v/>
      </c>
      <c r="D433">
        <f>IF(A433="","",TEXTAFTER(A433,"|",2))</f>
        <v/>
      </c>
      <c r="E433">
        <f>IF(A433="","",SUMIF(Tickets[TripKey],A433,Tickets[TP]))</f>
        <v/>
      </c>
      <c r="F433">
        <f>IF(A433="","",SUMIF(Tickets[TripKey],A433,Tickets[Revenue]))</f>
        <v/>
      </c>
      <c r="G433">
        <f>IF(A433="","",SUMIF(Tickets[TripKey],A433,Tickets[PK]))</f>
        <v/>
      </c>
      <c r="H433">
        <f>IF(A433="","",IFERROR(XLOOKUP(A433,Tickets[TripKey],Tickets[VehClean]),""))</f>
        <v/>
      </c>
      <c r="I433">
        <f>IF(A433="","",IFERROR(XLOOKUP(A433,Tickets[TripKey],Tickets[RouteLen]),0))</f>
        <v/>
      </c>
      <c r="J433">
        <f>IF(A433="","",IFERROR(XLOOKUP(A433,Tickets[TripKey],Tickets[Capacity]),0))</f>
        <v/>
      </c>
      <c r="K433">
        <f>IF(A433="","",I433*J433)</f>
        <v/>
      </c>
      <c r="L433">
        <f>IF(A433="","",IFERROR(MINIFS(Tickets[Trip Start Time],Tickets[TripKey],A433),""))</f>
        <v/>
      </c>
    </row>
    <row r="434">
      <c r="B434" s="8">
        <f>IF(A434="","",IFERROR(DATEVALUE(TEXTBEFORE(A434,"|")),--LEFT(A434,10)))</f>
        <v/>
      </c>
      <c r="C434">
        <f>IF(A434="","",TEXTBEFORE(TEXTAFTER(A434,"|"),"|"))</f>
        <v/>
      </c>
      <c r="D434">
        <f>IF(A434="","",TEXTAFTER(A434,"|",2))</f>
        <v/>
      </c>
      <c r="E434">
        <f>IF(A434="","",SUMIF(Tickets[TripKey],A434,Tickets[TP]))</f>
        <v/>
      </c>
      <c r="F434">
        <f>IF(A434="","",SUMIF(Tickets[TripKey],A434,Tickets[Revenue]))</f>
        <v/>
      </c>
      <c r="G434">
        <f>IF(A434="","",SUMIF(Tickets[TripKey],A434,Tickets[PK]))</f>
        <v/>
      </c>
      <c r="H434">
        <f>IF(A434="","",IFERROR(XLOOKUP(A434,Tickets[TripKey],Tickets[VehClean]),""))</f>
        <v/>
      </c>
      <c r="I434">
        <f>IF(A434="","",IFERROR(XLOOKUP(A434,Tickets[TripKey],Tickets[RouteLen]),0))</f>
        <v/>
      </c>
      <c r="J434">
        <f>IF(A434="","",IFERROR(XLOOKUP(A434,Tickets[TripKey],Tickets[Capacity]),0))</f>
        <v/>
      </c>
      <c r="K434">
        <f>IF(A434="","",I434*J434)</f>
        <v/>
      </c>
      <c r="L434">
        <f>IF(A434="","",IFERROR(MINIFS(Tickets[Trip Start Time],Tickets[TripKey],A434),""))</f>
        <v/>
      </c>
    </row>
    <row r="435">
      <c r="B435" s="8">
        <f>IF(A435="","",IFERROR(DATEVALUE(TEXTBEFORE(A435,"|")),--LEFT(A435,10)))</f>
        <v/>
      </c>
      <c r="C435">
        <f>IF(A435="","",TEXTBEFORE(TEXTAFTER(A435,"|"),"|"))</f>
        <v/>
      </c>
      <c r="D435">
        <f>IF(A435="","",TEXTAFTER(A435,"|",2))</f>
        <v/>
      </c>
      <c r="E435">
        <f>IF(A435="","",SUMIF(Tickets[TripKey],A435,Tickets[TP]))</f>
        <v/>
      </c>
      <c r="F435">
        <f>IF(A435="","",SUMIF(Tickets[TripKey],A435,Tickets[Revenue]))</f>
        <v/>
      </c>
      <c r="G435">
        <f>IF(A435="","",SUMIF(Tickets[TripKey],A435,Tickets[PK]))</f>
        <v/>
      </c>
      <c r="H435">
        <f>IF(A435="","",IFERROR(XLOOKUP(A435,Tickets[TripKey],Tickets[VehClean]),""))</f>
        <v/>
      </c>
      <c r="I435">
        <f>IF(A435="","",IFERROR(XLOOKUP(A435,Tickets[TripKey],Tickets[RouteLen]),0))</f>
        <v/>
      </c>
      <c r="J435">
        <f>IF(A435="","",IFERROR(XLOOKUP(A435,Tickets[TripKey],Tickets[Capacity]),0))</f>
        <v/>
      </c>
      <c r="K435">
        <f>IF(A435="","",I435*J435)</f>
        <v/>
      </c>
      <c r="L435">
        <f>IF(A435="","",IFERROR(MINIFS(Tickets[Trip Start Time],Tickets[TripKey],A435),""))</f>
        <v/>
      </c>
    </row>
    <row r="436">
      <c r="B436" s="8">
        <f>IF(A436="","",IFERROR(DATEVALUE(TEXTBEFORE(A436,"|")),--LEFT(A436,10)))</f>
        <v/>
      </c>
      <c r="C436">
        <f>IF(A436="","",TEXTBEFORE(TEXTAFTER(A436,"|"),"|"))</f>
        <v/>
      </c>
      <c r="D436">
        <f>IF(A436="","",TEXTAFTER(A436,"|",2))</f>
        <v/>
      </c>
      <c r="E436">
        <f>IF(A436="","",SUMIF(Tickets[TripKey],A436,Tickets[TP]))</f>
        <v/>
      </c>
      <c r="F436">
        <f>IF(A436="","",SUMIF(Tickets[TripKey],A436,Tickets[Revenue]))</f>
        <v/>
      </c>
      <c r="G436">
        <f>IF(A436="","",SUMIF(Tickets[TripKey],A436,Tickets[PK]))</f>
        <v/>
      </c>
      <c r="H436">
        <f>IF(A436="","",IFERROR(XLOOKUP(A436,Tickets[TripKey],Tickets[VehClean]),""))</f>
        <v/>
      </c>
      <c r="I436">
        <f>IF(A436="","",IFERROR(XLOOKUP(A436,Tickets[TripKey],Tickets[RouteLen]),0))</f>
        <v/>
      </c>
      <c r="J436">
        <f>IF(A436="","",IFERROR(XLOOKUP(A436,Tickets[TripKey],Tickets[Capacity]),0))</f>
        <v/>
      </c>
      <c r="K436">
        <f>IF(A436="","",I436*J436)</f>
        <v/>
      </c>
      <c r="L436">
        <f>IF(A436="","",IFERROR(MINIFS(Tickets[Trip Start Time],Tickets[TripKey],A436),""))</f>
        <v/>
      </c>
    </row>
    <row r="437">
      <c r="B437" s="8">
        <f>IF(A437="","",IFERROR(DATEVALUE(TEXTBEFORE(A437,"|")),--LEFT(A437,10)))</f>
        <v/>
      </c>
      <c r="C437">
        <f>IF(A437="","",TEXTBEFORE(TEXTAFTER(A437,"|"),"|"))</f>
        <v/>
      </c>
      <c r="D437">
        <f>IF(A437="","",TEXTAFTER(A437,"|",2))</f>
        <v/>
      </c>
      <c r="E437">
        <f>IF(A437="","",SUMIF(Tickets[TripKey],A437,Tickets[TP]))</f>
        <v/>
      </c>
      <c r="F437">
        <f>IF(A437="","",SUMIF(Tickets[TripKey],A437,Tickets[Revenue]))</f>
        <v/>
      </c>
      <c r="G437">
        <f>IF(A437="","",SUMIF(Tickets[TripKey],A437,Tickets[PK]))</f>
        <v/>
      </c>
      <c r="H437">
        <f>IF(A437="","",IFERROR(XLOOKUP(A437,Tickets[TripKey],Tickets[VehClean]),""))</f>
        <v/>
      </c>
      <c r="I437">
        <f>IF(A437="","",IFERROR(XLOOKUP(A437,Tickets[TripKey],Tickets[RouteLen]),0))</f>
        <v/>
      </c>
      <c r="J437">
        <f>IF(A437="","",IFERROR(XLOOKUP(A437,Tickets[TripKey],Tickets[Capacity]),0))</f>
        <v/>
      </c>
      <c r="K437">
        <f>IF(A437="","",I437*J437)</f>
        <v/>
      </c>
      <c r="L437">
        <f>IF(A437="","",IFERROR(MINIFS(Tickets[Trip Start Time],Tickets[TripKey],A437),""))</f>
        <v/>
      </c>
    </row>
    <row r="438">
      <c r="B438" s="8">
        <f>IF(A438="","",IFERROR(DATEVALUE(TEXTBEFORE(A438,"|")),--LEFT(A438,10)))</f>
        <v/>
      </c>
      <c r="C438">
        <f>IF(A438="","",TEXTBEFORE(TEXTAFTER(A438,"|"),"|"))</f>
        <v/>
      </c>
      <c r="D438">
        <f>IF(A438="","",TEXTAFTER(A438,"|",2))</f>
        <v/>
      </c>
      <c r="E438">
        <f>IF(A438="","",SUMIF(Tickets[TripKey],A438,Tickets[TP]))</f>
        <v/>
      </c>
      <c r="F438">
        <f>IF(A438="","",SUMIF(Tickets[TripKey],A438,Tickets[Revenue]))</f>
        <v/>
      </c>
      <c r="G438">
        <f>IF(A438="","",SUMIF(Tickets[TripKey],A438,Tickets[PK]))</f>
        <v/>
      </c>
      <c r="H438">
        <f>IF(A438="","",IFERROR(XLOOKUP(A438,Tickets[TripKey],Tickets[VehClean]),""))</f>
        <v/>
      </c>
      <c r="I438">
        <f>IF(A438="","",IFERROR(XLOOKUP(A438,Tickets[TripKey],Tickets[RouteLen]),0))</f>
        <v/>
      </c>
      <c r="J438">
        <f>IF(A438="","",IFERROR(XLOOKUP(A438,Tickets[TripKey],Tickets[Capacity]),0))</f>
        <v/>
      </c>
      <c r="K438">
        <f>IF(A438="","",I438*J438)</f>
        <v/>
      </c>
      <c r="L438">
        <f>IF(A438="","",IFERROR(MINIFS(Tickets[Trip Start Time],Tickets[TripKey],A438),""))</f>
        <v/>
      </c>
    </row>
    <row r="439">
      <c r="B439" s="8">
        <f>IF(A439="","",IFERROR(DATEVALUE(TEXTBEFORE(A439,"|")),--LEFT(A439,10)))</f>
        <v/>
      </c>
      <c r="C439">
        <f>IF(A439="","",TEXTBEFORE(TEXTAFTER(A439,"|"),"|"))</f>
        <v/>
      </c>
      <c r="D439">
        <f>IF(A439="","",TEXTAFTER(A439,"|",2))</f>
        <v/>
      </c>
      <c r="E439">
        <f>IF(A439="","",SUMIF(Tickets[TripKey],A439,Tickets[TP]))</f>
        <v/>
      </c>
      <c r="F439">
        <f>IF(A439="","",SUMIF(Tickets[TripKey],A439,Tickets[Revenue]))</f>
        <v/>
      </c>
      <c r="G439">
        <f>IF(A439="","",SUMIF(Tickets[TripKey],A439,Tickets[PK]))</f>
        <v/>
      </c>
      <c r="H439">
        <f>IF(A439="","",IFERROR(XLOOKUP(A439,Tickets[TripKey],Tickets[VehClean]),""))</f>
        <v/>
      </c>
      <c r="I439">
        <f>IF(A439="","",IFERROR(XLOOKUP(A439,Tickets[TripKey],Tickets[RouteLen]),0))</f>
        <v/>
      </c>
      <c r="J439">
        <f>IF(A439="","",IFERROR(XLOOKUP(A439,Tickets[TripKey],Tickets[Capacity]),0))</f>
        <v/>
      </c>
      <c r="K439">
        <f>IF(A439="","",I439*J439)</f>
        <v/>
      </c>
      <c r="L439">
        <f>IF(A439="","",IFERROR(MINIFS(Tickets[Trip Start Time],Tickets[TripKey],A439),""))</f>
        <v/>
      </c>
    </row>
    <row r="440">
      <c r="B440" s="8">
        <f>IF(A440="","",IFERROR(DATEVALUE(TEXTBEFORE(A440,"|")),--LEFT(A440,10)))</f>
        <v/>
      </c>
      <c r="C440">
        <f>IF(A440="","",TEXTBEFORE(TEXTAFTER(A440,"|"),"|"))</f>
        <v/>
      </c>
      <c r="D440">
        <f>IF(A440="","",TEXTAFTER(A440,"|",2))</f>
        <v/>
      </c>
      <c r="E440">
        <f>IF(A440="","",SUMIF(Tickets[TripKey],A440,Tickets[TP]))</f>
        <v/>
      </c>
      <c r="F440">
        <f>IF(A440="","",SUMIF(Tickets[TripKey],A440,Tickets[Revenue]))</f>
        <v/>
      </c>
      <c r="G440">
        <f>IF(A440="","",SUMIF(Tickets[TripKey],A440,Tickets[PK]))</f>
        <v/>
      </c>
      <c r="H440">
        <f>IF(A440="","",IFERROR(XLOOKUP(A440,Tickets[TripKey],Tickets[VehClean]),""))</f>
        <v/>
      </c>
      <c r="I440">
        <f>IF(A440="","",IFERROR(XLOOKUP(A440,Tickets[TripKey],Tickets[RouteLen]),0))</f>
        <v/>
      </c>
      <c r="J440">
        <f>IF(A440="","",IFERROR(XLOOKUP(A440,Tickets[TripKey],Tickets[Capacity]),0))</f>
        <v/>
      </c>
      <c r="K440">
        <f>IF(A440="","",I440*J440)</f>
        <v/>
      </c>
      <c r="L440">
        <f>IF(A440="","",IFERROR(MINIFS(Tickets[Trip Start Time],Tickets[TripKey],A440),""))</f>
        <v/>
      </c>
    </row>
    <row r="441">
      <c r="B441" s="8">
        <f>IF(A441="","",IFERROR(DATEVALUE(TEXTBEFORE(A441,"|")),--LEFT(A441,10)))</f>
        <v/>
      </c>
      <c r="C441">
        <f>IF(A441="","",TEXTBEFORE(TEXTAFTER(A441,"|"),"|"))</f>
        <v/>
      </c>
      <c r="D441">
        <f>IF(A441="","",TEXTAFTER(A441,"|",2))</f>
        <v/>
      </c>
      <c r="E441">
        <f>IF(A441="","",SUMIF(Tickets[TripKey],A441,Tickets[TP]))</f>
        <v/>
      </c>
      <c r="F441">
        <f>IF(A441="","",SUMIF(Tickets[TripKey],A441,Tickets[Revenue]))</f>
        <v/>
      </c>
      <c r="G441">
        <f>IF(A441="","",SUMIF(Tickets[TripKey],A441,Tickets[PK]))</f>
        <v/>
      </c>
      <c r="H441">
        <f>IF(A441="","",IFERROR(XLOOKUP(A441,Tickets[TripKey],Tickets[VehClean]),""))</f>
        <v/>
      </c>
      <c r="I441">
        <f>IF(A441="","",IFERROR(XLOOKUP(A441,Tickets[TripKey],Tickets[RouteLen]),0))</f>
        <v/>
      </c>
      <c r="J441">
        <f>IF(A441="","",IFERROR(XLOOKUP(A441,Tickets[TripKey],Tickets[Capacity]),0))</f>
        <v/>
      </c>
      <c r="K441">
        <f>IF(A441="","",I441*J441)</f>
        <v/>
      </c>
      <c r="L441">
        <f>IF(A441="","",IFERROR(MINIFS(Tickets[Trip Start Time],Tickets[TripKey],A441),""))</f>
        <v/>
      </c>
    </row>
    <row r="442">
      <c r="B442" s="8">
        <f>IF(A442="","",IFERROR(DATEVALUE(TEXTBEFORE(A442,"|")),--LEFT(A442,10)))</f>
        <v/>
      </c>
      <c r="C442">
        <f>IF(A442="","",TEXTBEFORE(TEXTAFTER(A442,"|"),"|"))</f>
        <v/>
      </c>
      <c r="D442">
        <f>IF(A442="","",TEXTAFTER(A442,"|",2))</f>
        <v/>
      </c>
      <c r="E442">
        <f>IF(A442="","",SUMIF(Tickets[TripKey],A442,Tickets[TP]))</f>
        <v/>
      </c>
      <c r="F442">
        <f>IF(A442="","",SUMIF(Tickets[TripKey],A442,Tickets[Revenue]))</f>
        <v/>
      </c>
      <c r="G442">
        <f>IF(A442="","",SUMIF(Tickets[TripKey],A442,Tickets[PK]))</f>
        <v/>
      </c>
      <c r="H442">
        <f>IF(A442="","",IFERROR(XLOOKUP(A442,Tickets[TripKey],Tickets[VehClean]),""))</f>
        <v/>
      </c>
      <c r="I442">
        <f>IF(A442="","",IFERROR(XLOOKUP(A442,Tickets[TripKey],Tickets[RouteLen]),0))</f>
        <v/>
      </c>
      <c r="J442">
        <f>IF(A442="","",IFERROR(XLOOKUP(A442,Tickets[TripKey],Tickets[Capacity]),0))</f>
        <v/>
      </c>
      <c r="K442">
        <f>IF(A442="","",I442*J442)</f>
        <v/>
      </c>
      <c r="L442">
        <f>IF(A442="","",IFERROR(MINIFS(Tickets[Trip Start Time],Tickets[TripKey],A442),""))</f>
        <v/>
      </c>
    </row>
    <row r="443">
      <c r="B443" s="8">
        <f>IF(A443="","",IFERROR(DATEVALUE(TEXTBEFORE(A443,"|")),--LEFT(A443,10)))</f>
        <v/>
      </c>
      <c r="C443">
        <f>IF(A443="","",TEXTBEFORE(TEXTAFTER(A443,"|"),"|"))</f>
        <v/>
      </c>
      <c r="D443">
        <f>IF(A443="","",TEXTAFTER(A443,"|",2))</f>
        <v/>
      </c>
      <c r="E443">
        <f>IF(A443="","",SUMIF(Tickets[TripKey],A443,Tickets[TP]))</f>
        <v/>
      </c>
      <c r="F443">
        <f>IF(A443="","",SUMIF(Tickets[TripKey],A443,Tickets[Revenue]))</f>
        <v/>
      </c>
      <c r="G443">
        <f>IF(A443="","",SUMIF(Tickets[TripKey],A443,Tickets[PK]))</f>
        <v/>
      </c>
      <c r="H443">
        <f>IF(A443="","",IFERROR(XLOOKUP(A443,Tickets[TripKey],Tickets[VehClean]),""))</f>
        <v/>
      </c>
      <c r="I443">
        <f>IF(A443="","",IFERROR(XLOOKUP(A443,Tickets[TripKey],Tickets[RouteLen]),0))</f>
        <v/>
      </c>
      <c r="J443">
        <f>IF(A443="","",IFERROR(XLOOKUP(A443,Tickets[TripKey],Tickets[Capacity]),0))</f>
        <v/>
      </c>
      <c r="K443">
        <f>IF(A443="","",I443*J443)</f>
        <v/>
      </c>
      <c r="L443">
        <f>IF(A443="","",IFERROR(MINIFS(Tickets[Trip Start Time],Tickets[TripKey],A443),""))</f>
        <v/>
      </c>
    </row>
    <row r="444">
      <c r="B444" s="8">
        <f>IF(A444="","",IFERROR(DATEVALUE(TEXTBEFORE(A444,"|")),--LEFT(A444,10)))</f>
        <v/>
      </c>
      <c r="C444">
        <f>IF(A444="","",TEXTBEFORE(TEXTAFTER(A444,"|"),"|"))</f>
        <v/>
      </c>
      <c r="D444">
        <f>IF(A444="","",TEXTAFTER(A444,"|",2))</f>
        <v/>
      </c>
      <c r="E444">
        <f>IF(A444="","",SUMIF(Tickets[TripKey],A444,Tickets[TP]))</f>
        <v/>
      </c>
      <c r="F444">
        <f>IF(A444="","",SUMIF(Tickets[TripKey],A444,Tickets[Revenue]))</f>
        <v/>
      </c>
      <c r="G444">
        <f>IF(A444="","",SUMIF(Tickets[TripKey],A444,Tickets[PK]))</f>
        <v/>
      </c>
      <c r="H444">
        <f>IF(A444="","",IFERROR(XLOOKUP(A444,Tickets[TripKey],Tickets[VehClean]),""))</f>
        <v/>
      </c>
      <c r="I444">
        <f>IF(A444="","",IFERROR(XLOOKUP(A444,Tickets[TripKey],Tickets[RouteLen]),0))</f>
        <v/>
      </c>
      <c r="J444">
        <f>IF(A444="","",IFERROR(XLOOKUP(A444,Tickets[TripKey],Tickets[Capacity]),0))</f>
        <v/>
      </c>
      <c r="K444">
        <f>IF(A444="","",I444*J444)</f>
        <v/>
      </c>
      <c r="L444">
        <f>IF(A444="","",IFERROR(MINIFS(Tickets[Trip Start Time],Tickets[TripKey],A444),""))</f>
        <v/>
      </c>
    </row>
    <row r="445">
      <c r="B445" s="8">
        <f>IF(A445="","",IFERROR(DATEVALUE(TEXTBEFORE(A445,"|")),--LEFT(A445,10)))</f>
        <v/>
      </c>
      <c r="C445">
        <f>IF(A445="","",TEXTBEFORE(TEXTAFTER(A445,"|"),"|"))</f>
        <v/>
      </c>
      <c r="D445">
        <f>IF(A445="","",TEXTAFTER(A445,"|",2))</f>
        <v/>
      </c>
      <c r="E445">
        <f>IF(A445="","",SUMIF(Tickets[TripKey],A445,Tickets[TP]))</f>
        <v/>
      </c>
      <c r="F445">
        <f>IF(A445="","",SUMIF(Tickets[TripKey],A445,Tickets[Revenue]))</f>
        <v/>
      </c>
      <c r="G445">
        <f>IF(A445="","",SUMIF(Tickets[TripKey],A445,Tickets[PK]))</f>
        <v/>
      </c>
      <c r="H445">
        <f>IF(A445="","",IFERROR(XLOOKUP(A445,Tickets[TripKey],Tickets[VehClean]),""))</f>
        <v/>
      </c>
      <c r="I445">
        <f>IF(A445="","",IFERROR(XLOOKUP(A445,Tickets[TripKey],Tickets[RouteLen]),0))</f>
        <v/>
      </c>
      <c r="J445">
        <f>IF(A445="","",IFERROR(XLOOKUP(A445,Tickets[TripKey],Tickets[Capacity]),0))</f>
        <v/>
      </c>
      <c r="K445">
        <f>IF(A445="","",I445*J445)</f>
        <v/>
      </c>
      <c r="L445">
        <f>IF(A445="","",IFERROR(MINIFS(Tickets[Trip Start Time],Tickets[TripKey],A445),""))</f>
        <v/>
      </c>
    </row>
    <row r="446">
      <c r="B446" s="8">
        <f>IF(A446="","",IFERROR(DATEVALUE(TEXTBEFORE(A446,"|")),--LEFT(A446,10)))</f>
        <v/>
      </c>
      <c r="C446">
        <f>IF(A446="","",TEXTBEFORE(TEXTAFTER(A446,"|"),"|"))</f>
        <v/>
      </c>
      <c r="D446">
        <f>IF(A446="","",TEXTAFTER(A446,"|",2))</f>
        <v/>
      </c>
      <c r="E446">
        <f>IF(A446="","",SUMIF(Tickets[TripKey],A446,Tickets[TP]))</f>
        <v/>
      </c>
      <c r="F446">
        <f>IF(A446="","",SUMIF(Tickets[TripKey],A446,Tickets[Revenue]))</f>
        <v/>
      </c>
      <c r="G446">
        <f>IF(A446="","",SUMIF(Tickets[TripKey],A446,Tickets[PK]))</f>
        <v/>
      </c>
      <c r="H446">
        <f>IF(A446="","",IFERROR(XLOOKUP(A446,Tickets[TripKey],Tickets[VehClean]),""))</f>
        <v/>
      </c>
      <c r="I446">
        <f>IF(A446="","",IFERROR(XLOOKUP(A446,Tickets[TripKey],Tickets[RouteLen]),0))</f>
        <v/>
      </c>
      <c r="J446">
        <f>IF(A446="","",IFERROR(XLOOKUP(A446,Tickets[TripKey],Tickets[Capacity]),0))</f>
        <v/>
      </c>
      <c r="K446">
        <f>IF(A446="","",I446*J446)</f>
        <v/>
      </c>
      <c r="L446">
        <f>IF(A446="","",IFERROR(MINIFS(Tickets[Trip Start Time],Tickets[TripKey],A446),""))</f>
        <v/>
      </c>
    </row>
    <row r="447">
      <c r="B447" s="8">
        <f>IF(A447="","",IFERROR(DATEVALUE(TEXTBEFORE(A447,"|")),--LEFT(A447,10)))</f>
        <v/>
      </c>
      <c r="C447">
        <f>IF(A447="","",TEXTBEFORE(TEXTAFTER(A447,"|"),"|"))</f>
        <v/>
      </c>
      <c r="D447">
        <f>IF(A447="","",TEXTAFTER(A447,"|",2))</f>
        <v/>
      </c>
      <c r="E447">
        <f>IF(A447="","",SUMIF(Tickets[TripKey],A447,Tickets[TP]))</f>
        <v/>
      </c>
      <c r="F447">
        <f>IF(A447="","",SUMIF(Tickets[TripKey],A447,Tickets[Revenue]))</f>
        <v/>
      </c>
      <c r="G447">
        <f>IF(A447="","",SUMIF(Tickets[TripKey],A447,Tickets[PK]))</f>
        <v/>
      </c>
      <c r="H447">
        <f>IF(A447="","",IFERROR(XLOOKUP(A447,Tickets[TripKey],Tickets[VehClean]),""))</f>
        <v/>
      </c>
      <c r="I447">
        <f>IF(A447="","",IFERROR(XLOOKUP(A447,Tickets[TripKey],Tickets[RouteLen]),0))</f>
        <v/>
      </c>
      <c r="J447">
        <f>IF(A447="","",IFERROR(XLOOKUP(A447,Tickets[TripKey],Tickets[Capacity]),0))</f>
        <v/>
      </c>
      <c r="K447">
        <f>IF(A447="","",I447*J447)</f>
        <v/>
      </c>
      <c r="L447">
        <f>IF(A447="","",IFERROR(MINIFS(Tickets[Trip Start Time],Tickets[TripKey],A447),""))</f>
        <v/>
      </c>
    </row>
    <row r="448">
      <c r="B448" s="8">
        <f>IF(A448="","",IFERROR(DATEVALUE(TEXTBEFORE(A448,"|")),--LEFT(A448,10)))</f>
        <v/>
      </c>
      <c r="C448">
        <f>IF(A448="","",TEXTBEFORE(TEXTAFTER(A448,"|"),"|"))</f>
        <v/>
      </c>
      <c r="D448">
        <f>IF(A448="","",TEXTAFTER(A448,"|",2))</f>
        <v/>
      </c>
      <c r="E448">
        <f>IF(A448="","",SUMIF(Tickets[TripKey],A448,Tickets[TP]))</f>
        <v/>
      </c>
      <c r="F448">
        <f>IF(A448="","",SUMIF(Tickets[TripKey],A448,Tickets[Revenue]))</f>
        <v/>
      </c>
      <c r="G448">
        <f>IF(A448="","",SUMIF(Tickets[TripKey],A448,Tickets[PK]))</f>
        <v/>
      </c>
      <c r="H448">
        <f>IF(A448="","",IFERROR(XLOOKUP(A448,Tickets[TripKey],Tickets[VehClean]),""))</f>
        <v/>
      </c>
      <c r="I448">
        <f>IF(A448="","",IFERROR(XLOOKUP(A448,Tickets[TripKey],Tickets[RouteLen]),0))</f>
        <v/>
      </c>
      <c r="J448">
        <f>IF(A448="","",IFERROR(XLOOKUP(A448,Tickets[TripKey],Tickets[Capacity]),0))</f>
        <v/>
      </c>
      <c r="K448">
        <f>IF(A448="","",I448*J448)</f>
        <v/>
      </c>
      <c r="L448">
        <f>IF(A448="","",IFERROR(MINIFS(Tickets[Trip Start Time],Tickets[TripKey],A448),""))</f>
        <v/>
      </c>
    </row>
    <row r="449">
      <c r="B449" s="8">
        <f>IF(A449="","",IFERROR(DATEVALUE(TEXTBEFORE(A449,"|")),--LEFT(A449,10)))</f>
        <v/>
      </c>
      <c r="C449">
        <f>IF(A449="","",TEXTBEFORE(TEXTAFTER(A449,"|"),"|"))</f>
        <v/>
      </c>
      <c r="D449">
        <f>IF(A449="","",TEXTAFTER(A449,"|",2))</f>
        <v/>
      </c>
      <c r="E449">
        <f>IF(A449="","",SUMIF(Tickets[TripKey],A449,Tickets[TP]))</f>
        <v/>
      </c>
      <c r="F449">
        <f>IF(A449="","",SUMIF(Tickets[TripKey],A449,Tickets[Revenue]))</f>
        <v/>
      </c>
      <c r="G449">
        <f>IF(A449="","",SUMIF(Tickets[TripKey],A449,Tickets[PK]))</f>
        <v/>
      </c>
      <c r="H449">
        <f>IF(A449="","",IFERROR(XLOOKUP(A449,Tickets[TripKey],Tickets[VehClean]),""))</f>
        <v/>
      </c>
      <c r="I449">
        <f>IF(A449="","",IFERROR(XLOOKUP(A449,Tickets[TripKey],Tickets[RouteLen]),0))</f>
        <v/>
      </c>
      <c r="J449">
        <f>IF(A449="","",IFERROR(XLOOKUP(A449,Tickets[TripKey],Tickets[Capacity]),0))</f>
        <v/>
      </c>
      <c r="K449">
        <f>IF(A449="","",I449*J449)</f>
        <v/>
      </c>
      <c r="L449">
        <f>IF(A449="","",IFERROR(MINIFS(Tickets[Trip Start Time],Tickets[TripKey],A449),""))</f>
        <v/>
      </c>
    </row>
    <row r="450">
      <c r="B450" s="8">
        <f>IF(A450="","",IFERROR(DATEVALUE(TEXTBEFORE(A450,"|")),--LEFT(A450,10)))</f>
        <v/>
      </c>
      <c r="C450">
        <f>IF(A450="","",TEXTBEFORE(TEXTAFTER(A450,"|"),"|"))</f>
        <v/>
      </c>
      <c r="D450">
        <f>IF(A450="","",TEXTAFTER(A450,"|",2))</f>
        <v/>
      </c>
      <c r="E450">
        <f>IF(A450="","",SUMIF(Tickets[TripKey],A450,Tickets[TP]))</f>
        <v/>
      </c>
      <c r="F450">
        <f>IF(A450="","",SUMIF(Tickets[TripKey],A450,Tickets[Revenue]))</f>
        <v/>
      </c>
      <c r="G450">
        <f>IF(A450="","",SUMIF(Tickets[TripKey],A450,Tickets[PK]))</f>
        <v/>
      </c>
      <c r="H450">
        <f>IF(A450="","",IFERROR(XLOOKUP(A450,Tickets[TripKey],Tickets[VehClean]),""))</f>
        <v/>
      </c>
      <c r="I450">
        <f>IF(A450="","",IFERROR(XLOOKUP(A450,Tickets[TripKey],Tickets[RouteLen]),0))</f>
        <v/>
      </c>
      <c r="J450">
        <f>IF(A450="","",IFERROR(XLOOKUP(A450,Tickets[TripKey],Tickets[Capacity]),0))</f>
        <v/>
      </c>
      <c r="K450">
        <f>IF(A450="","",I450*J450)</f>
        <v/>
      </c>
      <c r="L450">
        <f>IF(A450="","",IFERROR(MINIFS(Tickets[Trip Start Time],Tickets[TripKey],A450),""))</f>
        <v/>
      </c>
    </row>
    <row r="451">
      <c r="B451" s="8">
        <f>IF(A451="","",IFERROR(DATEVALUE(TEXTBEFORE(A451,"|")),--LEFT(A451,10)))</f>
        <v/>
      </c>
      <c r="C451">
        <f>IF(A451="","",TEXTBEFORE(TEXTAFTER(A451,"|"),"|"))</f>
        <v/>
      </c>
      <c r="D451">
        <f>IF(A451="","",TEXTAFTER(A451,"|",2))</f>
        <v/>
      </c>
      <c r="E451">
        <f>IF(A451="","",SUMIF(Tickets[TripKey],A451,Tickets[TP]))</f>
        <v/>
      </c>
      <c r="F451">
        <f>IF(A451="","",SUMIF(Tickets[TripKey],A451,Tickets[Revenue]))</f>
        <v/>
      </c>
      <c r="G451">
        <f>IF(A451="","",SUMIF(Tickets[TripKey],A451,Tickets[PK]))</f>
        <v/>
      </c>
      <c r="H451">
        <f>IF(A451="","",IFERROR(XLOOKUP(A451,Tickets[TripKey],Tickets[VehClean]),""))</f>
        <v/>
      </c>
      <c r="I451">
        <f>IF(A451="","",IFERROR(XLOOKUP(A451,Tickets[TripKey],Tickets[RouteLen]),0))</f>
        <v/>
      </c>
      <c r="J451">
        <f>IF(A451="","",IFERROR(XLOOKUP(A451,Tickets[TripKey],Tickets[Capacity]),0))</f>
        <v/>
      </c>
      <c r="K451">
        <f>IF(A451="","",I451*J451)</f>
        <v/>
      </c>
      <c r="L451">
        <f>IF(A451="","",IFERROR(MINIFS(Tickets[Trip Start Time],Tickets[TripKey],A451),""))</f>
        <v/>
      </c>
    </row>
    <row r="452">
      <c r="B452" s="8">
        <f>IF(A452="","",IFERROR(DATEVALUE(TEXTBEFORE(A452,"|")),--LEFT(A452,10)))</f>
        <v/>
      </c>
      <c r="C452">
        <f>IF(A452="","",TEXTBEFORE(TEXTAFTER(A452,"|"),"|"))</f>
        <v/>
      </c>
      <c r="D452">
        <f>IF(A452="","",TEXTAFTER(A452,"|",2))</f>
        <v/>
      </c>
      <c r="E452">
        <f>IF(A452="","",SUMIF(Tickets[TripKey],A452,Tickets[TP]))</f>
        <v/>
      </c>
      <c r="F452">
        <f>IF(A452="","",SUMIF(Tickets[TripKey],A452,Tickets[Revenue]))</f>
        <v/>
      </c>
      <c r="G452">
        <f>IF(A452="","",SUMIF(Tickets[TripKey],A452,Tickets[PK]))</f>
        <v/>
      </c>
      <c r="H452">
        <f>IF(A452="","",IFERROR(XLOOKUP(A452,Tickets[TripKey],Tickets[VehClean]),""))</f>
        <v/>
      </c>
      <c r="I452">
        <f>IF(A452="","",IFERROR(XLOOKUP(A452,Tickets[TripKey],Tickets[RouteLen]),0))</f>
        <v/>
      </c>
      <c r="J452">
        <f>IF(A452="","",IFERROR(XLOOKUP(A452,Tickets[TripKey],Tickets[Capacity]),0))</f>
        <v/>
      </c>
      <c r="K452">
        <f>IF(A452="","",I452*J452)</f>
        <v/>
      </c>
      <c r="L452">
        <f>IF(A452="","",IFERROR(MINIFS(Tickets[Trip Start Time],Tickets[TripKey],A452),""))</f>
        <v/>
      </c>
    </row>
    <row r="453">
      <c r="B453" s="8">
        <f>IF(A453="","",IFERROR(DATEVALUE(TEXTBEFORE(A453,"|")),--LEFT(A453,10)))</f>
        <v/>
      </c>
      <c r="C453">
        <f>IF(A453="","",TEXTBEFORE(TEXTAFTER(A453,"|"),"|"))</f>
        <v/>
      </c>
      <c r="D453">
        <f>IF(A453="","",TEXTAFTER(A453,"|",2))</f>
        <v/>
      </c>
      <c r="E453">
        <f>IF(A453="","",SUMIF(Tickets[TripKey],A453,Tickets[TP]))</f>
        <v/>
      </c>
      <c r="F453">
        <f>IF(A453="","",SUMIF(Tickets[TripKey],A453,Tickets[Revenue]))</f>
        <v/>
      </c>
      <c r="G453">
        <f>IF(A453="","",SUMIF(Tickets[TripKey],A453,Tickets[PK]))</f>
        <v/>
      </c>
      <c r="H453">
        <f>IF(A453="","",IFERROR(XLOOKUP(A453,Tickets[TripKey],Tickets[VehClean]),""))</f>
        <v/>
      </c>
      <c r="I453">
        <f>IF(A453="","",IFERROR(XLOOKUP(A453,Tickets[TripKey],Tickets[RouteLen]),0))</f>
        <v/>
      </c>
      <c r="J453">
        <f>IF(A453="","",IFERROR(XLOOKUP(A453,Tickets[TripKey],Tickets[Capacity]),0))</f>
        <v/>
      </c>
      <c r="K453">
        <f>IF(A453="","",I453*J453)</f>
        <v/>
      </c>
      <c r="L453">
        <f>IF(A453="","",IFERROR(MINIFS(Tickets[Trip Start Time],Tickets[TripKey],A453),""))</f>
        <v/>
      </c>
    </row>
    <row r="454">
      <c r="B454" s="8">
        <f>IF(A454="","",IFERROR(DATEVALUE(TEXTBEFORE(A454,"|")),--LEFT(A454,10)))</f>
        <v/>
      </c>
      <c r="C454">
        <f>IF(A454="","",TEXTBEFORE(TEXTAFTER(A454,"|"),"|"))</f>
        <v/>
      </c>
      <c r="D454">
        <f>IF(A454="","",TEXTAFTER(A454,"|",2))</f>
        <v/>
      </c>
      <c r="E454">
        <f>IF(A454="","",SUMIF(Tickets[TripKey],A454,Tickets[TP]))</f>
        <v/>
      </c>
      <c r="F454">
        <f>IF(A454="","",SUMIF(Tickets[TripKey],A454,Tickets[Revenue]))</f>
        <v/>
      </c>
      <c r="G454">
        <f>IF(A454="","",SUMIF(Tickets[TripKey],A454,Tickets[PK]))</f>
        <v/>
      </c>
      <c r="H454">
        <f>IF(A454="","",IFERROR(XLOOKUP(A454,Tickets[TripKey],Tickets[VehClean]),""))</f>
        <v/>
      </c>
      <c r="I454">
        <f>IF(A454="","",IFERROR(XLOOKUP(A454,Tickets[TripKey],Tickets[RouteLen]),0))</f>
        <v/>
      </c>
      <c r="J454">
        <f>IF(A454="","",IFERROR(XLOOKUP(A454,Tickets[TripKey],Tickets[Capacity]),0))</f>
        <v/>
      </c>
      <c r="K454">
        <f>IF(A454="","",I454*J454)</f>
        <v/>
      </c>
      <c r="L454">
        <f>IF(A454="","",IFERROR(MINIFS(Tickets[Trip Start Time],Tickets[TripKey],A454),""))</f>
        <v/>
      </c>
    </row>
    <row r="455">
      <c r="B455" s="8">
        <f>IF(A455="","",IFERROR(DATEVALUE(TEXTBEFORE(A455,"|")),--LEFT(A455,10)))</f>
        <v/>
      </c>
      <c r="C455">
        <f>IF(A455="","",TEXTBEFORE(TEXTAFTER(A455,"|"),"|"))</f>
        <v/>
      </c>
      <c r="D455">
        <f>IF(A455="","",TEXTAFTER(A455,"|",2))</f>
        <v/>
      </c>
      <c r="E455">
        <f>IF(A455="","",SUMIF(Tickets[TripKey],A455,Tickets[TP]))</f>
        <v/>
      </c>
      <c r="F455">
        <f>IF(A455="","",SUMIF(Tickets[TripKey],A455,Tickets[Revenue]))</f>
        <v/>
      </c>
      <c r="G455">
        <f>IF(A455="","",SUMIF(Tickets[TripKey],A455,Tickets[PK]))</f>
        <v/>
      </c>
      <c r="H455">
        <f>IF(A455="","",IFERROR(XLOOKUP(A455,Tickets[TripKey],Tickets[VehClean]),""))</f>
        <v/>
      </c>
      <c r="I455">
        <f>IF(A455="","",IFERROR(XLOOKUP(A455,Tickets[TripKey],Tickets[RouteLen]),0))</f>
        <v/>
      </c>
      <c r="J455">
        <f>IF(A455="","",IFERROR(XLOOKUP(A455,Tickets[TripKey],Tickets[Capacity]),0))</f>
        <v/>
      </c>
      <c r="K455">
        <f>IF(A455="","",I455*J455)</f>
        <v/>
      </c>
      <c r="L455">
        <f>IF(A455="","",IFERROR(MINIFS(Tickets[Trip Start Time],Tickets[TripKey],A455),""))</f>
        <v/>
      </c>
    </row>
    <row r="456">
      <c r="B456" s="8">
        <f>IF(A456="","",IFERROR(DATEVALUE(TEXTBEFORE(A456,"|")),--LEFT(A456,10)))</f>
        <v/>
      </c>
      <c r="C456">
        <f>IF(A456="","",TEXTBEFORE(TEXTAFTER(A456,"|"),"|"))</f>
        <v/>
      </c>
      <c r="D456">
        <f>IF(A456="","",TEXTAFTER(A456,"|",2))</f>
        <v/>
      </c>
      <c r="E456">
        <f>IF(A456="","",SUMIF(Tickets[TripKey],A456,Tickets[TP]))</f>
        <v/>
      </c>
      <c r="F456">
        <f>IF(A456="","",SUMIF(Tickets[TripKey],A456,Tickets[Revenue]))</f>
        <v/>
      </c>
      <c r="G456">
        <f>IF(A456="","",SUMIF(Tickets[TripKey],A456,Tickets[PK]))</f>
        <v/>
      </c>
      <c r="H456">
        <f>IF(A456="","",IFERROR(XLOOKUP(A456,Tickets[TripKey],Tickets[VehClean]),""))</f>
        <v/>
      </c>
      <c r="I456">
        <f>IF(A456="","",IFERROR(XLOOKUP(A456,Tickets[TripKey],Tickets[RouteLen]),0))</f>
        <v/>
      </c>
      <c r="J456">
        <f>IF(A456="","",IFERROR(XLOOKUP(A456,Tickets[TripKey],Tickets[Capacity]),0))</f>
        <v/>
      </c>
      <c r="K456">
        <f>IF(A456="","",I456*J456)</f>
        <v/>
      </c>
      <c r="L456">
        <f>IF(A456="","",IFERROR(MINIFS(Tickets[Trip Start Time],Tickets[TripKey],A456),""))</f>
        <v/>
      </c>
    </row>
    <row r="457">
      <c r="B457" s="8">
        <f>IF(A457="","",IFERROR(DATEVALUE(TEXTBEFORE(A457,"|")),--LEFT(A457,10)))</f>
        <v/>
      </c>
      <c r="C457">
        <f>IF(A457="","",TEXTBEFORE(TEXTAFTER(A457,"|"),"|"))</f>
        <v/>
      </c>
      <c r="D457">
        <f>IF(A457="","",TEXTAFTER(A457,"|",2))</f>
        <v/>
      </c>
      <c r="E457">
        <f>IF(A457="","",SUMIF(Tickets[TripKey],A457,Tickets[TP]))</f>
        <v/>
      </c>
      <c r="F457">
        <f>IF(A457="","",SUMIF(Tickets[TripKey],A457,Tickets[Revenue]))</f>
        <v/>
      </c>
      <c r="G457">
        <f>IF(A457="","",SUMIF(Tickets[TripKey],A457,Tickets[PK]))</f>
        <v/>
      </c>
      <c r="H457">
        <f>IF(A457="","",IFERROR(XLOOKUP(A457,Tickets[TripKey],Tickets[VehClean]),""))</f>
        <v/>
      </c>
      <c r="I457">
        <f>IF(A457="","",IFERROR(XLOOKUP(A457,Tickets[TripKey],Tickets[RouteLen]),0))</f>
        <v/>
      </c>
      <c r="J457">
        <f>IF(A457="","",IFERROR(XLOOKUP(A457,Tickets[TripKey],Tickets[Capacity]),0))</f>
        <v/>
      </c>
      <c r="K457">
        <f>IF(A457="","",I457*J457)</f>
        <v/>
      </c>
      <c r="L457">
        <f>IF(A457="","",IFERROR(MINIFS(Tickets[Trip Start Time],Tickets[TripKey],A457),""))</f>
        <v/>
      </c>
    </row>
    <row r="458">
      <c r="B458" s="8">
        <f>IF(A458="","",IFERROR(DATEVALUE(TEXTBEFORE(A458,"|")),--LEFT(A458,10)))</f>
        <v/>
      </c>
      <c r="C458">
        <f>IF(A458="","",TEXTBEFORE(TEXTAFTER(A458,"|"),"|"))</f>
        <v/>
      </c>
      <c r="D458">
        <f>IF(A458="","",TEXTAFTER(A458,"|",2))</f>
        <v/>
      </c>
      <c r="E458">
        <f>IF(A458="","",SUMIF(Tickets[TripKey],A458,Tickets[TP]))</f>
        <v/>
      </c>
      <c r="F458">
        <f>IF(A458="","",SUMIF(Tickets[TripKey],A458,Tickets[Revenue]))</f>
        <v/>
      </c>
      <c r="G458">
        <f>IF(A458="","",SUMIF(Tickets[TripKey],A458,Tickets[PK]))</f>
        <v/>
      </c>
      <c r="H458">
        <f>IF(A458="","",IFERROR(XLOOKUP(A458,Tickets[TripKey],Tickets[VehClean]),""))</f>
        <v/>
      </c>
      <c r="I458">
        <f>IF(A458="","",IFERROR(XLOOKUP(A458,Tickets[TripKey],Tickets[RouteLen]),0))</f>
        <v/>
      </c>
      <c r="J458">
        <f>IF(A458="","",IFERROR(XLOOKUP(A458,Tickets[TripKey],Tickets[Capacity]),0))</f>
        <v/>
      </c>
      <c r="K458">
        <f>IF(A458="","",I458*J458)</f>
        <v/>
      </c>
      <c r="L458">
        <f>IF(A458="","",IFERROR(MINIFS(Tickets[Trip Start Time],Tickets[TripKey],A458),""))</f>
        <v/>
      </c>
    </row>
    <row r="459">
      <c r="B459" s="8">
        <f>IF(A459="","",IFERROR(DATEVALUE(TEXTBEFORE(A459,"|")),--LEFT(A459,10)))</f>
        <v/>
      </c>
      <c r="C459">
        <f>IF(A459="","",TEXTBEFORE(TEXTAFTER(A459,"|"),"|"))</f>
        <v/>
      </c>
      <c r="D459">
        <f>IF(A459="","",TEXTAFTER(A459,"|",2))</f>
        <v/>
      </c>
      <c r="E459">
        <f>IF(A459="","",SUMIF(Tickets[TripKey],A459,Tickets[TP]))</f>
        <v/>
      </c>
      <c r="F459">
        <f>IF(A459="","",SUMIF(Tickets[TripKey],A459,Tickets[Revenue]))</f>
        <v/>
      </c>
      <c r="G459">
        <f>IF(A459="","",SUMIF(Tickets[TripKey],A459,Tickets[PK]))</f>
        <v/>
      </c>
      <c r="H459">
        <f>IF(A459="","",IFERROR(XLOOKUP(A459,Tickets[TripKey],Tickets[VehClean]),""))</f>
        <v/>
      </c>
      <c r="I459">
        <f>IF(A459="","",IFERROR(XLOOKUP(A459,Tickets[TripKey],Tickets[RouteLen]),0))</f>
        <v/>
      </c>
      <c r="J459">
        <f>IF(A459="","",IFERROR(XLOOKUP(A459,Tickets[TripKey],Tickets[Capacity]),0))</f>
        <v/>
      </c>
      <c r="K459">
        <f>IF(A459="","",I459*J459)</f>
        <v/>
      </c>
      <c r="L459">
        <f>IF(A459="","",IFERROR(MINIFS(Tickets[Trip Start Time],Tickets[TripKey],A459),""))</f>
        <v/>
      </c>
    </row>
    <row r="460">
      <c r="B460" s="8">
        <f>IF(A460="","",IFERROR(DATEVALUE(TEXTBEFORE(A460,"|")),--LEFT(A460,10)))</f>
        <v/>
      </c>
      <c r="C460">
        <f>IF(A460="","",TEXTBEFORE(TEXTAFTER(A460,"|"),"|"))</f>
        <v/>
      </c>
      <c r="D460">
        <f>IF(A460="","",TEXTAFTER(A460,"|",2))</f>
        <v/>
      </c>
      <c r="E460">
        <f>IF(A460="","",SUMIF(Tickets[TripKey],A460,Tickets[TP]))</f>
        <v/>
      </c>
      <c r="F460">
        <f>IF(A460="","",SUMIF(Tickets[TripKey],A460,Tickets[Revenue]))</f>
        <v/>
      </c>
      <c r="G460">
        <f>IF(A460="","",SUMIF(Tickets[TripKey],A460,Tickets[PK]))</f>
        <v/>
      </c>
      <c r="H460">
        <f>IF(A460="","",IFERROR(XLOOKUP(A460,Tickets[TripKey],Tickets[VehClean]),""))</f>
        <v/>
      </c>
      <c r="I460">
        <f>IF(A460="","",IFERROR(XLOOKUP(A460,Tickets[TripKey],Tickets[RouteLen]),0))</f>
        <v/>
      </c>
      <c r="J460">
        <f>IF(A460="","",IFERROR(XLOOKUP(A460,Tickets[TripKey],Tickets[Capacity]),0))</f>
        <v/>
      </c>
      <c r="K460">
        <f>IF(A460="","",I460*J460)</f>
        <v/>
      </c>
      <c r="L460">
        <f>IF(A460="","",IFERROR(MINIFS(Tickets[Trip Start Time],Tickets[TripKey],A460),""))</f>
        <v/>
      </c>
    </row>
    <row r="461">
      <c r="B461" s="8">
        <f>IF(A461="","",IFERROR(DATEVALUE(TEXTBEFORE(A461,"|")),--LEFT(A461,10)))</f>
        <v/>
      </c>
      <c r="C461">
        <f>IF(A461="","",TEXTBEFORE(TEXTAFTER(A461,"|"),"|"))</f>
        <v/>
      </c>
      <c r="D461">
        <f>IF(A461="","",TEXTAFTER(A461,"|",2))</f>
        <v/>
      </c>
      <c r="E461">
        <f>IF(A461="","",SUMIF(Tickets[TripKey],A461,Tickets[TP]))</f>
        <v/>
      </c>
      <c r="F461">
        <f>IF(A461="","",SUMIF(Tickets[TripKey],A461,Tickets[Revenue]))</f>
        <v/>
      </c>
      <c r="G461">
        <f>IF(A461="","",SUMIF(Tickets[TripKey],A461,Tickets[PK]))</f>
        <v/>
      </c>
      <c r="H461">
        <f>IF(A461="","",IFERROR(XLOOKUP(A461,Tickets[TripKey],Tickets[VehClean]),""))</f>
        <v/>
      </c>
      <c r="I461">
        <f>IF(A461="","",IFERROR(XLOOKUP(A461,Tickets[TripKey],Tickets[RouteLen]),0))</f>
        <v/>
      </c>
      <c r="J461">
        <f>IF(A461="","",IFERROR(XLOOKUP(A461,Tickets[TripKey],Tickets[Capacity]),0))</f>
        <v/>
      </c>
      <c r="K461">
        <f>IF(A461="","",I461*J461)</f>
        <v/>
      </c>
      <c r="L461">
        <f>IF(A461="","",IFERROR(MINIFS(Tickets[Trip Start Time],Tickets[TripKey],A461),""))</f>
        <v/>
      </c>
    </row>
    <row r="462">
      <c r="B462" s="8">
        <f>IF(A462="","",IFERROR(DATEVALUE(TEXTBEFORE(A462,"|")),--LEFT(A462,10)))</f>
        <v/>
      </c>
      <c r="C462">
        <f>IF(A462="","",TEXTBEFORE(TEXTAFTER(A462,"|"),"|"))</f>
        <v/>
      </c>
      <c r="D462">
        <f>IF(A462="","",TEXTAFTER(A462,"|",2))</f>
        <v/>
      </c>
      <c r="E462">
        <f>IF(A462="","",SUMIF(Tickets[TripKey],A462,Tickets[TP]))</f>
        <v/>
      </c>
      <c r="F462">
        <f>IF(A462="","",SUMIF(Tickets[TripKey],A462,Tickets[Revenue]))</f>
        <v/>
      </c>
      <c r="G462">
        <f>IF(A462="","",SUMIF(Tickets[TripKey],A462,Tickets[PK]))</f>
        <v/>
      </c>
      <c r="H462">
        <f>IF(A462="","",IFERROR(XLOOKUP(A462,Tickets[TripKey],Tickets[VehClean]),""))</f>
        <v/>
      </c>
      <c r="I462">
        <f>IF(A462="","",IFERROR(XLOOKUP(A462,Tickets[TripKey],Tickets[RouteLen]),0))</f>
        <v/>
      </c>
      <c r="J462">
        <f>IF(A462="","",IFERROR(XLOOKUP(A462,Tickets[TripKey],Tickets[Capacity]),0))</f>
        <v/>
      </c>
      <c r="K462">
        <f>IF(A462="","",I462*J462)</f>
        <v/>
      </c>
      <c r="L462">
        <f>IF(A462="","",IFERROR(MINIFS(Tickets[Trip Start Time],Tickets[TripKey],A462),""))</f>
        <v/>
      </c>
    </row>
    <row r="463">
      <c r="B463" s="8">
        <f>IF(A463="","",IFERROR(DATEVALUE(TEXTBEFORE(A463,"|")),--LEFT(A463,10)))</f>
        <v/>
      </c>
      <c r="C463">
        <f>IF(A463="","",TEXTBEFORE(TEXTAFTER(A463,"|"),"|"))</f>
        <v/>
      </c>
      <c r="D463">
        <f>IF(A463="","",TEXTAFTER(A463,"|",2))</f>
        <v/>
      </c>
      <c r="E463">
        <f>IF(A463="","",SUMIF(Tickets[TripKey],A463,Tickets[TP]))</f>
        <v/>
      </c>
      <c r="F463">
        <f>IF(A463="","",SUMIF(Tickets[TripKey],A463,Tickets[Revenue]))</f>
        <v/>
      </c>
      <c r="G463">
        <f>IF(A463="","",SUMIF(Tickets[TripKey],A463,Tickets[PK]))</f>
        <v/>
      </c>
      <c r="H463">
        <f>IF(A463="","",IFERROR(XLOOKUP(A463,Tickets[TripKey],Tickets[VehClean]),""))</f>
        <v/>
      </c>
      <c r="I463">
        <f>IF(A463="","",IFERROR(XLOOKUP(A463,Tickets[TripKey],Tickets[RouteLen]),0))</f>
        <v/>
      </c>
      <c r="J463">
        <f>IF(A463="","",IFERROR(XLOOKUP(A463,Tickets[TripKey],Tickets[Capacity]),0))</f>
        <v/>
      </c>
      <c r="K463">
        <f>IF(A463="","",I463*J463)</f>
        <v/>
      </c>
      <c r="L463">
        <f>IF(A463="","",IFERROR(MINIFS(Tickets[Trip Start Time],Tickets[TripKey],A463),""))</f>
        <v/>
      </c>
    </row>
    <row r="464">
      <c r="B464" s="8">
        <f>IF(A464="","",IFERROR(DATEVALUE(TEXTBEFORE(A464,"|")),--LEFT(A464,10)))</f>
        <v/>
      </c>
      <c r="C464">
        <f>IF(A464="","",TEXTBEFORE(TEXTAFTER(A464,"|"),"|"))</f>
        <v/>
      </c>
      <c r="D464">
        <f>IF(A464="","",TEXTAFTER(A464,"|",2))</f>
        <v/>
      </c>
      <c r="E464">
        <f>IF(A464="","",SUMIF(Tickets[TripKey],A464,Tickets[TP]))</f>
        <v/>
      </c>
      <c r="F464">
        <f>IF(A464="","",SUMIF(Tickets[TripKey],A464,Tickets[Revenue]))</f>
        <v/>
      </c>
      <c r="G464">
        <f>IF(A464="","",SUMIF(Tickets[TripKey],A464,Tickets[PK]))</f>
        <v/>
      </c>
      <c r="H464">
        <f>IF(A464="","",IFERROR(XLOOKUP(A464,Tickets[TripKey],Tickets[VehClean]),""))</f>
        <v/>
      </c>
      <c r="I464">
        <f>IF(A464="","",IFERROR(XLOOKUP(A464,Tickets[TripKey],Tickets[RouteLen]),0))</f>
        <v/>
      </c>
      <c r="J464">
        <f>IF(A464="","",IFERROR(XLOOKUP(A464,Tickets[TripKey],Tickets[Capacity]),0))</f>
        <v/>
      </c>
      <c r="K464">
        <f>IF(A464="","",I464*J464)</f>
        <v/>
      </c>
      <c r="L464">
        <f>IF(A464="","",IFERROR(MINIFS(Tickets[Trip Start Time],Tickets[TripKey],A464),""))</f>
        <v/>
      </c>
    </row>
    <row r="465">
      <c r="B465" s="8">
        <f>IF(A465="","",IFERROR(DATEVALUE(TEXTBEFORE(A465,"|")),--LEFT(A465,10)))</f>
        <v/>
      </c>
      <c r="C465">
        <f>IF(A465="","",TEXTBEFORE(TEXTAFTER(A465,"|"),"|"))</f>
        <v/>
      </c>
      <c r="D465">
        <f>IF(A465="","",TEXTAFTER(A465,"|",2))</f>
        <v/>
      </c>
      <c r="E465">
        <f>IF(A465="","",SUMIF(Tickets[TripKey],A465,Tickets[TP]))</f>
        <v/>
      </c>
      <c r="F465">
        <f>IF(A465="","",SUMIF(Tickets[TripKey],A465,Tickets[Revenue]))</f>
        <v/>
      </c>
      <c r="G465">
        <f>IF(A465="","",SUMIF(Tickets[TripKey],A465,Tickets[PK]))</f>
        <v/>
      </c>
      <c r="H465">
        <f>IF(A465="","",IFERROR(XLOOKUP(A465,Tickets[TripKey],Tickets[VehClean]),""))</f>
        <v/>
      </c>
      <c r="I465">
        <f>IF(A465="","",IFERROR(XLOOKUP(A465,Tickets[TripKey],Tickets[RouteLen]),0))</f>
        <v/>
      </c>
      <c r="J465">
        <f>IF(A465="","",IFERROR(XLOOKUP(A465,Tickets[TripKey],Tickets[Capacity]),0))</f>
        <v/>
      </c>
      <c r="K465">
        <f>IF(A465="","",I465*J465)</f>
        <v/>
      </c>
      <c r="L465">
        <f>IF(A465="","",IFERROR(MINIFS(Tickets[Trip Start Time],Tickets[TripKey],A465),""))</f>
        <v/>
      </c>
    </row>
    <row r="466">
      <c r="B466" s="8">
        <f>IF(A466="","",IFERROR(DATEVALUE(TEXTBEFORE(A466,"|")),--LEFT(A466,10)))</f>
        <v/>
      </c>
      <c r="C466">
        <f>IF(A466="","",TEXTBEFORE(TEXTAFTER(A466,"|"),"|"))</f>
        <v/>
      </c>
      <c r="D466">
        <f>IF(A466="","",TEXTAFTER(A466,"|",2))</f>
        <v/>
      </c>
      <c r="E466">
        <f>IF(A466="","",SUMIF(Tickets[TripKey],A466,Tickets[TP]))</f>
        <v/>
      </c>
      <c r="F466">
        <f>IF(A466="","",SUMIF(Tickets[TripKey],A466,Tickets[Revenue]))</f>
        <v/>
      </c>
      <c r="G466">
        <f>IF(A466="","",SUMIF(Tickets[TripKey],A466,Tickets[PK]))</f>
        <v/>
      </c>
      <c r="H466">
        <f>IF(A466="","",IFERROR(XLOOKUP(A466,Tickets[TripKey],Tickets[VehClean]),""))</f>
        <v/>
      </c>
      <c r="I466">
        <f>IF(A466="","",IFERROR(XLOOKUP(A466,Tickets[TripKey],Tickets[RouteLen]),0))</f>
        <v/>
      </c>
      <c r="J466">
        <f>IF(A466="","",IFERROR(XLOOKUP(A466,Tickets[TripKey],Tickets[Capacity]),0))</f>
        <v/>
      </c>
      <c r="K466">
        <f>IF(A466="","",I466*J466)</f>
        <v/>
      </c>
      <c r="L466">
        <f>IF(A466="","",IFERROR(MINIFS(Tickets[Trip Start Time],Tickets[TripKey],A466),""))</f>
        <v/>
      </c>
    </row>
    <row r="467">
      <c r="B467" s="8">
        <f>IF(A467="","",IFERROR(DATEVALUE(TEXTBEFORE(A467,"|")),--LEFT(A467,10)))</f>
        <v/>
      </c>
      <c r="C467">
        <f>IF(A467="","",TEXTBEFORE(TEXTAFTER(A467,"|"),"|"))</f>
        <v/>
      </c>
      <c r="D467">
        <f>IF(A467="","",TEXTAFTER(A467,"|",2))</f>
        <v/>
      </c>
      <c r="E467">
        <f>IF(A467="","",SUMIF(Tickets[TripKey],A467,Tickets[TP]))</f>
        <v/>
      </c>
      <c r="F467">
        <f>IF(A467="","",SUMIF(Tickets[TripKey],A467,Tickets[Revenue]))</f>
        <v/>
      </c>
      <c r="G467">
        <f>IF(A467="","",SUMIF(Tickets[TripKey],A467,Tickets[PK]))</f>
        <v/>
      </c>
      <c r="H467">
        <f>IF(A467="","",IFERROR(XLOOKUP(A467,Tickets[TripKey],Tickets[VehClean]),""))</f>
        <v/>
      </c>
      <c r="I467">
        <f>IF(A467="","",IFERROR(XLOOKUP(A467,Tickets[TripKey],Tickets[RouteLen]),0))</f>
        <v/>
      </c>
      <c r="J467">
        <f>IF(A467="","",IFERROR(XLOOKUP(A467,Tickets[TripKey],Tickets[Capacity]),0))</f>
        <v/>
      </c>
      <c r="K467">
        <f>IF(A467="","",I467*J467)</f>
        <v/>
      </c>
      <c r="L467">
        <f>IF(A467="","",IFERROR(MINIFS(Tickets[Trip Start Time],Tickets[TripKey],A467),""))</f>
        <v/>
      </c>
    </row>
    <row r="468">
      <c r="B468" s="8">
        <f>IF(A468="","",IFERROR(DATEVALUE(TEXTBEFORE(A468,"|")),--LEFT(A468,10)))</f>
        <v/>
      </c>
      <c r="C468">
        <f>IF(A468="","",TEXTBEFORE(TEXTAFTER(A468,"|"),"|"))</f>
        <v/>
      </c>
      <c r="D468">
        <f>IF(A468="","",TEXTAFTER(A468,"|",2))</f>
        <v/>
      </c>
      <c r="E468">
        <f>IF(A468="","",SUMIF(Tickets[TripKey],A468,Tickets[TP]))</f>
        <v/>
      </c>
      <c r="F468">
        <f>IF(A468="","",SUMIF(Tickets[TripKey],A468,Tickets[Revenue]))</f>
        <v/>
      </c>
      <c r="G468">
        <f>IF(A468="","",SUMIF(Tickets[TripKey],A468,Tickets[PK]))</f>
        <v/>
      </c>
      <c r="H468">
        <f>IF(A468="","",IFERROR(XLOOKUP(A468,Tickets[TripKey],Tickets[VehClean]),""))</f>
        <v/>
      </c>
      <c r="I468">
        <f>IF(A468="","",IFERROR(XLOOKUP(A468,Tickets[TripKey],Tickets[RouteLen]),0))</f>
        <v/>
      </c>
      <c r="J468">
        <f>IF(A468="","",IFERROR(XLOOKUP(A468,Tickets[TripKey],Tickets[Capacity]),0))</f>
        <v/>
      </c>
      <c r="K468">
        <f>IF(A468="","",I468*J468)</f>
        <v/>
      </c>
      <c r="L468">
        <f>IF(A468="","",IFERROR(MINIFS(Tickets[Trip Start Time],Tickets[TripKey],A468),""))</f>
        <v/>
      </c>
    </row>
    <row r="469">
      <c r="B469" s="8">
        <f>IF(A469="","",IFERROR(DATEVALUE(TEXTBEFORE(A469,"|")),--LEFT(A469,10)))</f>
        <v/>
      </c>
      <c r="C469">
        <f>IF(A469="","",TEXTBEFORE(TEXTAFTER(A469,"|"),"|"))</f>
        <v/>
      </c>
      <c r="D469">
        <f>IF(A469="","",TEXTAFTER(A469,"|",2))</f>
        <v/>
      </c>
      <c r="E469">
        <f>IF(A469="","",SUMIF(Tickets[TripKey],A469,Tickets[TP]))</f>
        <v/>
      </c>
      <c r="F469">
        <f>IF(A469="","",SUMIF(Tickets[TripKey],A469,Tickets[Revenue]))</f>
        <v/>
      </c>
      <c r="G469">
        <f>IF(A469="","",SUMIF(Tickets[TripKey],A469,Tickets[PK]))</f>
        <v/>
      </c>
      <c r="H469">
        <f>IF(A469="","",IFERROR(XLOOKUP(A469,Tickets[TripKey],Tickets[VehClean]),""))</f>
        <v/>
      </c>
      <c r="I469">
        <f>IF(A469="","",IFERROR(XLOOKUP(A469,Tickets[TripKey],Tickets[RouteLen]),0))</f>
        <v/>
      </c>
      <c r="J469">
        <f>IF(A469="","",IFERROR(XLOOKUP(A469,Tickets[TripKey],Tickets[Capacity]),0))</f>
        <v/>
      </c>
      <c r="K469">
        <f>IF(A469="","",I469*J469)</f>
        <v/>
      </c>
      <c r="L469">
        <f>IF(A469="","",IFERROR(MINIFS(Tickets[Trip Start Time],Tickets[TripKey],A469),""))</f>
        <v/>
      </c>
    </row>
    <row r="470">
      <c r="B470" s="8">
        <f>IF(A470="","",IFERROR(DATEVALUE(TEXTBEFORE(A470,"|")),--LEFT(A470,10)))</f>
        <v/>
      </c>
      <c r="C470">
        <f>IF(A470="","",TEXTBEFORE(TEXTAFTER(A470,"|"),"|"))</f>
        <v/>
      </c>
      <c r="D470">
        <f>IF(A470="","",TEXTAFTER(A470,"|",2))</f>
        <v/>
      </c>
      <c r="E470">
        <f>IF(A470="","",SUMIF(Tickets[TripKey],A470,Tickets[TP]))</f>
        <v/>
      </c>
      <c r="F470">
        <f>IF(A470="","",SUMIF(Tickets[TripKey],A470,Tickets[Revenue]))</f>
        <v/>
      </c>
      <c r="G470">
        <f>IF(A470="","",SUMIF(Tickets[TripKey],A470,Tickets[PK]))</f>
        <v/>
      </c>
      <c r="H470">
        <f>IF(A470="","",IFERROR(XLOOKUP(A470,Tickets[TripKey],Tickets[VehClean]),""))</f>
        <v/>
      </c>
      <c r="I470">
        <f>IF(A470="","",IFERROR(XLOOKUP(A470,Tickets[TripKey],Tickets[RouteLen]),0))</f>
        <v/>
      </c>
      <c r="J470">
        <f>IF(A470="","",IFERROR(XLOOKUP(A470,Tickets[TripKey],Tickets[Capacity]),0))</f>
        <v/>
      </c>
      <c r="K470">
        <f>IF(A470="","",I470*J470)</f>
        <v/>
      </c>
      <c r="L470">
        <f>IF(A470="","",IFERROR(MINIFS(Tickets[Trip Start Time],Tickets[TripKey],A470),""))</f>
        <v/>
      </c>
    </row>
    <row r="471">
      <c r="B471" s="8">
        <f>IF(A471="","",IFERROR(DATEVALUE(TEXTBEFORE(A471,"|")),--LEFT(A471,10)))</f>
        <v/>
      </c>
      <c r="C471">
        <f>IF(A471="","",TEXTBEFORE(TEXTAFTER(A471,"|"),"|"))</f>
        <v/>
      </c>
      <c r="D471">
        <f>IF(A471="","",TEXTAFTER(A471,"|",2))</f>
        <v/>
      </c>
      <c r="E471">
        <f>IF(A471="","",SUMIF(Tickets[TripKey],A471,Tickets[TP]))</f>
        <v/>
      </c>
      <c r="F471">
        <f>IF(A471="","",SUMIF(Tickets[TripKey],A471,Tickets[Revenue]))</f>
        <v/>
      </c>
      <c r="G471">
        <f>IF(A471="","",SUMIF(Tickets[TripKey],A471,Tickets[PK]))</f>
        <v/>
      </c>
      <c r="H471">
        <f>IF(A471="","",IFERROR(XLOOKUP(A471,Tickets[TripKey],Tickets[VehClean]),""))</f>
        <v/>
      </c>
      <c r="I471">
        <f>IF(A471="","",IFERROR(XLOOKUP(A471,Tickets[TripKey],Tickets[RouteLen]),0))</f>
        <v/>
      </c>
      <c r="J471">
        <f>IF(A471="","",IFERROR(XLOOKUP(A471,Tickets[TripKey],Tickets[Capacity]),0))</f>
        <v/>
      </c>
      <c r="K471">
        <f>IF(A471="","",I471*J471)</f>
        <v/>
      </c>
      <c r="L471">
        <f>IF(A471="","",IFERROR(MINIFS(Tickets[Trip Start Time],Tickets[TripKey],A471),""))</f>
        <v/>
      </c>
    </row>
    <row r="472">
      <c r="B472" s="8">
        <f>IF(A472="","",IFERROR(DATEVALUE(TEXTBEFORE(A472,"|")),--LEFT(A472,10)))</f>
        <v/>
      </c>
      <c r="C472">
        <f>IF(A472="","",TEXTBEFORE(TEXTAFTER(A472,"|"),"|"))</f>
        <v/>
      </c>
      <c r="D472">
        <f>IF(A472="","",TEXTAFTER(A472,"|",2))</f>
        <v/>
      </c>
      <c r="E472">
        <f>IF(A472="","",SUMIF(Tickets[TripKey],A472,Tickets[TP]))</f>
        <v/>
      </c>
      <c r="F472">
        <f>IF(A472="","",SUMIF(Tickets[TripKey],A472,Tickets[Revenue]))</f>
        <v/>
      </c>
      <c r="G472">
        <f>IF(A472="","",SUMIF(Tickets[TripKey],A472,Tickets[PK]))</f>
        <v/>
      </c>
      <c r="H472">
        <f>IF(A472="","",IFERROR(XLOOKUP(A472,Tickets[TripKey],Tickets[VehClean]),""))</f>
        <v/>
      </c>
      <c r="I472">
        <f>IF(A472="","",IFERROR(XLOOKUP(A472,Tickets[TripKey],Tickets[RouteLen]),0))</f>
        <v/>
      </c>
      <c r="J472">
        <f>IF(A472="","",IFERROR(XLOOKUP(A472,Tickets[TripKey],Tickets[Capacity]),0))</f>
        <v/>
      </c>
      <c r="K472">
        <f>IF(A472="","",I472*J472)</f>
        <v/>
      </c>
      <c r="L472">
        <f>IF(A472="","",IFERROR(MINIFS(Tickets[Trip Start Time],Tickets[TripKey],A472),""))</f>
        <v/>
      </c>
    </row>
    <row r="473">
      <c r="B473" s="8">
        <f>IF(A473="","",IFERROR(DATEVALUE(TEXTBEFORE(A473,"|")),--LEFT(A473,10)))</f>
        <v/>
      </c>
      <c r="C473">
        <f>IF(A473="","",TEXTBEFORE(TEXTAFTER(A473,"|"),"|"))</f>
        <v/>
      </c>
      <c r="D473">
        <f>IF(A473="","",TEXTAFTER(A473,"|",2))</f>
        <v/>
      </c>
      <c r="E473">
        <f>IF(A473="","",SUMIF(Tickets[TripKey],A473,Tickets[TP]))</f>
        <v/>
      </c>
      <c r="F473">
        <f>IF(A473="","",SUMIF(Tickets[TripKey],A473,Tickets[Revenue]))</f>
        <v/>
      </c>
      <c r="G473">
        <f>IF(A473="","",SUMIF(Tickets[TripKey],A473,Tickets[PK]))</f>
        <v/>
      </c>
      <c r="H473">
        <f>IF(A473="","",IFERROR(XLOOKUP(A473,Tickets[TripKey],Tickets[VehClean]),""))</f>
        <v/>
      </c>
      <c r="I473">
        <f>IF(A473="","",IFERROR(XLOOKUP(A473,Tickets[TripKey],Tickets[RouteLen]),0))</f>
        <v/>
      </c>
      <c r="J473">
        <f>IF(A473="","",IFERROR(XLOOKUP(A473,Tickets[TripKey],Tickets[Capacity]),0))</f>
        <v/>
      </c>
      <c r="K473">
        <f>IF(A473="","",I473*J473)</f>
        <v/>
      </c>
      <c r="L473">
        <f>IF(A473="","",IFERROR(MINIFS(Tickets[Trip Start Time],Tickets[TripKey],A473),""))</f>
        <v/>
      </c>
    </row>
    <row r="474">
      <c r="B474" s="8">
        <f>IF(A474="","",IFERROR(DATEVALUE(TEXTBEFORE(A474,"|")),--LEFT(A474,10)))</f>
        <v/>
      </c>
      <c r="C474">
        <f>IF(A474="","",TEXTBEFORE(TEXTAFTER(A474,"|"),"|"))</f>
        <v/>
      </c>
      <c r="D474">
        <f>IF(A474="","",TEXTAFTER(A474,"|",2))</f>
        <v/>
      </c>
      <c r="E474">
        <f>IF(A474="","",SUMIF(Tickets[TripKey],A474,Tickets[TP]))</f>
        <v/>
      </c>
      <c r="F474">
        <f>IF(A474="","",SUMIF(Tickets[TripKey],A474,Tickets[Revenue]))</f>
        <v/>
      </c>
      <c r="G474">
        <f>IF(A474="","",SUMIF(Tickets[TripKey],A474,Tickets[PK]))</f>
        <v/>
      </c>
      <c r="H474">
        <f>IF(A474="","",IFERROR(XLOOKUP(A474,Tickets[TripKey],Tickets[VehClean]),""))</f>
        <v/>
      </c>
      <c r="I474">
        <f>IF(A474="","",IFERROR(XLOOKUP(A474,Tickets[TripKey],Tickets[RouteLen]),0))</f>
        <v/>
      </c>
      <c r="J474">
        <f>IF(A474="","",IFERROR(XLOOKUP(A474,Tickets[TripKey],Tickets[Capacity]),0))</f>
        <v/>
      </c>
      <c r="K474">
        <f>IF(A474="","",I474*J474)</f>
        <v/>
      </c>
      <c r="L474">
        <f>IF(A474="","",IFERROR(MINIFS(Tickets[Trip Start Time],Tickets[TripKey],A474),""))</f>
        <v/>
      </c>
    </row>
    <row r="475">
      <c r="B475" s="8">
        <f>IF(A475="","",IFERROR(DATEVALUE(TEXTBEFORE(A475,"|")),--LEFT(A475,10)))</f>
        <v/>
      </c>
      <c r="C475">
        <f>IF(A475="","",TEXTBEFORE(TEXTAFTER(A475,"|"),"|"))</f>
        <v/>
      </c>
      <c r="D475">
        <f>IF(A475="","",TEXTAFTER(A475,"|",2))</f>
        <v/>
      </c>
      <c r="E475">
        <f>IF(A475="","",SUMIF(Tickets[TripKey],A475,Tickets[TP]))</f>
        <v/>
      </c>
      <c r="F475">
        <f>IF(A475="","",SUMIF(Tickets[TripKey],A475,Tickets[Revenue]))</f>
        <v/>
      </c>
      <c r="G475">
        <f>IF(A475="","",SUMIF(Tickets[TripKey],A475,Tickets[PK]))</f>
        <v/>
      </c>
      <c r="H475">
        <f>IF(A475="","",IFERROR(XLOOKUP(A475,Tickets[TripKey],Tickets[VehClean]),""))</f>
        <v/>
      </c>
      <c r="I475">
        <f>IF(A475="","",IFERROR(XLOOKUP(A475,Tickets[TripKey],Tickets[RouteLen]),0))</f>
        <v/>
      </c>
      <c r="J475">
        <f>IF(A475="","",IFERROR(XLOOKUP(A475,Tickets[TripKey],Tickets[Capacity]),0))</f>
        <v/>
      </c>
      <c r="K475">
        <f>IF(A475="","",I475*J475)</f>
        <v/>
      </c>
      <c r="L475">
        <f>IF(A475="","",IFERROR(MINIFS(Tickets[Trip Start Time],Tickets[TripKey],A475),""))</f>
        <v/>
      </c>
    </row>
    <row r="476">
      <c r="B476" s="8">
        <f>IF(A476="","",IFERROR(DATEVALUE(TEXTBEFORE(A476,"|")),--LEFT(A476,10)))</f>
        <v/>
      </c>
      <c r="C476">
        <f>IF(A476="","",TEXTBEFORE(TEXTAFTER(A476,"|"),"|"))</f>
        <v/>
      </c>
      <c r="D476">
        <f>IF(A476="","",TEXTAFTER(A476,"|",2))</f>
        <v/>
      </c>
      <c r="E476">
        <f>IF(A476="","",SUMIF(Tickets[TripKey],A476,Tickets[TP]))</f>
        <v/>
      </c>
      <c r="F476">
        <f>IF(A476="","",SUMIF(Tickets[TripKey],A476,Tickets[Revenue]))</f>
        <v/>
      </c>
      <c r="G476">
        <f>IF(A476="","",SUMIF(Tickets[TripKey],A476,Tickets[PK]))</f>
        <v/>
      </c>
      <c r="H476">
        <f>IF(A476="","",IFERROR(XLOOKUP(A476,Tickets[TripKey],Tickets[VehClean]),""))</f>
        <v/>
      </c>
      <c r="I476">
        <f>IF(A476="","",IFERROR(XLOOKUP(A476,Tickets[TripKey],Tickets[RouteLen]),0))</f>
        <v/>
      </c>
      <c r="J476">
        <f>IF(A476="","",IFERROR(XLOOKUP(A476,Tickets[TripKey],Tickets[Capacity]),0))</f>
        <v/>
      </c>
      <c r="K476">
        <f>IF(A476="","",I476*J476)</f>
        <v/>
      </c>
      <c r="L476">
        <f>IF(A476="","",IFERROR(MINIFS(Tickets[Trip Start Time],Tickets[TripKey],A476),""))</f>
        <v/>
      </c>
    </row>
    <row r="477">
      <c r="B477" s="8">
        <f>IF(A477="","",IFERROR(DATEVALUE(TEXTBEFORE(A477,"|")),--LEFT(A477,10)))</f>
        <v/>
      </c>
      <c r="C477">
        <f>IF(A477="","",TEXTBEFORE(TEXTAFTER(A477,"|"),"|"))</f>
        <v/>
      </c>
      <c r="D477">
        <f>IF(A477="","",TEXTAFTER(A477,"|",2))</f>
        <v/>
      </c>
      <c r="E477">
        <f>IF(A477="","",SUMIF(Tickets[TripKey],A477,Tickets[TP]))</f>
        <v/>
      </c>
      <c r="F477">
        <f>IF(A477="","",SUMIF(Tickets[TripKey],A477,Tickets[Revenue]))</f>
        <v/>
      </c>
      <c r="G477">
        <f>IF(A477="","",SUMIF(Tickets[TripKey],A477,Tickets[PK]))</f>
        <v/>
      </c>
      <c r="H477">
        <f>IF(A477="","",IFERROR(XLOOKUP(A477,Tickets[TripKey],Tickets[VehClean]),""))</f>
        <v/>
      </c>
      <c r="I477">
        <f>IF(A477="","",IFERROR(XLOOKUP(A477,Tickets[TripKey],Tickets[RouteLen]),0))</f>
        <v/>
      </c>
      <c r="J477">
        <f>IF(A477="","",IFERROR(XLOOKUP(A477,Tickets[TripKey],Tickets[Capacity]),0))</f>
        <v/>
      </c>
      <c r="K477">
        <f>IF(A477="","",I477*J477)</f>
        <v/>
      </c>
      <c r="L477">
        <f>IF(A477="","",IFERROR(MINIFS(Tickets[Trip Start Time],Tickets[TripKey],A477),""))</f>
        <v/>
      </c>
    </row>
    <row r="478">
      <c r="B478" s="8">
        <f>IF(A478="","",IFERROR(DATEVALUE(TEXTBEFORE(A478,"|")),--LEFT(A478,10)))</f>
        <v/>
      </c>
      <c r="C478">
        <f>IF(A478="","",TEXTBEFORE(TEXTAFTER(A478,"|"),"|"))</f>
        <v/>
      </c>
      <c r="D478">
        <f>IF(A478="","",TEXTAFTER(A478,"|",2))</f>
        <v/>
      </c>
      <c r="E478">
        <f>IF(A478="","",SUMIF(Tickets[TripKey],A478,Tickets[TP]))</f>
        <v/>
      </c>
      <c r="F478">
        <f>IF(A478="","",SUMIF(Tickets[TripKey],A478,Tickets[Revenue]))</f>
        <v/>
      </c>
      <c r="G478">
        <f>IF(A478="","",SUMIF(Tickets[TripKey],A478,Tickets[PK]))</f>
        <v/>
      </c>
      <c r="H478">
        <f>IF(A478="","",IFERROR(XLOOKUP(A478,Tickets[TripKey],Tickets[VehClean]),""))</f>
        <v/>
      </c>
      <c r="I478">
        <f>IF(A478="","",IFERROR(XLOOKUP(A478,Tickets[TripKey],Tickets[RouteLen]),0))</f>
        <v/>
      </c>
      <c r="J478">
        <f>IF(A478="","",IFERROR(XLOOKUP(A478,Tickets[TripKey],Tickets[Capacity]),0))</f>
        <v/>
      </c>
      <c r="K478">
        <f>IF(A478="","",I478*J478)</f>
        <v/>
      </c>
      <c r="L478">
        <f>IF(A478="","",IFERROR(MINIFS(Tickets[Trip Start Time],Tickets[TripKey],A478),""))</f>
        <v/>
      </c>
    </row>
    <row r="479">
      <c r="B479" s="8">
        <f>IF(A479="","",IFERROR(DATEVALUE(TEXTBEFORE(A479,"|")),--LEFT(A479,10)))</f>
        <v/>
      </c>
      <c r="C479">
        <f>IF(A479="","",TEXTBEFORE(TEXTAFTER(A479,"|"),"|"))</f>
        <v/>
      </c>
      <c r="D479">
        <f>IF(A479="","",TEXTAFTER(A479,"|",2))</f>
        <v/>
      </c>
      <c r="E479">
        <f>IF(A479="","",SUMIF(Tickets[TripKey],A479,Tickets[TP]))</f>
        <v/>
      </c>
      <c r="F479">
        <f>IF(A479="","",SUMIF(Tickets[TripKey],A479,Tickets[Revenue]))</f>
        <v/>
      </c>
      <c r="G479">
        <f>IF(A479="","",SUMIF(Tickets[TripKey],A479,Tickets[PK]))</f>
        <v/>
      </c>
      <c r="H479">
        <f>IF(A479="","",IFERROR(XLOOKUP(A479,Tickets[TripKey],Tickets[VehClean]),""))</f>
        <v/>
      </c>
      <c r="I479">
        <f>IF(A479="","",IFERROR(XLOOKUP(A479,Tickets[TripKey],Tickets[RouteLen]),0))</f>
        <v/>
      </c>
      <c r="J479">
        <f>IF(A479="","",IFERROR(XLOOKUP(A479,Tickets[TripKey],Tickets[Capacity]),0))</f>
        <v/>
      </c>
      <c r="K479">
        <f>IF(A479="","",I479*J479)</f>
        <v/>
      </c>
      <c r="L479">
        <f>IF(A479="","",IFERROR(MINIFS(Tickets[Trip Start Time],Tickets[TripKey],A479),""))</f>
        <v/>
      </c>
    </row>
    <row r="480">
      <c r="B480" s="8">
        <f>IF(A480="","",IFERROR(DATEVALUE(TEXTBEFORE(A480,"|")),--LEFT(A480,10)))</f>
        <v/>
      </c>
      <c r="C480">
        <f>IF(A480="","",TEXTBEFORE(TEXTAFTER(A480,"|"),"|"))</f>
        <v/>
      </c>
      <c r="D480">
        <f>IF(A480="","",TEXTAFTER(A480,"|",2))</f>
        <v/>
      </c>
      <c r="E480">
        <f>IF(A480="","",SUMIF(Tickets[TripKey],A480,Tickets[TP]))</f>
        <v/>
      </c>
      <c r="F480">
        <f>IF(A480="","",SUMIF(Tickets[TripKey],A480,Tickets[Revenue]))</f>
        <v/>
      </c>
      <c r="G480">
        <f>IF(A480="","",SUMIF(Tickets[TripKey],A480,Tickets[PK]))</f>
        <v/>
      </c>
      <c r="H480">
        <f>IF(A480="","",IFERROR(XLOOKUP(A480,Tickets[TripKey],Tickets[VehClean]),""))</f>
        <v/>
      </c>
      <c r="I480">
        <f>IF(A480="","",IFERROR(XLOOKUP(A480,Tickets[TripKey],Tickets[RouteLen]),0))</f>
        <v/>
      </c>
      <c r="J480">
        <f>IF(A480="","",IFERROR(XLOOKUP(A480,Tickets[TripKey],Tickets[Capacity]),0))</f>
        <v/>
      </c>
      <c r="K480">
        <f>IF(A480="","",I480*J480)</f>
        <v/>
      </c>
      <c r="L480">
        <f>IF(A480="","",IFERROR(MINIFS(Tickets[Trip Start Time],Tickets[TripKey],A480),""))</f>
        <v/>
      </c>
    </row>
    <row r="481">
      <c r="B481" s="8">
        <f>IF(A481="","",IFERROR(DATEVALUE(TEXTBEFORE(A481,"|")),--LEFT(A481,10)))</f>
        <v/>
      </c>
      <c r="C481">
        <f>IF(A481="","",TEXTBEFORE(TEXTAFTER(A481,"|"),"|"))</f>
        <v/>
      </c>
      <c r="D481">
        <f>IF(A481="","",TEXTAFTER(A481,"|",2))</f>
        <v/>
      </c>
      <c r="E481">
        <f>IF(A481="","",SUMIF(Tickets[TripKey],A481,Tickets[TP]))</f>
        <v/>
      </c>
      <c r="F481">
        <f>IF(A481="","",SUMIF(Tickets[TripKey],A481,Tickets[Revenue]))</f>
        <v/>
      </c>
      <c r="G481">
        <f>IF(A481="","",SUMIF(Tickets[TripKey],A481,Tickets[PK]))</f>
        <v/>
      </c>
      <c r="H481">
        <f>IF(A481="","",IFERROR(XLOOKUP(A481,Tickets[TripKey],Tickets[VehClean]),""))</f>
        <v/>
      </c>
      <c r="I481">
        <f>IF(A481="","",IFERROR(XLOOKUP(A481,Tickets[TripKey],Tickets[RouteLen]),0))</f>
        <v/>
      </c>
      <c r="J481">
        <f>IF(A481="","",IFERROR(XLOOKUP(A481,Tickets[TripKey],Tickets[Capacity]),0))</f>
        <v/>
      </c>
      <c r="K481">
        <f>IF(A481="","",I481*J481)</f>
        <v/>
      </c>
      <c r="L481">
        <f>IF(A481="","",IFERROR(MINIFS(Tickets[Trip Start Time],Tickets[TripKey],A481),""))</f>
        <v/>
      </c>
    </row>
    <row r="482">
      <c r="B482" s="8">
        <f>IF(A482="","",IFERROR(DATEVALUE(TEXTBEFORE(A482,"|")),--LEFT(A482,10)))</f>
        <v/>
      </c>
      <c r="C482">
        <f>IF(A482="","",TEXTBEFORE(TEXTAFTER(A482,"|"),"|"))</f>
        <v/>
      </c>
      <c r="D482">
        <f>IF(A482="","",TEXTAFTER(A482,"|",2))</f>
        <v/>
      </c>
      <c r="E482">
        <f>IF(A482="","",SUMIF(Tickets[TripKey],A482,Tickets[TP]))</f>
        <v/>
      </c>
      <c r="F482">
        <f>IF(A482="","",SUMIF(Tickets[TripKey],A482,Tickets[Revenue]))</f>
        <v/>
      </c>
      <c r="G482">
        <f>IF(A482="","",SUMIF(Tickets[TripKey],A482,Tickets[PK]))</f>
        <v/>
      </c>
      <c r="H482">
        <f>IF(A482="","",IFERROR(XLOOKUP(A482,Tickets[TripKey],Tickets[VehClean]),""))</f>
        <v/>
      </c>
      <c r="I482">
        <f>IF(A482="","",IFERROR(XLOOKUP(A482,Tickets[TripKey],Tickets[RouteLen]),0))</f>
        <v/>
      </c>
      <c r="J482">
        <f>IF(A482="","",IFERROR(XLOOKUP(A482,Tickets[TripKey],Tickets[Capacity]),0))</f>
        <v/>
      </c>
      <c r="K482">
        <f>IF(A482="","",I482*J482)</f>
        <v/>
      </c>
      <c r="L482">
        <f>IF(A482="","",IFERROR(MINIFS(Tickets[Trip Start Time],Tickets[TripKey],A482),""))</f>
        <v/>
      </c>
    </row>
    <row r="483">
      <c r="B483" s="8">
        <f>IF(A483="","",IFERROR(DATEVALUE(TEXTBEFORE(A483,"|")),--LEFT(A483,10)))</f>
        <v/>
      </c>
      <c r="C483">
        <f>IF(A483="","",TEXTBEFORE(TEXTAFTER(A483,"|"),"|"))</f>
        <v/>
      </c>
      <c r="D483">
        <f>IF(A483="","",TEXTAFTER(A483,"|",2))</f>
        <v/>
      </c>
      <c r="E483">
        <f>IF(A483="","",SUMIF(Tickets[TripKey],A483,Tickets[TP]))</f>
        <v/>
      </c>
      <c r="F483">
        <f>IF(A483="","",SUMIF(Tickets[TripKey],A483,Tickets[Revenue]))</f>
        <v/>
      </c>
      <c r="G483">
        <f>IF(A483="","",SUMIF(Tickets[TripKey],A483,Tickets[PK]))</f>
        <v/>
      </c>
      <c r="H483">
        <f>IF(A483="","",IFERROR(XLOOKUP(A483,Tickets[TripKey],Tickets[VehClean]),""))</f>
        <v/>
      </c>
      <c r="I483">
        <f>IF(A483="","",IFERROR(XLOOKUP(A483,Tickets[TripKey],Tickets[RouteLen]),0))</f>
        <v/>
      </c>
      <c r="J483">
        <f>IF(A483="","",IFERROR(XLOOKUP(A483,Tickets[TripKey],Tickets[Capacity]),0))</f>
        <v/>
      </c>
      <c r="K483">
        <f>IF(A483="","",I483*J483)</f>
        <v/>
      </c>
      <c r="L483">
        <f>IF(A483="","",IFERROR(MINIFS(Tickets[Trip Start Time],Tickets[TripKey],A483),""))</f>
        <v/>
      </c>
    </row>
    <row r="484">
      <c r="B484" s="8">
        <f>IF(A484="","",IFERROR(DATEVALUE(TEXTBEFORE(A484,"|")),--LEFT(A484,10)))</f>
        <v/>
      </c>
      <c r="C484">
        <f>IF(A484="","",TEXTBEFORE(TEXTAFTER(A484,"|"),"|"))</f>
        <v/>
      </c>
      <c r="D484">
        <f>IF(A484="","",TEXTAFTER(A484,"|",2))</f>
        <v/>
      </c>
      <c r="E484">
        <f>IF(A484="","",SUMIF(Tickets[TripKey],A484,Tickets[TP]))</f>
        <v/>
      </c>
      <c r="F484">
        <f>IF(A484="","",SUMIF(Tickets[TripKey],A484,Tickets[Revenue]))</f>
        <v/>
      </c>
      <c r="G484">
        <f>IF(A484="","",SUMIF(Tickets[TripKey],A484,Tickets[PK]))</f>
        <v/>
      </c>
      <c r="H484">
        <f>IF(A484="","",IFERROR(XLOOKUP(A484,Tickets[TripKey],Tickets[VehClean]),""))</f>
        <v/>
      </c>
      <c r="I484">
        <f>IF(A484="","",IFERROR(XLOOKUP(A484,Tickets[TripKey],Tickets[RouteLen]),0))</f>
        <v/>
      </c>
      <c r="J484">
        <f>IF(A484="","",IFERROR(XLOOKUP(A484,Tickets[TripKey],Tickets[Capacity]),0))</f>
        <v/>
      </c>
      <c r="K484">
        <f>IF(A484="","",I484*J484)</f>
        <v/>
      </c>
      <c r="L484">
        <f>IF(A484="","",IFERROR(MINIFS(Tickets[Trip Start Time],Tickets[TripKey],A484),""))</f>
        <v/>
      </c>
    </row>
    <row r="485">
      <c r="B485" s="8">
        <f>IF(A485="","",IFERROR(DATEVALUE(TEXTBEFORE(A485,"|")),--LEFT(A485,10)))</f>
        <v/>
      </c>
      <c r="C485">
        <f>IF(A485="","",TEXTBEFORE(TEXTAFTER(A485,"|"),"|"))</f>
        <v/>
      </c>
      <c r="D485">
        <f>IF(A485="","",TEXTAFTER(A485,"|",2))</f>
        <v/>
      </c>
      <c r="E485">
        <f>IF(A485="","",SUMIF(Tickets[TripKey],A485,Tickets[TP]))</f>
        <v/>
      </c>
      <c r="F485">
        <f>IF(A485="","",SUMIF(Tickets[TripKey],A485,Tickets[Revenue]))</f>
        <v/>
      </c>
      <c r="G485">
        <f>IF(A485="","",SUMIF(Tickets[TripKey],A485,Tickets[PK]))</f>
        <v/>
      </c>
      <c r="H485">
        <f>IF(A485="","",IFERROR(XLOOKUP(A485,Tickets[TripKey],Tickets[VehClean]),""))</f>
        <v/>
      </c>
      <c r="I485">
        <f>IF(A485="","",IFERROR(XLOOKUP(A485,Tickets[TripKey],Tickets[RouteLen]),0))</f>
        <v/>
      </c>
      <c r="J485">
        <f>IF(A485="","",IFERROR(XLOOKUP(A485,Tickets[TripKey],Tickets[Capacity]),0))</f>
        <v/>
      </c>
      <c r="K485">
        <f>IF(A485="","",I485*J485)</f>
        <v/>
      </c>
      <c r="L485">
        <f>IF(A485="","",IFERROR(MINIFS(Tickets[Trip Start Time],Tickets[TripKey],A485),""))</f>
        <v/>
      </c>
    </row>
    <row r="486">
      <c r="B486" s="8">
        <f>IF(A486="","",IFERROR(DATEVALUE(TEXTBEFORE(A486,"|")),--LEFT(A486,10)))</f>
        <v/>
      </c>
      <c r="C486">
        <f>IF(A486="","",TEXTBEFORE(TEXTAFTER(A486,"|"),"|"))</f>
        <v/>
      </c>
      <c r="D486">
        <f>IF(A486="","",TEXTAFTER(A486,"|",2))</f>
        <v/>
      </c>
      <c r="E486">
        <f>IF(A486="","",SUMIF(Tickets[TripKey],A486,Tickets[TP]))</f>
        <v/>
      </c>
      <c r="F486">
        <f>IF(A486="","",SUMIF(Tickets[TripKey],A486,Tickets[Revenue]))</f>
        <v/>
      </c>
      <c r="G486">
        <f>IF(A486="","",SUMIF(Tickets[TripKey],A486,Tickets[PK]))</f>
        <v/>
      </c>
      <c r="H486">
        <f>IF(A486="","",IFERROR(XLOOKUP(A486,Tickets[TripKey],Tickets[VehClean]),""))</f>
        <v/>
      </c>
      <c r="I486">
        <f>IF(A486="","",IFERROR(XLOOKUP(A486,Tickets[TripKey],Tickets[RouteLen]),0))</f>
        <v/>
      </c>
      <c r="J486">
        <f>IF(A486="","",IFERROR(XLOOKUP(A486,Tickets[TripKey],Tickets[Capacity]),0))</f>
        <v/>
      </c>
      <c r="K486">
        <f>IF(A486="","",I486*J486)</f>
        <v/>
      </c>
      <c r="L486">
        <f>IF(A486="","",IFERROR(MINIFS(Tickets[Trip Start Time],Tickets[TripKey],A486),""))</f>
        <v/>
      </c>
    </row>
    <row r="487">
      <c r="B487" s="8">
        <f>IF(A487="","",IFERROR(DATEVALUE(TEXTBEFORE(A487,"|")),--LEFT(A487,10)))</f>
        <v/>
      </c>
      <c r="C487">
        <f>IF(A487="","",TEXTBEFORE(TEXTAFTER(A487,"|"),"|"))</f>
        <v/>
      </c>
      <c r="D487">
        <f>IF(A487="","",TEXTAFTER(A487,"|",2))</f>
        <v/>
      </c>
      <c r="E487">
        <f>IF(A487="","",SUMIF(Tickets[TripKey],A487,Tickets[TP]))</f>
        <v/>
      </c>
      <c r="F487">
        <f>IF(A487="","",SUMIF(Tickets[TripKey],A487,Tickets[Revenue]))</f>
        <v/>
      </c>
      <c r="G487">
        <f>IF(A487="","",SUMIF(Tickets[TripKey],A487,Tickets[PK]))</f>
        <v/>
      </c>
      <c r="H487">
        <f>IF(A487="","",IFERROR(XLOOKUP(A487,Tickets[TripKey],Tickets[VehClean]),""))</f>
        <v/>
      </c>
      <c r="I487">
        <f>IF(A487="","",IFERROR(XLOOKUP(A487,Tickets[TripKey],Tickets[RouteLen]),0))</f>
        <v/>
      </c>
      <c r="J487">
        <f>IF(A487="","",IFERROR(XLOOKUP(A487,Tickets[TripKey],Tickets[Capacity]),0))</f>
        <v/>
      </c>
      <c r="K487">
        <f>IF(A487="","",I487*J487)</f>
        <v/>
      </c>
      <c r="L487">
        <f>IF(A487="","",IFERROR(MINIFS(Tickets[Trip Start Time],Tickets[TripKey],A487),""))</f>
        <v/>
      </c>
    </row>
    <row r="488">
      <c r="B488" s="8">
        <f>IF(A488="","",IFERROR(DATEVALUE(TEXTBEFORE(A488,"|")),--LEFT(A488,10)))</f>
        <v/>
      </c>
      <c r="C488">
        <f>IF(A488="","",TEXTBEFORE(TEXTAFTER(A488,"|"),"|"))</f>
        <v/>
      </c>
      <c r="D488">
        <f>IF(A488="","",TEXTAFTER(A488,"|",2))</f>
        <v/>
      </c>
      <c r="E488">
        <f>IF(A488="","",SUMIF(Tickets[TripKey],A488,Tickets[TP]))</f>
        <v/>
      </c>
      <c r="F488">
        <f>IF(A488="","",SUMIF(Tickets[TripKey],A488,Tickets[Revenue]))</f>
        <v/>
      </c>
      <c r="G488">
        <f>IF(A488="","",SUMIF(Tickets[TripKey],A488,Tickets[PK]))</f>
        <v/>
      </c>
      <c r="H488">
        <f>IF(A488="","",IFERROR(XLOOKUP(A488,Tickets[TripKey],Tickets[VehClean]),""))</f>
        <v/>
      </c>
      <c r="I488">
        <f>IF(A488="","",IFERROR(XLOOKUP(A488,Tickets[TripKey],Tickets[RouteLen]),0))</f>
        <v/>
      </c>
      <c r="J488">
        <f>IF(A488="","",IFERROR(XLOOKUP(A488,Tickets[TripKey],Tickets[Capacity]),0))</f>
        <v/>
      </c>
      <c r="K488">
        <f>IF(A488="","",I488*J488)</f>
        <v/>
      </c>
      <c r="L488">
        <f>IF(A488="","",IFERROR(MINIFS(Tickets[Trip Start Time],Tickets[TripKey],A488),""))</f>
        <v/>
      </c>
    </row>
    <row r="489">
      <c r="B489" s="8">
        <f>IF(A489="","",IFERROR(DATEVALUE(TEXTBEFORE(A489,"|")),--LEFT(A489,10)))</f>
        <v/>
      </c>
      <c r="C489">
        <f>IF(A489="","",TEXTBEFORE(TEXTAFTER(A489,"|"),"|"))</f>
        <v/>
      </c>
      <c r="D489">
        <f>IF(A489="","",TEXTAFTER(A489,"|",2))</f>
        <v/>
      </c>
      <c r="E489">
        <f>IF(A489="","",SUMIF(Tickets[TripKey],A489,Tickets[TP]))</f>
        <v/>
      </c>
      <c r="F489">
        <f>IF(A489="","",SUMIF(Tickets[TripKey],A489,Tickets[Revenue]))</f>
        <v/>
      </c>
      <c r="G489">
        <f>IF(A489="","",SUMIF(Tickets[TripKey],A489,Tickets[PK]))</f>
        <v/>
      </c>
      <c r="H489">
        <f>IF(A489="","",IFERROR(XLOOKUP(A489,Tickets[TripKey],Tickets[VehClean]),""))</f>
        <v/>
      </c>
      <c r="I489">
        <f>IF(A489="","",IFERROR(XLOOKUP(A489,Tickets[TripKey],Tickets[RouteLen]),0))</f>
        <v/>
      </c>
      <c r="J489">
        <f>IF(A489="","",IFERROR(XLOOKUP(A489,Tickets[TripKey],Tickets[Capacity]),0))</f>
        <v/>
      </c>
      <c r="K489">
        <f>IF(A489="","",I489*J489)</f>
        <v/>
      </c>
      <c r="L489">
        <f>IF(A489="","",IFERROR(MINIFS(Tickets[Trip Start Time],Tickets[TripKey],A489),""))</f>
        <v/>
      </c>
    </row>
    <row r="490">
      <c r="B490" s="8">
        <f>IF(A490="","",IFERROR(DATEVALUE(TEXTBEFORE(A490,"|")),--LEFT(A490,10)))</f>
        <v/>
      </c>
      <c r="C490">
        <f>IF(A490="","",TEXTBEFORE(TEXTAFTER(A490,"|"),"|"))</f>
        <v/>
      </c>
      <c r="D490">
        <f>IF(A490="","",TEXTAFTER(A490,"|",2))</f>
        <v/>
      </c>
      <c r="E490">
        <f>IF(A490="","",SUMIF(Tickets[TripKey],A490,Tickets[TP]))</f>
        <v/>
      </c>
      <c r="F490">
        <f>IF(A490="","",SUMIF(Tickets[TripKey],A490,Tickets[Revenue]))</f>
        <v/>
      </c>
      <c r="G490">
        <f>IF(A490="","",SUMIF(Tickets[TripKey],A490,Tickets[PK]))</f>
        <v/>
      </c>
      <c r="H490">
        <f>IF(A490="","",IFERROR(XLOOKUP(A490,Tickets[TripKey],Tickets[VehClean]),""))</f>
        <v/>
      </c>
      <c r="I490">
        <f>IF(A490="","",IFERROR(XLOOKUP(A490,Tickets[TripKey],Tickets[RouteLen]),0))</f>
        <v/>
      </c>
      <c r="J490">
        <f>IF(A490="","",IFERROR(XLOOKUP(A490,Tickets[TripKey],Tickets[Capacity]),0))</f>
        <v/>
      </c>
      <c r="K490">
        <f>IF(A490="","",I490*J490)</f>
        <v/>
      </c>
      <c r="L490">
        <f>IF(A490="","",IFERROR(MINIFS(Tickets[Trip Start Time],Tickets[TripKey],A490),""))</f>
        <v/>
      </c>
    </row>
    <row r="491">
      <c r="B491" s="8">
        <f>IF(A491="","",IFERROR(DATEVALUE(TEXTBEFORE(A491,"|")),--LEFT(A491,10)))</f>
        <v/>
      </c>
      <c r="C491">
        <f>IF(A491="","",TEXTBEFORE(TEXTAFTER(A491,"|"),"|"))</f>
        <v/>
      </c>
      <c r="D491">
        <f>IF(A491="","",TEXTAFTER(A491,"|",2))</f>
        <v/>
      </c>
      <c r="E491">
        <f>IF(A491="","",SUMIF(Tickets[TripKey],A491,Tickets[TP]))</f>
        <v/>
      </c>
      <c r="F491">
        <f>IF(A491="","",SUMIF(Tickets[TripKey],A491,Tickets[Revenue]))</f>
        <v/>
      </c>
      <c r="G491">
        <f>IF(A491="","",SUMIF(Tickets[TripKey],A491,Tickets[PK]))</f>
        <v/>
      </c>
      <c r="H491">
        <f>IF(A491="","",IFERROR(XLOOKUP(A491,Tickets[TripKey],Tickets[VehClean]),""))</f>
        <v/>
      </c>
      <c r="I491">
        <f>IF(A491="","",IFERROR(XLOOKUP(A491,Tickets[TripKey],Tickets[RouteLen]),0))</f>
        <v/>
      </c>
      <c r="J491">
        <f>IF(A491="","",IFERROR(XLOOKUP(A491,Tickets[TripKey],Tickets[Capacity]),0))</f>
        <v/>
      </c>
      <c r="K491">
        <f>IF(A491="","",I491*J491)</f>
        <v/>
      </c>
      <c r="L491">
        <f>IF(A491="","",IFERROR(MINIFS(Tickets[Trip Start Time],Tickets[TripKey],A491),""))</f>
        <v/>
      </c>
    </row>
    <row r="492">
      <c r="B492" s="8">
        <f>IF(A492="","",IFERROR(DATEVALUE(TEXTBEFORE(A492,"|")),--LEFT(A492,10)))</f>
        <v/>
      </c>
      <c r="C492">
        <f>IF(A492="","",TEXTBEFORE(TEXTAFTER(A492,"|"),"|"))</f>
        <v/>
      </c>
      <c r="D492">
        <f>IF(A492="","",TEXTAFTER(A492,"|",2))</f>
        <v/>
      </c>
      <c r="E492">
        <f>IF(A492="","",SUMIF(Tickets[TripKey],A492,Tickets[TP]))</f>
        <v/>
      </c>
      <c r="F492">
        <f>IF(A492="","",SUMIF(Tickets[TripKey],A492,Tickets[Revenue]))</f>
        <v/>
      </c>
      <c r="G492">
        <f>IF(A492="","",SUMIF(Tickets[TripKey],A492,Tickets[PK]))</f>
        <v/>
      </c>
      <c r="H492">
        <f>IF(A492="","",IFERROR(XLOOKUP(A492,Tickets[TripKey],Tickets[VehClean]),""))</f>
        <v/>
      </c>
      <c r="I492">
        <f>IF(A492="","",IFERROR(XLOOKUP(A492,Tickets[TripKey],Tickets[RouteLen]),0))</f>
        <v/>
      </c>
      <c r="J492">
        <f>IF(A492="","",IFERROR(XLOOKUP(A492,Tickets[TripKey],Tickets[Capacity]),0))</f>
        <v/>
      </c>
      <c r="K492">
        <f>IF(A492="","",I492*J492)</f>
        <v/>
      </c>
      <c r="L492">
        <f>IF(A492="","",IFERROR(MINIFS(Tickets[Trip Start Time],Tickets[TripKey],A492),""))</f>
        <v/>
      </c>
    </row>
    <row r="493">
      <c r="B493" s="8">
        <f>IF(A493="","",IFERROR(DATEVALUE(TEXTBEFORE(A493,"|")),--LEFT(A493,10)))</f>
        <v/>
      </c>
      <c r="C493">
        <f>IF(A493="","",TEXTBEFORE(TEXTAFTER(A493,"|"),"|"))</f>
        <v/>
      </c>
      <c r="D493">
        <f>IF(A493="","",TEXTAFTER(A493,"|",2))</f>
        <v/>
      </c>
      <c r="E493">
        <f>IF(A493="","",SUMIF(Tickets[TripKey],A493,Tickets[TP]))</f>
        <v/>
      </c>
      <c r="F493">
        <f>IF(A493="","",SUMIF(Tickets[TripKey],A493,Tickets[Revenue]))</f>
        <v/>
      </c>
      <c r="G493">
        <f>IF(A493="","",SUMIF(Tickets[TripKey],A493,Tickets[PK]))</f>
        <v/>
      </c>
      <c r="H493">
        <f>IF(A493="","",IFERROR(XLOOKUP(A493,Tickets[TripKey],Tickets[VehClean]),""))</f>
        <v/>
      </c>
      <c r="I493">
        <f>IF(A493="","",IFERROR(XLOOKUP(A493,Tickets[TripKey],Tickets[RouteLen]),0))</f>
        <v/>
      </c>
      <c r="J493">
        <f>IF(A493="","",IFERROR(XLOOKUP(A493,Tickets[TripKey],Tickets[Capacity]),0))</f>
        <v/>
      </c>
      <c r="K493">
        <f>IF(A493="","",I493*J493)</f>
        <v/>
      </c>
      <c r="L493">
        <f>IF(A493="","",IFERROR(MINIFS(Tickets[Trip Start Time],Tickets[TripKey],A493),""))</f>
        <v/>
      </c>
    </row>
    <row r="494">
      <c r="B494" s="8">
        <f>IF(A494="","",IFERROR(DATEVALUE(TEXTBEFORE(A494,"|")),--LEFT(A494,10)))</f>
        <v/>
      </c>
      <c r="C494">
        <f>IF(A494="","",TEXTBEFORE(TEXTAFTER(A494,"|"),"|"))</f>
        <v/>
      </c>
      <c r="D494">
        <f>IF(A494="","",TEXTAFTER(A494,"|",2))</f>
        <v/>
      </c>
      <c r="E494">
        <f>IF(A494="","",SUMIF(Tickets[TripKey],A494,Tickets[TP]))</f>
        <v/>
      </c>
      <c r="F494">
        <f>IF(A494="","",SUMIF(Tickets[TripKey],A494,Tickets[Revenue]))</f>
        <v/>
      </c>
      <c r="G494">
        <f>IF(A494="","",SUMIF(Tickets[TripKey],A494,Tickets[PK]))</f>
        <v/>
      </c>
      <c r="H494">
        <f>IF(A494="","",IFERROR(XLOOKUP(A494,Tickets[TripKey],Tickets[VehClean]),""))</f>
        <v/>
      </c>
      <c r="I494">
        <f>IF(A494="","",IFERROR(XLOOKUP(A494,Tickets[TripKey],Tickets[RouteLen]),0))</f>
        <v/>
      </c>
      <c r="J494">
        <f>IF(A494="","",IFERROR(XLOOKUP(A494,Tickets[TripKey],Tickets[Capacity]),0))</f>
        <v/>
      </c>
      <c r="K494">
        <f>IF(A494="","",I494*J494)</f>
        <v/>
      </c>
      <c r="L494">
        <f>IF(A494="","",IFERROR(MINIFS(Tickets[Trip Start Time],Tickets[TripKey],A494),""))</f>
        <v/>
      </c>
    </row>
    <row r="495">
      <c r="B495" s="8">
        <f>IF(A495="","",IFERROR(DATEVALUE(TEXTBEFORE(A495,"|")),--LEFT(A495,10)))</f>
        <v/>
      </c>
      <c r="C495">
        <f>IF(A495="","",TEXTBEFORE(TEXTAFTER(A495,"|"),"|"))</f>
        <v/>
      </c>
      <c r="D495">
        <f>IF(A495="","",TEXTAFTER(A495,"|",2))</f>
        <v/>
      </c>
      <c r="E495">
        <f>IF(A495="","",SUMIF(Tickets[TripKey],A495,Tickets[TP]))</f>
        <v/>
      </c>
      <c r="F495">
        <f>IF(A495="","",SUMIF(Tickets[TripKey],A495,Tickets[Revenue]))</f>
        <v/>
      </c>
      <c r="G495">
        <f>IF(A495="","",SUMIF(Tickets[TripKey],A495,Tickets[PK]))</f>
        <v/>
      </c>
      <c r="H495">
        <f>IF(A495="","",IFERROR(XLOOKUP(A495,Tickets[TripKey],Tickets[VehClean]),""))</f>
        <v/>
      </c>
      <c r="I495">
        <f>IF(A495="","",IFERROR(XLOOKUP(A495,Tickets[TripKey],Tickets[RouteLen]),0))</f>
        <v/>
      </c>
      <c r="J495">
        <f>IF(A495="","",IFERROR(XLOOKUP(A495,Tickets[TripKey],Tickets[Capacity]),0))</f>
        <v/>
      </c>
      <c r="K495">
        <f>IF(A495="","",I495*J495)</f>
        <v/>
      </c>
      <c r="L495">
        <f>IF(A495="","",IFERROR(MINIFS(Tickets[Trip Start Time],Tickets[TripKey],A495),""))</f>
        <v/>
      </c>
    </row>
    <row r="496">
      <c r="B496" s="8">
        <f>IF(A496="","",IFERROR(DATEVALUE(TEXTBEFORE(A496,"|")),--LEFT(A496,10)))</f>
        <v/>
      </c>
      <c r="C496">
        <f>IF(A496="","",TEXTBEFORE(TEXTAFTER(A496,"|"),"|"))</f>
        <v/>
      </c>
      <c r="D496">
        <f>IF(A496="","",TEXTAFTER(A496,"|",2))</f>
        <v/>
      </c>
      <c r="E496">
        <f>IF(A496="","",SUMIF(Tickets[TripKey],A496,Tickets[TP]))</f>
        <v/>
      </c>
      <c r="F496">
        <f>IF(A496="","",SUMIF(Tickets[TripKey],A496,Tickets[Revenue]))</f>
        <v/>
      </c>
      <c r="G496">
        <f>IF(A496="","",SUMIF(Tickets[TripKey],A496,Tickets[PK]))</f>
        <v/>
      </c>
      <c r="H496">
        <f>IF(A496="","",IFERROR(XLOOKUP(A496,Tickets[TripKey],Tickets[VehClean]),""))</f>
        <v/>
      </c>
      <c r="I496">
        <f>IF(A496="","",IFERROR(XLOOKUP(A496,Tickets[TripKey],Tickets[RouteLen]),0))</f>
        <v/>
      </c>
      <c r="J496">
        <f>IF(A496="","",IFERROR(XLOOKUP(A496,Tickets[TripKey],Tickets[Capacity]),0))</f>
        <v/>
      </c>
      <c r="K496">
        <f>IF(A496="","",I496*J496)</f>
        <v/>
      </c>
      <c r="L496">
        <f>IF(A496="","",IFERROR(MINIFS(Tickets[Trip Start Time],Tickets[TripKey],A496),""))</f>
        <v/>
      </c>
    </row>
    <row r="497">
      <c r="B497" s="8">
        <f>IF(A497="","",IFERROR(DATEVALUE(TEXTBEFORE(A497,"|")),--LEFT(A497,10)))</f>
        <v/>
      </c>
      <c r="C497">
        <f>IF(A497="","",TEXTBEFORE(TEXTAFTER(A497,"|"),"|"))</f>
        <v/>
      </c>
      <c r="D497">
        <f>IF(A497="","",TEXTAFTER(A497,"|",2))</f>
        <v/>
      </c>
      <c r="E497">
        <f>IF(A497="","",SUMIF(Tickets[TripKey],A497,Tickets[TP]))</f>
        <v/>
      </c>
      <c r="F497">
        <f>IF(A497="","",SUMIF(Tickets[TripKey],A497,Tickets[Revenue]))</f>
        <v/>
      </c>
      <c r="G497">
        <f>IF(A497="","",SUMIF(Tickets[TripKey],A497,Tickets[PK]))</f>
        <v/>
      </c>
      <c r="H497">
        <f>IF(A497="","",IFERROR(XLOOKUP(A497,Tickets[TripKey],Tickets[VehClean]),""))</f>
        <v/>
      </c>
      <c r="I497">
        <f>IF(A497="","",IFERROR(XLOOKUP(A497,Tickets[TripKey],Tickets[RouteLen]),0))</f>
        <v/>
      </c>
      <c r="J497">
        <f>IF(A497="","",IFERROR(XLOOKUP(A497,Tickets[TripKey],Tickets[Capacity]),0))</f>
        <v/>
      </c>
      <c r="K497">
        <f>IF(A497="","",I497*J497)</f>
        <v/>
      </c>
      <c r="L497">
        <f>IF(A497="","",IFERROR(MINIFS(Tickets[Trip Start Time],Tickets[TripKey],A497),""))</f>
        <v/>
      </c>
    </row>
    <row r="498">
      <c r="B498" s="8">
        <f>IF(A498="","",IFERROR(DATEVALUE(TEXTBEFORE(A498,"|")),--LEFT(A498,10)))</f>
        <v/>
      </c>
      <c r="C498">
        <f>IF(A498="","",TEXTBEFORE(TEXTAFTER(A498,"|"),"|"))</f>
        <v/>
      </c>
      <c r="D498">
        <f>IF(A498="","",TEXTAFTER(A498,"|",2))</f>
        <v/>
      </c>
      <c r="E498">
        <f>IF(A498="","",SUMIF(Tickets[TripKey],A498,Tickets[TP]))</f>
        <v/>
      </c>
      <c r="F498">
        <f>IF(A498="","",SUMIF(Tickets[TripKey],A498,Tickets[Revenue]))</f>
        <v/>
      </c>
      <c r="G498">
        <f>IF(A498="","",SUMIF(Tickets[TripKey],A498,Tickets[PK]))</f>
        <v/>
      </c>
      <c r="H498">
        <f>IF(A498="","",IFERROR(XLOOKUP(A498,Tickets[TripKey],Tickets[VehClean]),""))</f>
        <v/>
      </c>
      <c r="I498">
        <f>IF(A498="","",IFERROR(XLOOKUP(A498,Tickets[TripKey],Tickets[RouteLen]),0))</f>
        <v/>
      </c>
      <c r="J498">
        <f>IF(A498="","",IFERROR(XLOOKUP(A498,Tickets[TripKey],Tickets[Capacity]),0))</f>
        <v/>
      </c>
      <c r="K498">
        <f>IF(A498="","",I498*J498)</f>
        <v/>
      </c>
      <c r="L498">
        <f>IF(A498="","",IFERROR(MINIFS(Tickets[Trip Start Time],Tickets[TripKey],A498),""))</f>
        <v/>
      </c>
    </row>
    <row r="499">
      <c r="B499" s="8">
        <f>IF(A499="","",IFERROR(DATEVALUE(TEXTBEFORE(A499,"|")),--LEFT(A499,10)))</f>
        <v/>
      </c>
      <c r="C499">
        <f>IF(A499="","",TEXTBEFORE(TEXTAFTER(A499,"|"),"|"))</f>
        <v/>
      </c>
      <c r="D499">
        <f>IF(A499="","",TEXTAFTER(A499,"|",2))</f>
        <v/>
      </c>
      <c r="E499">
        <f>IF(A499="","",SUMIF(Tickets[TripKey],A499,Tickets[TP]))</f>
        <v/>
      </c>
      <c r="F499">
        <f>IF(A499="","",SUMIF(Tickets[TripKey],A499,Tickets[Revenue]))</f>
        <v/>
      </c>
      <c r="G499">
        <f>IF(A499="","",SUMIF(Tickets[TripKey],A499,Tickets[PK]))</f>
        <v/>
      </c>
      <c r="H499">
        <f>IF(A499="","",IFERROR(XLOOKUP(A499,Tickets[TripKey],Tickets[VehClean]),""))</f>
        <v/>
      </c>
      <c r="I499">
        <f>IF(A499="","",IFERROR(XLOOKUP(A499,Tickets[TripKey],Tickets[RouteLen]),0))</f>
        <v/>
      </c>
      <c r="J499">
        <f>IF(A499="","",IFERROR(XLOOKUP(A499,Tickets[TripKey],Tickets[Capacity]),0))</f>
        <v/>
      </c>
      <c r="K499">
        <f>IF(A499="","",I499*J499)</f>
        <v/>
      </c>
      <c r="L499">
        <f>IF(A499="","",IFERROR(MINIFS(Tickets[Trip Start Time],Tickets[TripKey],A499),""))</f>
        <v/>
      </c>
    </row>
    <row r="500">
      <c r="B500" s="8">
        <f>IF(A500="","",IFERROR(DATEVALUE(TEXTBEFORE(A500,"|")),--LEFT(A500,10)))</f>
        <v/>
      </c>
      <c r="C500">
        <f>IF(A500="","",TEXTBEFORE(TEXTAFTER(A500,"|"),"|"))</f>
        <v/>
      </c>
      <c r="D500">
        <f>IF(A500="","",TEXTAFTER(A500,"|",2))</f>
        <v/>
      </c>
      <c r="E500">
        <f>IF(A500="","",SUMIF(Tickets[TripKey],A500,Tickets[TP]))</f>
        <v/>
      </c>
      <c r="F500">
        <f>IF(A500="","",SUMIF(Tickets[TripKey],A500,Tickets[Revenue]))</f>
        <v/>
      </c>
      <c r="G500">
        <f>IF(A500="","",SUMIF(Tickets[TripKey],A500,Tickets[PK]))</f>
        <v/>
      </c>
      <c r="H500">
        <f>IF(A500="","",IFERROR(XLOOKUP(A500,Tickets[TripKey],Tickets[VehClean]),""))</f>
        <v/>
      </c>
      <c r="I500">
        <f>IF(A500="","",IFERROR(XLOOKUP(A500,Tickets[TripKey],Tickets[RouteLen]),0))</f>
        <v/>
      </c>
      <c r="J500">
        <f>IF(A500="","",IFERROR(XLOOKUP(A500,Tickets[TripKey],Tickets[Capacity]),0))</f>
        <v/>
      </c>
      <c r="K500">
        <f>IF(A500="","",I500*J500)</f>
        <v/>
      </c>
      <c r="L500">
        <f>IF(A500="","",IFERROR(MINIFS(Tickets[Trip Start Time],Tickets[TripKey],A500),""))</f>
        <v/>
      </c>
    </row>
    <row r="501">
      <c r="B501" s="8">
        <f>IF(A501="","",IFERROR(DATEVALUE(TEXTBEFORE(A501,"|")),--LEFT(A501,10)))</f>
        <v/>
      </c>
      <c r="C501">
        <f>IF(A501="","",TEXTBEFORE(TEXTAFTER(A501,"|"),"|"))</f>
        <v/>
      </c>
      <c r="D501">
        <f>IF(A501="","",TEXTAFTER(A501,"|",2))</f>
        <v/>
      </c>
      <c r="E501">
        <f>IF(A501="","",SUMIF(Tickets[TripKey],A501,Tickets[TP]))</f>
        <v/>
      </c>
      <c r="F501">
        <f>IF(A501="","",SUMIF(Tickets[TripKey],A501,Tickets[Revenue]))</f>
        <v/>
      </c>
      <c r="G501">
        <f>IF(A501="","",SUMIF(Tickets[TripKey],A501,Tickets[PK]))</f>
        <v/>
      </c>
      <c r="H501">
        <f>IF(A501="","",IFERROR(XLOOKUP(A501,Tickets[TripKey],Tickets[VehClean]),""))</f>
        <v/>
      </c>
      <c r="I501">
        <f>IF(A501="","",IFERROR(XLOOKUP(A501,Tickets[TripKey],Tickets[RouteLen]),0))</f>
        <v/>
      </c>
      <c r="J501">
        <f>IF(A501="","",IFERROR(XLOOKUP(A501,Tickets[TripKey],Tickets[Capacity]),0))</f>
        <v/>
      </c>
      <c r="K501">
        <f>IF(A501="","",I501*J501)</f>
        <v/>
      </c>
      <c r="L501">
        <f>IF(A501="","",IFERROR(MINIFS(Tickets[Trip Start Time],Tickets[TripKey],A501),""))</f>
        <v/>
      </c>
    </row>
    <row r="502">
      <c r="B502" s="8">
        <f>IF(A502="","",IFERROR(DATEVALUE(TEXTBEFORE(A502,"|")),--LEFT(A502,10)))</f>
        <v/>
      </c>
      <c r="C502">
        <f>IF(A502="","",TEXTBEFORE(TEXTAFTER(A502,"|"),"|"))</f>
        <v/>
      </c>
      <c r="D502">
        <f>IF(A502="","",TEXTAFTER(A502,"|",2))</f>
        <v/>
      </c>
      <c r="E502">
        <f>IF(A502="","",SUMIF(Tickets[TripKey],A502,Tickets[TP]))</f>
        <v/>
      </c>
      <c r="F502">
        <f>IF(A502="","",SUMIF(Tickets[TripKey],A502,Tickets[Revenue]))</f>
        <v/>
      </c>
      <c r="G502">
        <f>IF(A502="","",SUMIF(Tickets[TripKey],A502,Tickets[PK]))</f>
        <v/>
      </c>
      <c r="H502">
        <f>IF(A502="","",IFERROR(XLOOKUP(A502,Tickets[TripKey],Tickets[VehClean]),""))</f>
        <v/>
      </c>
      <c r="I502">
        <f>IF(A502="","",IFERROR(XLOOKUP(A502,Tickets[TripKey],Tickets[RouteLen]),0))</f>
        <v/>
      </c>
      <c r="J502">
        <f>IF(A502="","",IFERROR(XLOOKUP(A502,Tickets[TripKey],Tickets[Capacity]),0))</f>
        <v/>
      </c>
      <c r="K502">
        <f>IF(A502="","",I502*J502)</f>
        <v/>
      </c>
      <c r="L502">
        <f>IF(A502="","",IFERROR(MINIFS(Tickets[Trip Start Time],Tickets[TripKey],A502),""))</f>
        <v/>
      </c>
    </row>
    <row r="503">
      <c r="B503" s="8">
        <f>IF(A503="","",IFERROR(DATEVALUE(TEXTBEFORE(A503,"|")),--LEFT(A503,10)))</f>
        <v/>
      </c>
      <c r="C503">
        <f>IF(A503="","",TEXTBEFORE(TEXTAFTER(A503,"|"),"|"))</f>
        <v/>
      </c>
      <c r="D503">
        <f>IF(A503="","",TEXTAFTER(A503,"|",2))</f>
        <v/>
      </c>
      <c r="E503">
        <f>IF(A503="","",SUMIF(Tickets[TripKey],A503,Tickets[TP]))</f>
        <v/>
      </c>
      <c r="F503">
        <f>IF(A503="","",SUMIF(Tickets[TripKey],A503,Tickets[Revenue]))</f>
        <v/>
      </c>
      <c r="G503">
        <f>IF(A503="","",SUMIF(Tickets[TripKey],A503,Tickets[PK]))</f>
        <v/>
      </c>
      <c r="H503">
        <f>IF(A503="","",IFERROR(XLOOKUP(A503,Tickets[TripKey],Tickets[VehClean]),""))</f>
        <v/>
      </c>
      <c r="I503">
        <f>IF(A503="","",IFERROR(XLOOKUP(A503,Tickets[TripKey],Tickets[RouteLen]),0))</f>
        <v/>
      </c>
      <c r="J503">
        <f>IF(A503="","",IFERROR(XLOOKUP(A503,Tickets[TripKey],Tickets[Capacity]),0))</f>
        <v/>
      </c>
      <c r="K503">
        <f>IF(A503="","",I503*J503)</f>
        <v/>
      </c>
      <c r="L503">
        <f>IF(A503="","",IFERROR(MINIFS(Tickets[Trip Start Time],Tickets[TripKey],A503),""))</f>
        <v/>
      </c>
    </row>
    <row r="504">
      <c r="B504" s="8">
        <f>IF(A504="","",IFERROR(DATEVALUE(TEXTBEFORE(A504,"|")),--LEFT(A504,10)))</f>
        <v/>
      </c>
      <c r="C504">
        <f>IF(A504="","",TEXTBEFORE(TEXTAFTER(A504,"|"),"|"))</f>
        <v/>
      </c>
      <c r="D504">
        <f>IF(A504="","",TEXTAFTER(A504,"|",2))</f>
        <v/>
      </c>
      <c r="E504">
        <f>IF(A504="","",SUMIF(Tickets[TripKey],A504,Tickets[TP]))</f>
        <v/>
      </c>
      <c r="F504">
        <f>IF(A504="","",SUMIF(Tickets[TripKey],A504,Tickets[Revenue]))</f>
        <v/>
      </c>
      <c r="G504">
        <f>IF(A504="","",SUMIF(Tickets[TripKey],A504,Tickets[PK]))</f>
        <v/>
      </c>
      <c r="H504">
        <f>IF(A504="","",IFERROR(XLOOKUP(A504,Tickets[TripKey],Tickets[VehClean]),""))</f>
        <v/>
      </c>
      <c r="I504">
        <f>IF(A504="","",IFERROR(XLOOKUP(A504,Tickets[TripKey],Tickets[RouteLen]),0))</f>
        <v/>
      </c>
      <c r="J504">
        <f>IF(A504="","",IFERROR(XLOOKUP(A504,Tickets[TripKey],Tickets[Capacity]),0))</f>
        <v/>
      </c>
      <c r="K504">
        <f>IF(A504="","",I504*J504)</f>
        <v/>
      </c>
      <c r="L504">
        <f>IF(A504="","",IFERROR(MINIFS(Tickets[Trip Start Time],Tickets[TripKey],A504),""))</f>
        <v/>
      </c>
    </row>
    <row r="505">
      <c r="B505" s="8">
        <f>IF(A505="","",IFERROR(DATEVALUE(TEXTBEFORE(A505,"|")),--LEFT(A505,10)))</f>
        <v/>
      </c>
      <c r="C505">
        <f>IF(A505="","",TEXTBEFORE(TEXTAFTER(A505,"|"),"|"))</f>
        <v/>
      </c>
      <c r="D505">
        <f>IF(A505="","",TEXTAFTER(A505,"|",2))</f>
        <v/>
      </c>
      <c r="E505">
        <f>IF(A505="","",SUMIF(Tickets[TripKey],A505,Tickets[TP]))</f>
        <v/>
      </c>
      <c r="F505">
        <f>IF(A505="","",SUMIF(Tickets[TripKey],A505,Tickets[Revenue]))</f>
        <v/>
      </c>
      <c r="G505">
        <f>IF(A505="","",SUMIF(Tickets[TripKey],A505,Tickets[PK]))</f>
        <v/>
      </c>
      <c r="H505">
        <f>IF(A505="","",IFERROR(XLOOKUP(A505,Tickets[TripKey],Tickets[VehClean]),""))</f>
        <v/>
      </c>
      <c r="I505">
        <f>IF(A505="","",IFERROR(XLOOKUP(A505,Tickets[TripKey],Tickets[RouteLen]),0))</f>
        <v/>
      </c>
      <c r="J505">
        <f>IF(A505="","",IFERROR(XLOOKUP(A505,Tickets[TripKey],Tickets[Capacity]),0))</f>
        <v/>
      </c>
      <c r="K505">
        <f>IF(A505="","",I505*J505)</f>
        <v/>
      </c>
      <c r="L505">
        <f>IF(A505="","",IFERROR(MINIFS(Tickets[Trip Start Time],Tickets[TripKey],A505),""))</f>
        <v/>
      </c>
    </row>
    <row r="506">
      <c r="B506" s="8">
        <f>IF(A506="","",IFERROR(DATEVALUE(TEXTBEFORE(A506,"|")),--LEFT(A506,10)))</f>
        <v/>
      </c>
      <c r="C506">
        <f>IF(A506="","",TEXTBEFORE(TEXTAFTER(A506,"|"),"|"))</f>
        <v/>
      </c>
      <c r="D506">
        <f>IF(A506="","",TEXTAFTER(A506,"|",2))</f>
        <v/>
      </c>
      <c r="E506">
        <f>IF(A506="","",SUMIF(Tickets[TripKey],A506,Tickets[TP]))</f>
        <v/>
      </c>
      <c r="F506">
        <f>IF(A506="","",SUMIF(Tickets[TripKey],A506,Tickets[Revenue]))</f>
        <v/>
      </c>
      <c r="G506">
        <f>IF(A506="","",SUMIF(Tickets[TripKey],A506,Tickets[PK]))</f>
        <v/>
      </c>
      <c r="H506">
        <f>IF(A506="","",IFERROR(XLOOKUP(A506,Tickets[TripKey],Tickets[VehClean]),""))</f>
        <v/>
      </c>
      <c r="I506">
        <f>IF(A506="","",IFERROR(XLOOKUP(A506,Tickets[TripKey],Tickets[RouteLen]),0))</f>
        <v/>
      </c>
      <c r="J506">
        <f>IF(A506="","",IFERROR(XLOOKUP(A506,Tickets[TripKey],Tickets[Capacity]),0))</f>
        <v/>
      </c>
      <c r="K506">
        <f>IF(A506="","",I506*J506)</f>
        <v/>
      </c>
      <c r="L506">
        <f>IF(A506="","",IFERROR(MINIFS(Tickets[Trip Start Time],Tickets[TripKey],A506),""))</f>
        <v/>
      </c>
    </row>
    <row r="507">
      <c r="B507" s="8">
        <f>IF(A507="","",IFERROR(DATEVALUE(TEXTBEFORE(A507,"|")),--LEFT(A507,10)))</f>
        <v/>
      </c>
      <c r="C507">
        <f>IF(A507="","",TEXTBEFORE(TEXTAFTER(A507,"|"),"|"))</f>
        <v/>
      </c>
      <c r="D507">
        <f>IF(A507="","",TEXTAFTER(A507,"|",2))</f>
        <v/>
      </c>
      <c r="E507">
        <f>IF(A507="","",SUMIF(Tickets[TripKey],A507,Tickets[TP]))</f>
        <v/>
      </c>
      <c r="F507">
        <f>IF(A507="","",SUMIF(Tickets[TripKey],A507,Tickets[Revenue]))</f>
        <v/>
      </c>
      <c r="G507">
        <f>IF(A507="","",SUMIF(Tickets[TripKey],A507,Tickets[PK]))</f>
        <v/>
      </c>
      <c r="H507">
        <f>IF(A507="","",IFERROR(XLOOKUP(A507,Tickets[TripKey],Tickets[VehClean]),""))</f>
        <v/>
      </c>
      <c r="I507">
        <f>IF(A507="","",IFERROR(XLOOKUP(A507,Tickets[TripKey],Tickets[RouteLen]),0))</f>
        <v/>
      </c>
      <c r="J507">
        <f>IF(A507="","",IFERROR(XLOOKUP(A507,Tickets[TripKey],Tickets[Capacity]),0))</f>
        <v/>
      </c>
      <c r="K507">
        <f>IF(A507="","",I507*J507)</f>
        <v/>
      </c>
      <c r="L507">
        <f>IF(A507="","",IFERROR(MINIFS(Tickets[Trip Start Time],Tickets[TripKey],A507),""))</f>
        <v/>
      </c>
    </row>
    <row r="508">
      <c r="B508" s="8">
        <f>IF(A508="","",IFERROR(DATEVALUE(TEXTBEFORE(A508,"|")),--LEFT(A508,10)))</f>
        <v/>
      </c>
      <c r="C508">
        <f>IF(A508="","",TEXTBEFORE(TEXTAFTER(A508,"|"),"|"))</f>
        <v/>
      </c>
      <c r="D508">
        <f>IF(A508="","",TEXTAFTER(A508,"|",2))</f>
        <v/>
      </c>
      <c r="E508">
        <f>IF(A508="","",SUMIF(Tickets[TripKey],A508,Tickets[TP]))</f>
        <v/>
      </c>
      <c r="F508">
        <f>IF(A508="","",SUMIF(Tickets[TripKey],A508,Tickets[Revenue]))</f>
        <v/>
      </c>
      <c r="G508">
        <f>IF(A508="","",SUMIF(Tickets[TripKey],A508,Tickets[PK]))</f>
        <v/>
      </c>
      <c r="H508">
        <f>IF(A508="","",IFERROR(XLOOKUP(A508,Tickets[TripKey],Tickets[VehClean]),""))</f>
        <v/>
      </c>
      <c r="I508">
        <f>IF(A508="","",IFERROR(XLOOKUP(A508,Tickets[TripKey],Tickets[RouteLen]),0))</f>
        <v/>
      </c>
      <c r="J508">
        <f>IF(A508="","",IFERROR(XLOOKUP(A508,Tickets[TripKey],Tickets[Capacity]),0))</f>
        <v/>
      </c>
      <c r="K508">
        <f>IF(A508="","",I508*J508)</f>
        <v/>
      </c>
      <c r="L508">
        <f>IF(A508="","",IFERROR(MINIFS(Tickets[Trip Start Time],Tickets[TripKey],A508),""))</f>
        <v/>
      </c>
    </row>
    <row r="509">
      <c r="B509" s="8">
        <f>IF(A509="","",IFERROR(DATEVALUE(TEXTBEFORE(A509,"|")),--LEFT(A509,10)))</f>
        <v/>
      </c>
      <c r="C509">
        <f>IF(A509="","",TEXTBEFORE(TEXTAFTER(A509,"|"),"|"))</f>
        <v/>
      </c>
      <c r="D509">
        <f>IF(A509="","",TEXTAFTER(A509,"|",2))</f>
        <v/>
      </c>
      <c r="E509">
        <f>IF(A509="","",SUMIF(Tickets[TripKey],A509,Tickets[TP]))</f>
        <v/>
      </c>
      <c r="F509">
        <f>IF(A509="","",SUMIF(Tickets[TripKey],A509,Tickets[Revenue]))</f>
        <v/>
      </c>
      <c r="G509">
        <f>IF(A509="","",SUMIF(Tickets[TripKey],A509,Tickets[PK]))</f>
        <v/>
      </c>
      <c r="H509">
        <f>IF(A509="","",IFERROR(XLOOKUP(A509,Tickets[TripKey],Tickets[VehClean]),""))</f>
        <v/>
      </c>
      <c r="I509">
        <f>IF(A509="","",IFERROR(XLOOKUP(A509,Tickets[TripKey],Tickets[RouteLen]),0))</f>
        <v/>
      </c>
      <c r="J509">
        <f>IF(A509="","",IFERROR(XLOOKUP(A509,Tickets[TripKey],Tickets[Capacity]),0))</f>
        <v/>
      </c>
      <c r="K509">
        <f>IF(A509="","",I509*J509)</f>
        <v/>
      </c>
      <c r="L509">
        <f>IF(A509="","",IFERROR(MINIFS(Tickets[Trip Start Time],Tickets[TripKey],A509),""))</f>
        <v/>
      </c>
    </row>
    <row r="510">
      <c r="B510" s="8">
        <f>IF(A510="","",IFERROR(DATEVALUE(TEXTBEFORE(A510,"|")),--LEFT(A510,10)))</f>
        <v/>
      </c>
      <c r="C510">
        <f>IF(A510="","",TEXTBEFORE(TEXTAFTER(A510,"|"),"|"))</f>
        <v/>
      </c>
      <c r="D510">
        <f>IF(A510="","",TEXTAFTER(A510,"|",2))</f>
        <v/>
      </c>
      <c r="E510">
        <f>IF(A510="","",SUMIF(Tickets[TripKey],A510,Tickets[TP]))</f>
        <v/>
      </c>
      <c r="F510">
        <f>IF(A510="","",SUMIF(Tickets[TripKey],A510,Tickets[Revenue]))</f>
        <v/>
      </c>
      <c r="G510">
        <f>IF(A510="","",SUMIF(Tickets[TripKey],A510,Tickets[PK]))</f>
        <v/>
      </c>
      <c r="H510">
        <f>IF(A510="","",IFERROR(XLOOKUP(A510,Tickets[TripKey],Tickets[VehClean]),""))</f>
        <v/>
      </c>
      <c r="I510">
        <f>IF(A510="","",IFERROR(XLOOKUP(A510,Tickets[TripKey],Tickets[RouteLen]),0))</f>
        <v/>
      </c>
      <c r="J510">
        <f>IF(A510="","",IFERROR(XLOOKUP(A510,Tickets[TripKey],Tickets[Capacity]),0))</f>
        <v/>
      </c>
      <c r="K510">
        <f>IF(A510="","",I510*J510)</f>
        <v/>
      </c>
      <c r="L510">
        <f>IF(A510="","",IFERROR(MINIFS(Tickets[Trip Start Time],Tickets[TripKey],A510),""))</f>
        <v/>
      </c>
    </row>
    <row r="511">
      <c r="B511" s="8">
        <f>IF(A511="","",IFERROR(DATEVALUE(TEXTBEFORE(A511,"|")),--LEFT(A511,10)))</f>
        <v/>
      </c>
      <c r="C511">
        <f>IF(A511="","",TEXTBEFORE(TEXTAFTER(A511,"|"),"|"))</f>
        <v/>
      </c>
      <c r="D511">
        <f>IF(A511="","",TEXTAFTER(A511,"|",2))</f>
        <v/>
      </c>
      <c r="E511">
        <f>IF(A511="","",SUMIF(Tickets[TripKey],A511,Tickets[TP]))</f>
        <v/>
      </c>
      <c r="F511">
        <f>IF(A511="","",SUMIF(Tickets[TripKey],A511,Tickets[Revenue]))</f>
        <v/>
      </c>
      <c r="G511">
        <f>IF(A511="","",SUMIF(Tickets[TripKey],A511,Tickets[PK]))</f>
        <v/>
      </c>
      <c r="H511">
        <f>IF(A511="","",IFERROR(XLOOKUP(A511,Tickets[TripKey],Tickets[VehClean]),""))</f>
        <v/>
      </c>
      <c r="I511">
        <f>IF(A511="","",IFERROR(XLOOKUP(A511,Tickets[TripKey],Tickets[RouteLen]),0))</f>
        <v/>
      </c>
      <c r="J511">
        <f>IF(A511="","",IFERROR(XLOOKUP(A511,Tickets[TripKey],Tickets[Capacity]),0))</f>
        <v/>
      </c>
      <c r="K511">
        <f>IF(A511="","",I511*J511)</f>
        <v/>
      </c>
      <c r="L511">
        <f>IF(A511="","",IFERROR(MINIFS(Tickets[Trip Start Time],Tickets[TripKey],A511),""))</f>
        <v/>
      </c>
    </row>
    <row r="512">
      <c r="B512" s="8">
        <f>IF(A512="","",IFERROR(DATEVALUE(TEXTBEFORE(A512,"|")),--LEFT(A512,10)))</f>
        <v/>
      </c>
      <c r="C512">
        <f>IF(A512="","",TEXTBEFORE(TEXTAFTER(A512,"|"),"|"))</f>
        <v/>
      </c>
      <c r="D512">
        <f>IF(A512="","",TEXTAFTER(A512,"|",2))</f>
        <v/>
      </c>
      <c r="E512">
        <f>IF(A512="","",SUMIF(Tickets[TripKey],A512,Tickets[TP]))</f>
        <v/>
      </c>
      <c r="F512">
        <f>IF(A512="","",SUMIF(Tickets[TripKey],A512,Tickets[Revenue]))</f>
        <v/>
      </c>
      <c r="G512">
        <f>IF(A512="","",SUMIF(Tickets[TripKey],A512,Tickets[PK]))</f>
        <v/>
      </c>
      <c r="H512">
        <f>IF(A512="","",IFERROR(XLOOKUP(A512,Tickets[TripKey],Tickets[VehClean]),""))</f>
        <v/>
      </c>
      <c r="I512">
        <f>IF(A512="","",IFERROR(XLOOKUP(A512,Tickets[TripKey],Tickets[RouteLen]),0))</f>
        <v/>
      </c>
      <c r="J512">
        <f>IF(A512="","",IFERROR(XLOOKUP(A512,Tickets[TripKey],Tickets[Capacity]),0))</f>
        <v/>
      </c>
      <c r="K512">
        <f>IF(A512="","",I512*J512)</f>
        <v/>
      </c>
      <c r="L512">
        <f>IF(A512="","",IFERROR(MINIFS(Tickets[Trip Start Time],Tickets[TripKey],A512),""))</f>
        <v/>
      </c>
    </row>
    <row r="513">
      <c r="B513" s="8">
        <f>IF(A513="","",IFERROR(DATEVALUE(TEXTBEFORE(A513,"|")),--LEFT(A513,10)))</f>
        <v/>
      </c>
      <c r="C513">
        <f>IF(A513="","",TEXTBEFORE(TEXTAFTER(A513,"|"),"|"))</f>
        <v/>
      </c>
      <c r="D513">
        <f>IF(A513="","",TEXTAFTER(A513,"|",2))</f>
        <v/>
      </c>
      <c r="E513">
        <f>IF(A513="","",SUMIF(Tickets[TripKey],A513,Tickets[TP]))</f>
        <v/>
      </c>
      <c r="F513">
        <f>IF(A513="","",SUMIF(Tickets[TripKey],A513,Tickets[Revenue]))</f>
        <v/>
      </c>
      <c r="G513">
        <f>IF(A513="","",SUMIF(Tickets[TripKey],A513,Tickets[PK]))</f>
        <v/>
      </c>
      <c r="H513">
        <f>IF(A513="","",IFERROR(XLOOKUP(A513,Tickets[TripKey],Tickets[VehClean]),""))</f>
        <v/>
      </c>
      <c r="I513">
        <f>IF(A513="","",IFERROR(XLOOKUP(A513,Tickets[TripKey],Tickets[RouteLen]),0))</f>
        <v/>
      </c>
      <c r="J513">
        <f>IF(A513="","",IFERROR(XLOOKUP(A513,Tickets[TripKey],Tickets[Capacity]),0))</f>
        <v/>
      </c>
      <c r="K513">
        <f>IF(A513="","",I513*J513)</f>
        <v/>
      </c>
      <c r="L513">
        <f>IF(A513="","",IFERROR(MINIFS(Tickets[Trip Start Time],Tickets[TripKey],A513),""))</f>
        <v/>
      </c>
    </row>
    <row r="514">
      <c r="B514" s="8">
        <f>IF(A514="","",IFERROR(DATEVALUE(TEXTBEFORE(A514,"|")),--LEFT(A514,10)))</f>
        <v/>
      </c>
      <c r="C514">
        <f>IF(A514="","",TEXTBEFORE(TEXTAFTER(A514,"|"),"|"))</f>
        <v/>
      </c>
      <c r="D514">
        <f>IF(A514="","",TEXTAFTER(A514,"|",2))</f>
        <v/>
      </c>
      <c r="E514">
        <f>IF(A514="","",SUMIF(Tickets[TripKey],A514,Tickets[TP]))</f>
        <v/>
      </c>
      <c r="F514">
        <f>IF(A514="","",SUMIF(Tickets[TripKey],A514,Tickets[Revenue]))</f>
        <v/>
      </c>
      <c r="G514">
        <f>IF(A514="","",SUMIF(Tickets[TripKey],A514,Tickets[PK]))</f>
        <v/>
      </c>
      <c r="H514">
        <f>IF(A514="","",IFERROR(XLOOKUP(A514,Tickets[TripKey],Tickets[VehClean]),""))</f>
        <v/>
      </c>
      <c r="I514">
        <f>IF(A514="","",IFERROR(XLOOKUP(A514,Tickets[TripKey],Tickets[RouteLen]),0))</f>
        <v/>
      </c>
      <c r="J514">
        <f>IF(A514="","",IFERROR(XLOOKUP(A514,Tickets[TripKey],Tickets[Capacity]),0))</f>
        <v/>
      </c>
      <c r="K514">
        <f>IF(A514="","",I514*J514)</f>
        <v/>
      </c>
      <c r="L514">
        <f>IF(A514="","",IFERROR(MINIFS(Tickets[Trip Start Time],Tickets[TripKey],A514),""))</f>
        <v/>
      </c>
    </row>
    <row r="515">
      <c r="B515" s="8">
        <f>IF(A515="","",IFERROR(DATEVALUE(TEXTBEFORE(A515,"|")),--LEFT(A515,10)))</f>
        <v/>
      </c>
      <c r="C515">
        <f>IF(A515="","",TEXTBEFORE(TEXTAFTER(A515,"|"),"|"))</f>
        <v/>
      </c>
      <c r="D515">
        <f>IF(A515="","",TEXTAFTER(A515,"|",2))</f>
        <v/>
      </c>
      <c r="E515">
        <f>IF(A515="","",SUMIF(Tickets[TripKey],A515,Tickets[TP]))</f>
        <v/>
      </c>
      <c r="F515">
        <f>IF(A515="","",SUMIF(Tickets[TripKey],A515,Tickets[Revenue]))</f>
        <v/>
      </c>
      <c r="G515">
        <f>IF(A515="","",SUMIF(Tickets[TripKey],A515,Tickets[PK]))</f>
        <v/>
      </c>
      <c r="H515">
        <f>IF(A515="","",IFERROR(XLOOKUP(A515,Tickets[TripKey],Tickets[VehClean]),""))</f>
        <v/>
      </c>
      <c r="I515">
        <f>IF(A515="","",IFERROR(XLOOKUP(A515,Tickets[TripKey],Tickets[RouteLen]),0))</f>
        <v/>
      </c>
      <c r="J515">
        <f>IF(A515="","",IFERROR(XLOOKUP(A515,Tickets[TripKey],Tickets[Capacity]),0))</f>
        <v/>
      </c>
      <c r="K515">
        <f>IF(A515="","",I515*J515)</f>
        <v/>
      </c>
      <c r="L515">
        <f>IF(A515="","",IFERROR(MINIFS(Tickets[Trip Start Time],Tickets[TripKey],A515),""))</f>
        <v/>
      </c>
    </row>
    <row r="516">
      <c r="B516" s="8">
        <f>IF(A516="","",IFERROR(DATEVALUE(TEXTBEFORE(A516,"|")),--LEFT(A516,10)))</f>
        <v/>
      </c>
      <c r="C516">
        <f>IF(A516="","",TEXTBEFORE(TEXTAFTER(A516,"|"),"|"))</f>
        <v/>
      </c>
      <c r="D516">
        <f>IF(A516="","",TEXTAFTER(A516,"|",2))</f>
        <v/>
      </c>
      <c r="E516">
        <f>IF(A516="","",SUMIF(Tickets[TripKey],A516,Tickets[TP]))</f>
        <v/>
      </c>
      <c r="F516">
        <f>IF(A516="","",SUMIF(Tickets[TripKey],A516,Tickets[Revenue]))</f>
        <v/>
      </c>
      <c r="G516">
        <f>IF(A516="","",SUMIF(Tickets[TripKey],A516,Tickets[PK]))</f>
        <v/>
      </c>
      <c r="H516">
        <f>IF(A516="","",IFERROR(XLOOKUP(A516,Tickets[TripKey],Tickets[VehClean]),""))</f>
        <v/>
      </c>
      <c r="I516">
        <f>IF(A516="","",IFERROR(XLOOKUP(A516,Tickets[TripKey],Tickets[RouteLen]),0))</f>
        <v/>
      </c>
      <c r="J516">
        <f>IF(A516="","",IFERROR(XLOOKUP(A516,Tickets[TripKey],Tickets[Capacity]),0))</f>
        <v/>
      </c>
      <c r="K516">
        <f>IF(A516="","",I516*J516)</f>
        <v/>
      </c>
      <c r="L516">
        <f>IF(A516="","",IFERROR(MINIFS(Tickets[Trip Start Time],Tickets[TripKey],A516),""))</f>
        <v/>
      </c>
    </row>
    <row r="517">
      <c r="B517" s="8">
        <f>IF(A517="","",IFERROR(DATEVALUE(TEXTBEFORE(A517,"|")),--LEFT(A517,10)))</f>
        <v/>
      </c>
      <c r="C517">
        <f>IF(A517="","",TEXTBEFORE(TEXTAFTER(A517,"|"),"|"))</f>
        <v/>
      </c>
      <c r="D517">
        <f>IF(A517="","",TEXTAFTER(A517,"|",2))</f>
        <v/>
      </c>
      <c r="E517">
        <f>IF(A517="","",SUMIF(Tickets[TripKey],A517,Tickets[TP]))</f>
        <v/>
      </c>
      <c r="F517">
        <f>IF(A517="","",SUMIF(Tickets[TripKey],A517,Tickets[Revenue]))</f>
        <v/>
      </c>
      <c r="G517">
        <f>IF(A517="","",SUMIF(Tickets[TripKey],A517,Tickets[PK]))</f>
        <v/>
      </c>
      <c r="H517">
        <f>IF(A517="","",IFERROR(XLOOKUP(A517,Tickets[TripKey],Tickets[VehClean]),""))</f>
        <v/>
      </c>
      <c r="I517">
        <f>IF(A517="","",IFERROR(XLOOKUP(A517,Tickets[TripKey],Tickets[RouteLen]),0))</f>
        <v/>
      </c>
      <c r="J517">
        <f>IF(A517="","",IFERROR(XLOOKUP(A517,Tickets[TripKey],Tickets[Capacity]),0))</f>
        <v/>
      </c>
      <c r="K517">
        <f>IF(A517="","",I517*J517)</f>
        <v/>
      </c>
      <c r="L517">
        <f>IF(A517="","",IFERROR(MINIFS(Tickets[Trip Start Time],Tickets[TripKey],A517),""))</f>
        <v/>
      </c>
    </row>
    <row r="518">
      <c r="B518" s="8">
        <f>IF(A518="","",IFERROR(DATEVALUE(TEXTBEFORE(A518,"|")),--LEFT(A518,10)))</f>
        <v/>
      </c>
      <c r="C518">
        <f>IF(A518="","",TEXTBEFORE(TEXTAFTER(A518,"|"),"|"))</f>
        <v/>
      </c>
      <c r="D518">
        <f>IF(A518="","",TEXTAFTER(A518,"|",2))</f>
        <v/>
      </c>
      <c r="E518">
        <f>IF(A518="","",SUMIF(Tickets[TripKey],A518,Tickets[TP]))</f>
        <v/>
      </c>
      <c r="F518">
        <f>IF(A518="","",SUMIF(Tickets[TripKey],A518,Tickets[Revenue]))</f>
        <v/>
      </c>
      <c r="G518">
        <f>IF(A518="","",SUMIF(Tickets[TripKey],A518,Tickets[PK]))</f>
        <v/>
      </c>
      <c r="H518">
        <f>IF(A518="","",IFERROR(XLOOKUP(A518,Tickets[TripKey],Tickets[VehClean]),""))</f>
        <v/>
      </c>
      <c r="I518">
        <f>IF(A518="","",IFERROR(XLOOKUP(A518,Tickets[TripKey],Tickets[RouteLen]),0))</f>
        <v/>
      </c>
      <c r="J518">
        <f>IF(A518="","",IFERROR(XLOOKUP(A518,Tickets[TripKey],Tickets[Capacity]),0))</f>
        <v/>
      </c>
      <c r="K518">
        <f>IF(A518="","",I518*J518)</f>
        <v/>
      </c>
      <c r="L518">
        <f>IF(A518="","",IFERROR(MINIFS(Tickets[Trip Start Time],Tickets[TripKey],A518),""))</f>
        <v/>
      </c>
    </row>
    <row r="519">
      <c r="B519" s="8">
        <f>IF(A519="","",IFERROR(DATEVALUE(TEXTBEFORE(A519,"|")),--LEFT(A519,10)))</f>
        <v/>
      </c>
      <c r="C519">
        <f>IF(A519="","",TEXTBEFORE(TEXTAFTER(A519,"|"),"|"))</f>
        <v/>
      </c>
      <c r="D519">
        <f>IF(A519="","",TEXTAFTER(A519,"|",2))</f>
        <v/>
      </c>
      <c r="E519">
        <f>IF(A519="","",SUMIF(Tickets[TripKey],A519,Tickets[TP]))</f>
        <v/>
      </c>
      <c r="F519">
        <f>IF(A519="","",SUMIF(Tickets[TripKey],A519,Tickets[Revenue]))</f>
        <v/>
      </c>
      <c r="G519">
        <f>IF(A519="","",SUMIF(Tickets[TripKey],A519,Tickets[PK]))</f>
        <v/>
      </c>
      <c r="H519">
        <f>IF(A519="","",IFERROR(XLOOKUP(A519,Tickets[TripKey],Tickets[VehClean]),""))</f>
        <v/>
      </c>
      <c r="I519">
        <f>IF(A519="","",IFERROR(XLOOKUP(A519,Tickets[TripKey],Tickets[RouteLen]),0))</f>
        <v/>
      </c>
      <c r="J519">
        <f>IF(A519="","",IFERROR(XLOOKUP(A519,Tickets[TripKey],Tickets[Capacity]),0))</f>
        <v/>
      </c>
      <c r="K519">
        <f>IF(A519="","",I519*J519)</f>
        <v/>
      </c>
      <c r="L519">
        <f>IF(A519="","",IFERROR(MINIFS(Tickets[Trip Start Time],Tickets[TripKey],A519),""))</f>
        <v/>
      </c>
    </row>
    <row r="520">
      <c r="B520" s="8">
        <f>IF(A520="","",IFERROR(DATEVALUE(TEXTBEFORE(A520,"|")),--LEFT(A520,10)))</f>
        <v/>
      </c>
      <c r="C520">
        <f>IF(A520="","",TEXTBEFORE(TEXTAFTER(A520,"|"),"|"))</f>
        <v/>
      </c>
      <c r="D520">
        <f>IF(A520="","",TEXTAFTER(A520,"|",2))</f>
        <v/>
      </c>
      <c r="E520">
        <f>IF(A520="","",SUMIF(Tickets[TripKey],A520,Tickets[TP]))</f>
        <v/>
      </c>
      <c r="F520">
        <f>IF(A520="","",SUMIF(Tickets[TripKey],A520,Tickets[Revenue]))</f>
        <v/>
      </c>
      <c r="G520">
        <f>IF(A520="","",SUMIF(Tickets[TripKey],A520,Tickets[PK]))</f>
        <v/>
      </c>
      <c r="H520">
        <f>IF(A520="","",IFERROR(XLOOKUP(A520,Tickets[TripKey],Tickets[VehClean]),""))</f>
        <v/>
      </c>
      <c r="I520">
        <f>IF(A520="","",IFERROR(XLOOKUP(A520,Tickets[TripKey],Tickets[RouteLen]),0))</f>
        <v/>
      </c>
      <c r="J520">
        <f>IF(A520="","",IFERROR(XLOOKUP(A520,Tickets[TripKey],Tickets[Capacity]),0))</f>
        <v/>
      </c>
      <c r="K520">
        <f>IF(A520="","",I520*J520)</f>
        <v/>
      </c>
      <c r="L520">
        <f>IF(A520="","",IFERROR(MINIFS(Tickets[Trip Start Time],Tickets[TripKey],A520),""))</f>
        <v/>
      </c>
    </row>
    <row r="521">
      <c r="B521" s="8">
        <f>IF(A521="","",IFERROR(DATEVALUE(TEXTBEFORE(A521,"|")),--LEFT(A521,10)))</f>
        <v/>
      </c>
      <c r="C521">
        <f>IF(A521="","",TEXTBEFORE(TEXTAFTER(A521,"|"),"|"))</f>
        <v/>
      </c>
      <c r="D521">
        <f>IF(A521="","",TEXTAFTER(A521,"|",2))</f>
        <v/>
      </c>
      <c r="E521">
        <f>IF(A521="","",SUMIF(Tickets[TripKey],A521,Tickets[TP]))</f>
        <v/>
      </c>
      <c r="F521">
        <f>IF(A521="","",SUMIF(Tickets[TripKey],A521,Tickets[Revenue]))</f>
        <v/>
      </c>
      <c r="G521">
        <f>IF(A521="","",SUMIF(Tickets[TripKey],A521,Tickets[PK]))</f>
        <v/>
      </c>
      <c r="H521">
        <f>IF(A521="","",IFERROR(XLOOKUP(A521,Tickets[TripKey],Tickets[VehClean]),""))</f>
        <v/>
      </c>
      <c r="I521">
        <f>IF(A521="","",IFERROR(XLOOKUP(A521,Tickets[TripKey],Tickets[RouteLen]),0))</f>
        <v/>
      </c>
      <c r="J521">
        <f>IF(A521="","",IFERROR(XLOOKUP(A521,Tickets[TripKey],Tickets[Capacity]),0))</f>
        <v/>
      </c>
      <c r="K521">
        <f>IF(A521="","",I521*J521)</f>
        <v/>
      </c>
      <c r="L521">
        <f>IF(A521="","",IFERROR(MINIFS(Tickets[Trip Start Time],Tickets[TripKey],A521),""))</f>
        <v/>
      </c>
    </row>
    <row r="522">
      <c r="B522" s="8">
        <f>IF(A522="","",IFERROR(DATEVALUE(TEXTBEFORE(A522,"|")),--LEFT(A522,10)))</f>
        <v/>
      </c>
      <c r="C522">
        <f>IF(A522="","",TEXTBEFORE(TEXTAFTER(A522,"|"),"|"))</f>
        <v/>
      </c>
      <c r="D522">
        <f>IF(A522="","",TEXTAFTER(A522,"|",2))</f>
        <v/>
      </c>
      <c r="E522">
        <f>IF(A522="","",SUMIF(Tickets[TripKey],A522,Tickets[TP]))</f>
        <v/>
      </c>
      <c r="F522">
        <f>IF(A522="","",SUMIF(Tickets[TripKey],A522,Tickets[Revenue]))</f>
        <v/>
      </c>
      <c r="G522">
        <f>IF(A522="","",SUMIF(Tickets[TripKey],A522,Tickets[PK]))</f>
        <v/>
      </c>
      <c r="H522">
        <f>IF(A522="","",IFERROR(XLOOKUP(A522,Tickets[TripKey],Tickets[VehClean]),""))</f>
        <v/>
      </c>
      <c r="I522">
        <f>IF(A522="","",IFERROR(XLOOKUP(A522,Tickets[TripKey],Tickets[RouteLen]),0))</f>
        <v/>
      </c>
      <c r="J522">
        <f>IF(A522="","",IFERROR(XLOOKUP(A522,Tickets[TripKey],Tickets[Capacity]),0))</f>
        <v/>
      </c>
      <c r="K522">
        <f>IF(A522="","",I522*J522)</f>
        <v/>
      </c>
      <c r="L522">
        <f>IF(A522="","",IFERROR(MINIFS(Tickets[Trip Start Time],Tickets[TripKey],A522),""))</f>
        <v/>
      </c>
    </row>
    <row r="523">
      <c r="B523" s="8">
        <f>IF(A523="","",IFERROR(DATEVALUE(TEXTBEFORE(A523,"|")),--LEFT(A523,10)))</f>
        <v/>
      </c>
      <c r="C523">
        <f>IF(A523="","",TEXTBEFORE(TEXTAFTER(A523,"|"),"|"))</f>
        <v/>
      </c>
      <c r="D523">
        <f>IF(A523="","",TEXTAFTER(A523,"|",2))</f>
        <v/>
      </c>
      <c r="E523">
        <f>IF(A523="","",SUMIF(Tickets[TripKey],A523,Tickets[TP]))</f>
        <v/>
      </c>
      <c r="F523">
        <f>IF(A523="","",SUMIF(Tickets[TripKey],A523,Tickets[Revenue]))</f>
        <v/>
      </c>
      <c r="G523">
        <f>IF(A523="","",SUMIF(Tickets[TripKey],A523,Tickets[PK]))</f>
        <v/>
      </c>
      <c r="H523">
        <f>IF(A523="","",IFERROR(XLOOKUP(A523,Tickets[TripKey],Tickets[VehClean]),""))</f>
        <v/>
      </c>
      <c r="I523">
        <f>IF(A523="","",IFERROR(XLOOKUP(A523,Tickets[TripKey],Tickets[RouteLen]),0))</f>
        <v/>
      </c>
      <c r="J523">
        <f>IF(A523="","",IFERROR(XLOOKUP(A523,Tickets[TripKey],Tickets[Capacity]),0))</f>
        <v/>
      </c>
      <c r="K523">
        <f>IF(A523="","",I523*J523)</f>
        <v/>
      </c>
      <c r="L523">
        <f>IF(A523="","",IFERROR(MINIFS(Tickets[Trip Start Time],Tickets[TripKey],A523),""))</f>
        <v/>
      </c>
    </row>
    <row r="524">
      <c r="B524" s="8">
        <f>IF(A524="","",IFERROR(DATEVALUE(TEXTBEFORE(A524,"|")),--LEFT(A524,10)))</f>
        <v/>
      </c>
      <c r="C524">
        <f>IF(A524="","",TEXTBEFORE(TEXTAFTER(A524,"|"),"|"))</f>
        <v/>
      </c>
      <c r="D524">
        <f>IF(A524="","",TEXTAFTER(A524,"|",2))</f>
        <v/>
      </c>
      <c r="E524">
        <f>IF(A524="","",SUMIF(Tickets[TripKey],A524,Tickets[TP]))</f>
        <v/>
      </c>
      <c r="F524">
        <f>IF(A524="","",SUMIF(Tickets[TripKey],A524,Tickets[Revenue]))</f>
        <v/>
      </c>
      <c r="G524">
        <f>IF(A524="","",SUMIF(Tickets[TripKey],A524,Tickets[PK]))</f>
        <v/>
      </c>
      <c r="H524">
        <f>IF(A524="","",IFERROR(XLOOKUP(A524,Tickets[TripKey],Tickets[VehClean]),""))</f>
        <v/>
      </c>
      <c r="I524">
        <f>IF(A524="","",IFERROR(XLOOKUP(A524,Tickets[TripKey],Tickets[RouteLen]),0))</f>
        <v/>
      </c>
      <c r="J524">
        <f>IF(A524="","",IFERROR(XLOOKUP(A524,Tickets[TripKey],Tickets[Capacity]),0))</f>
        <v/>
      </c>
      <c r="K524">
        <f>IF(A524="","",I524*J524)</f>
        <v/>
      </c>
      <c r="L524">
        <f>IF(A524="","",IFERROR(MINIFS(Tickets[Trip Start Time],Tickets[TripKey],A524),""))</f>
        <v/>
      </c>
    </row>
    <row r="525">
      <c r="B525" s="8">
        <f>IF(A525="","",IFERROR(DATEVALUE(TEXTBEFORE(A525,"|")),--LEFT(A525,10)))</f>
        <v/>
      </c>
      <c r="C525">
        <f>IF(A525="","",TEXTBEFORE(TEXTAFTER(A525,"|"),"|"))</f>
        <v/>
      </c>
      <c r="D525">
        <f>IF(A525="","",TEXTAFTER(A525,"|",2))</f>
        <v/>
      </c>
      <c r="E525">
        <f>IF(A525="","",SUMIF(Tickets[TripKey],A525,Tickets[TP]))</f>
        <v/>
      </c>
      <c r="F525">
        <f>IF(A525="","",SUMIF(Tickets[TripKey],A525,Tickets[Revenue]))</f>
        <v/>
      </c>
      <c r="G525">
        <f>IF(A525="","",SUMIF(Tickets[TripKey],A525,Tickets[PK]))</f>
        <v/>
      </c>
      <c r="H525">
        <f>IF(A525="","",IFERROR(XLOOKUP(A525,Tickets[TripKey],Tickets[VehClean]),""))</f>
        <v/>
      </c>
      <c r="I525">
        <f>IF(A525="","",IFERROR(XLOOKUP(A525,Tickets[TripKey],Tickets[RouteLen]),0))</f>
        <v/>
      </c>
      <c r="J525">
        <f>IF(A525="","",IFERROR(XLOOKUP(A525,Tickets[TripKey],Tickets[Capacity]),0))</f>
        <v/>
      </c>
      <c r="K525">
        <f>IF(A525="","",I525*J525)</f>
        <v/>
      </c>
      <c r="L525">
        <f>IF(A525="","",IFERROR(MINIFS(Tickets[Trip Start Time],Tickets[TripKey],A525),""))</f>
        <v/>
      </c>
    </row>
    <row r="526">
      <c r="B526" s="8">
        <f>IF(A526="","",IFERROR(DATEVALUE(TEXTBEFORE(A526,"|")),--LEFT(A526,10)))</f>
        <v/>
      </c>
      <c r="C526">
        <f>IF(A526="","",TEXTBEFORE(TEXTAFTER(A526,"|"),"|"))</f>
        <v/>
      </c>
      <c r="D526">
        <f>IF(A526="","",TEXTAFTER(A526,"|",2))</f>
        <v/>
      </c>
      <c r="E526">
        <f>IF(A526="","",SUMIF(Tickets[TripKey],A526,Tickets[TP]))</f>
        <v/>
      </c>
      <c r="F526">
        <f>IF(A526="","",SUMIF(Tickets[TripKey],A526,Tickets[Revenue]))</f>
        <v/>
      </c>
      <c r="G526">
        <f>IF(A526="","",SUMIF(Tickets[TripKey],A526,Tickets[PK]))</f>
        <v/>
      </c>
      <c r="H526">
        <f>IF(A526="","",IFERROR(XLOOKUP(A526,Tickets[TripKey],Tickets[VehClean]),""))</f>
        <v/>
      </c>
      <c r="I526">
        <f>IF(A526="","",IFERROR(XLOOKUP(A526,Tickets[TripKey],Tickets[RouteLen]),0))</f>
        <v/>
      </c>
      <c r="J526">
        <f>IF(A526="","",IFERROR(XLOOKUP(A526,Tickets[TripKey],Tickets[Capacity]),0))</f>
        <v/>
      </c>
      <c r="K526">
        <f>IF(A526="","",I526*J526)</f>
        <v/>
      </c>
      <c r="L526">
        <f>IF(A526="","",IFERROR(MINIFS(Tickets[Trip Start Time],Tickets[TripKey],A526),""))</f>
        <v/>
      </c>
    </row>
    <row r="527">
      <c r="B527" s="8">
        <f>IF(A527="","",IFERROR(DATEVALUE(TEXTBEFORE(A527,"|")),--LEFT(A527,10)))</f>
        <v/>
      </c>
      <c r="C527">
        <f>IF(A527="","",TEXTBEFORE(TEXTAFTER(A527,"|"),"|"))</f>
        <v/>
      </c>
      <c r="D527">
        <f>IF(A527="","",TEXTAFTER(A527,"|",2))</f>
        <v/>
      </c>
      <c r="E527">
        <f>IF(A527="","",SUMIF(Tickets[TripKey],A527,Tickets[TP]))</f>
        <v/>
      </c>
      <c r="F527">
        <f>IF(A527="","",SUMIF(Tickets[TripKey],A527,Tickets[Revenue]))</f>
        <v/>
      </c>
      <c r="G527">
        <f>IF(A527="","",SUMIF(Tickets[TripKey],A527,Tickets[PK]))</f>
        <v/>
      </c>
      <c r="H527">
        <f>IF(A527="","",IFERROR(XLOOKUP(A527,Tickets[TripKey],Tickets[VehClean]),""))</f>
        <v/>
      </c>
      <c r="I527">
        <f>IF(A527="","",IFERROR(XLOOKUP(A527,Tickets[TripKey],Tickets[RouteLen]),0))</f>
        <v/>
      </c>
      <c r="J527">
        <f>IF(A527="","",IFERROR(XLOOKUP(A527,Tickets[TripKey],Tickets[Capacity]),0))</f>
        <v/>
      </c>
      <c r="K527">
        <f>IF(A527="","",I527*J527)</f>
        <v/>
      </c>
      <c r="L527">
        <f>IF(A527="","",IFERROR(MINIFS(Tickets[Trip Start Time],Tickets[TripKey],A527),""))</f>
        <v/>
      </c>
    </row>
    <row r="528">
      <c r="B528" s="8">
        <f>IF(A528="","",IFERROR(DATEVALUE(TEXTBEFORE(A528,"|")),--LEFT(A528,10)))</f>
        <v/>
      </c>
      <c r="C528">
        <f>IF(A528="","",TEXTBEFORE(TEXTAFTER(A528,"|"),"|"))</f>
        <v/>
      </c>
      <c r="D528">
        <f>IF(A528="","",TEXTAFTER(A528,"|",2))</f>
        <v/>
      </c>
      <c r="E528">
        <f>IF(A528="","",SUMIF(Tickets[TripKey],A528,Tickets[TP]))</f>
        <v/>
      </c>
      <c r="F528">
        <f>IF(A528="","",SUMIF(Tickets[TripKey],A528,Tickets[Revenue]))</f>
        <v/>
      </c>
      <c r="G528">
        <f>IF(A528="","",SUMIF(Tickets[TripKey],A528,Tickets[PK]))</f>
        <v/>
      </c>
      <c r="H528">
        <f>IF(A528="","",IFERROR(XLOOKUP(A528,Tickets[TripKey],Tickets[VehClean]),""))</f>
        <v/>
      </c>
      <c r="I528">
        <f>IF(A528="","",IFERROR(XLOOKUP(A528,Tickets[TripKey],Tickets[RouteLen]),0))</f>
        <v/>
      </c>
      <c r="J528">
        <f>IF(A528="","",IFERROR(XLOOKUP(A528,Tickets[TripKey],Tickets[Capacity]),0))</f>
        <v/>
      </c>
      <c r="K528">
        <f>IF(A528="","",I528*J528)</f>
        <v/>
      </c>
      <c r="L528">
        <f>IF(A528="","",IFERROR(MINIFS(Tickets[Trip Start Time],Tickets[TripKey],A528),""))</f>
        <v/>
      </c>
    </row>
    <row r="529">
      <c r="B529" s="8">
        <f>IF(A529="","",IFERROR(DATEVALUE(TEXTBEFORE(A529,"|")),--LEFT(A529,10)))</f>
        <v/>
      </c>
      <c r="C529">
        <f>IF(A529="","",TEXTBEFORE(TEXTAFTER(A529,"|"),"|"))</f>
        <v/>
      </c>
      <c r="D529">
        <f>IF(A529="","",TEXTAFTER(A529,"|",2))</f>
        <v/>
      </c>
      <c r="E529">
        <f>IF(A529="","",SUMIF(Tickets[TripKey],A529,Tickets[TP]))</f>
        <v/>
      </c>
      <c r="F529">
        <f>IF(A529="","",SUMIF(Tickets[TripKey],A529,Tickets[Revenue]))</f>
        <v/>
      </c>
      <c r="G529">
        <f>IF(A529="","",SUMIF(Tickets[TripKey],A529,Tickets[PK]))</f>
        <v/>
      </c>
      <c r="H529">
        <f>IF(A529="","",IFERROR(XLOOKUP(A529,Tickets[TripKey],Tickets[VehClean]),""))</f>
        <v/>
      </c>
      <c r="I529">
        <f>IF(A529="","",IFERROR(XLOOKUP(A529,Tickets[TripKey],Tickets[RouteLen]),0))</f>
        <v/>
      </c>
      <c r="J529">
        <f>IF(A529="","",IFERROR(XLOOKUP(A529,Tickets[TripKey],Tickets[Capacity]),0))</f>
        <v/>
      </c>
      <c r="K529">
        <f>IF(A529="","",I529*J529)</f>
        <v/>
      </c>
      <c r="L529">
        <f>IF(A529="","",IFERROR(MINIFS(Tickets[Trip Start Time],Tickets[TripKey],A529),""))</f>
        <v/>
      </c>
    </row>
    <row r="530">
      <c r="B530" s="8">
        <f>IF(A530="","",IFERROR(DATEVALUE(TEXTBEFORE(A530,"|")),--LEFT(A530,10)))</f>
        <v/>
      </c>
      <c r="C530">
        <f>IF(A530="","",TEXTBEFORE(TEXTAFTER(A530,"|"),"|"))</f>
        <v/>
      </c>
      <c r="D530">
        <f>IF(A530="","",TEXTAFTER(A530,"|",2))</f>
        <v/>
      </c>
      <c r="E530">
        <f>IF(A530="","",SUMIF(Tickets[TripKey],A530,Tickets[TP]))</f>
        <v/>
      </c>
      <c r="F530">
        <f>IF(A530="","",SUMIF(Tickets[TripKey],A530,Tickets[Revenue]))</f>
        <v/>
      </c>
      <c r="G530">
        <f>IF(A530="","",SUMIF(Tickets[TripKey],A530,Tickets[PK]))</f>
        <v/>
      </c>
      <c r="H530">
        <f>IF(A530="","",IFERROR(XLOOKUP(A530,Tickets[TripKey],Tickets[VehClean]),""))</f>
        <v/>
      </c>
      <c r="I530">
        <f>IF(A530="","",IFERROR(XLOOKUP(A530,Tickets[TripKey],Tickets[RouteLen]),0))</f>
        <v/>
      </c>
      <c r="J530">
        <f>IF(A530="","",IFERROR(XLOOKUP(A530,Tickets[TripKey],Tickets[Capacity]),0))</f>
        <v/>
      </c>
      <c r="K530">
        <f>IF(A530="","",I530*J530)</f>
        <v/>
      </c>
      <c r="L530">
        <f>IF(A530="","",IFERROR(MINIFS(Tickets[Trip Start Time],Tickets[TripKey],A530),""))</f>
        <v/>
      </c>
    </row>
    <row r="531">
      <c r="B531" s="8">
        <f>IF(A531="","",IFERROR(DATEVALUE(TEXTBEFORE(A531,"|")),--LEFT(A531,10)))</f>
        <v/>
      </c>
      <c r="C531">
        <f>IF(A531="","",TEXTBEFORE(TEXTAFTER(A531,"|"),"|"))</f>
        <v/>
      </c>
      <c r="D531">
        <f>IF(A531="","",TEXTAFTER(A531,"|",2))</f>
        <v/>
      </c>
      <c r="E531">
        <f>IF(A531="","",SUMIF(Tickets[TripKey],A531,Tickets[TP]))</f>
        <v/>
      </c>
      <c r="F531">
        <f>IF(A531="","",SUMIF(Tickets[TripKey],A531,Tickets[Revenue]))</f>
        <v/>
      </c>
      <c r="G531">
        <f>IF(A531="","",SUMIF(Tickets[TripKey],A531,Tickets[PK]))</f>
        <v/>
      </c>
      <c r="H531">
        <f>IF(A531="","",IFERROR(XLOOKUP(A531,Tickets[TripKey],Tickets[VehClean]),""))</f>
        <v/>
      </c>
      <c r="I531">
        <f>IF(A531="","",IFERROR(XLOOKUP(A531,Tickets[TripKey],Tickets[RouteLen]),0))</f>
        <v/>
      </c>
      <c r="J531">
        <f>IF(A531="","",IFERROR(XLOOKUP(A531,Tickets[TripKey],Tickets[Capacity]),0))</f>
        <v/>
      </c>
      <c r="K531">
        <f>IF(A531="","",I531*J531)</f>
        <v/>
      </c>
      <c r="L531">
        <f>IF(A531="","",IFERROR(MINIFS(Tickets[Trip Start Time],Tickets[TripKey],A531),""))</f>
        <v/>
      </c>
    </row>
    <row r="532">
      <c r="B532" s="8">
        <f>IF(A532="","",IFERROR(DATEVALUE(TEXTBEFORE(A532,"|")),--LEFT(A532,10)))</f>
        <v/>
      </c>
      <c r="C532">
        <f>IF(A532="","",TEXTBEFORE(TEXTAFTER(A532,"|"),"|"))</f>
        <v/>
      </c>
      <c r="D532">
        <f>IF(A532="","",TEXTAFTER(A532,"|",2))</f>
        <v/>
      </c>
      <c r="E532">
        <f>IF(A532="","",SUMIF(Tickets[TripKey],A532,Tickets[TP]))</f>
        <v/>
      </c>
      <c r="F532">
        <f>IF(A532="","",SUMIF(Tickets[TripKey],A532,Tickets[Revenue]))</f>
        <v/>
      </c>
      <c r="G532">
        <f>IF(A532="","",SUMIF(Tickets[TripKey],A532,Tickets[PK]))</f>
        <v/>
      </c>
      <c r="H532">
        <f>IF(A532="","",IFERROR(XLOOKUP(A532,Tickets[TripKey],Tickets[VehClean]),""))</f>
        <v/>
      </c>
      <c r="I532">
        <f>IF(A532="","",IFERROR(XLOOKUP(A532,Tickets[TripKey],Tickets[RouteLen]),0))</f>
        <v/>
      </c>
      <c r="J532">
        <f>IF(A532="","",IFERROR(XLOOKUP(A532,Tickets[TripKey],Tickets[Capacity]),0))</f>
        <v/>
      </c>
      <c r="K532">
        <f>IF(A532="","",I532*J532)</f>
        <v/>
      </c>
      <c r="L532">
        <f>IF(A532="","",IFERROR(MINIFS(Tickets[Trip Start Time],Tickets[TripKey],A532),""))</f>
        <v/>
      </c>
    </row>
    <row r="533">
      <c r="B533" s="8">
        <f>IF(A533="","",IFERROR(DATEVALUE(TEXTBEFORE(A533,"|")),--LEFT(A533,10)))</f>
        <v/>
      </c>
      <c r="C533">
        <f>IF(A533="","",TEXTBEFORE(TEXTAFTER(A533,"|"),"|"))</f>
        <v/>
      </c>
      <c r="D533">
        <f>IF(A533="","",TEXTAFTER(A533,"|",2))</f>
        <v/>
      </c>
      <c r="E533">
        <f>IF(A533="","",SUMIF(Tickets[TripKey],A533,Tickets[TP]))</f>
        <v/>
      </c>
      <c r="F533">
        <f>IF(A533="","",SUMIF(Tickets[TripKey],A533,Tickets[Revenue]))</f>
        <v/>
      </c>
      <c r="G533">
        <f>IF(A533="","",SUMIF(Tickets[TripKey],A533,Tickets[PK]))</f>
        <v/>
      </c>
      <c r="H533">
        <f>IF(A533="","",IFERROR(XLOOKUP(A533,Tickets[TripKey],Tickets[VehClean]),""))</f>
        <v/>
      </c>
      <c r="I533">
        <f>IF(A533="","",IFERROR(XLOOKUP(A533,Tickets[TripKey],Tickets[RouteLen]),0))</f>
        <v/>
      </c>
      <c r="J533">
        <f>IF(A533="","",IFERROR(XLOOKUP(A533,Tickets[TripKey],Tickets[Capacity]),0))</f>
        <v/>
      </c>
      <c r="K533">
        <f>IF(A533="","",I533*J533)</f>
        <v/>
      </c>
      <c r="L533">
        <f>IF(A533="","",IFERROR(MINIFS(Tickets[Trip Start Time],Tickets[TripKey],A533),""))</f>
        <v/>
      </c>
    </row>
    <row r="534">
      <c r="B534" s="8">
        <f>IF(A534="","",IFERROR(DATEVALUE(TEXTBEFORE(A534,"|")),--LEFT(A534,10)))</f>
        <v/>
      </c>
      <c r="C534">
        <f>IF(A534="","",TEXTBEFORE(TEXTAFTER(A534,"|"),"|"))</f>
        <v/>
      </c>
      <c r="D534">
        <f>IF(A534="","",TEXTAFTER(A534,"|",2))</f>
        <v/>
      </c>
      <c r="E534">
        <f>IF(A534="","",SUMIF(Tickets[TripKey],A534,Tickets[TP]))</f>
        <v/>
      </c>
      <c r="F534">
        <f>IF(A534="","",SUMIF(Tickets[TripKey],A534,Tickets[Revenue]))</f>
        <v/>
      </c>
      <c r="G534">
        <f>IF(A534="","",SUMIF(Tickets[TripKey],A534,Tickets[PK]))</f>
        <v/>
      </c>
      <c r="H534">
        <f>IF(A534="","",IFERROR(XLOOKUP(A534,Tickets[TripKey],Tickets[VehClean]),""))</f>
        <v/>
      </c>
      <c r="I534">
        <f>IF(A534="","",IFERROR(XLOOKUP(A534,Tickets[TripKey],Tickets[RouteLen]),0))</f>
        <v/>
      </c>
      <c r="J534">
        <f>IF(A534="","",IFERROR(XLOOKUP(A534,Tickets[TripKey],Tickets[Capacity]),0))</f>
        <v/>
      </c>
      <c r="K534">
        <f>IF(A534="","",I534*J534)</f>
        <v/>
      </c>
      <c r="L534">
        <f>IF(A534="","",IFERROR(MINIFS(Tickets[Trip Start Time],Tickets[TripKey],A534),""))</f>
        <v/>
      </c>
    </row>
    <row r="535">
      <c r="B535" s="8">
        <f>IF(A535="","",IFERROR(DATEVALUE(TEXTBEFORE(A535,"|")),--LEFT(A535,10)))</f>
        <v/>
      </c>
      <c r="C535">
        <f>IF(A535="","",TEXTBEFORE(TEXTAFTER(A535,"|"),"|"))</f>
        <v/>
      </c>
      <c r="D535">
        <f>IF(A535="","",TEXTAFTER(A535,"|",2))</f>
        <v/>
      </c>
      <c r="E535">
        <f>IF(A535="","",SUMIF(Tickets[TripKey],A535,Tickets[TP]))</f>
        <v/>
      </c>
      <c r="F535">
        <f>IF(A535="","",SUMIF(Tickets[TripKey],A535,Tickets[Revenue]))</f>
        <v/>
      </c>
      <c r="G535">
        <f>IF(A535="","",SUMIF(Tickets[TripKey],A535,Tickets[PK]))</f>
        <v/>
      </c>
      <c r="H535">
        <f>IF(A535="","",IFERROR(XLOOKUP(A535,Tickets[TripKey],Tickets[VehClean]),""))</f>
        <v/>
      </c>
      <c r="I535">
        <f>IF(A535="","",IFERROR(XLOOKUP(A535,Tickets[TripKey],Tickets[RouteLen]),0))</f>
        <v/>
      </c>
      <c r="J535">
        <f>IF(A535="","",IFERROR(XLOOKUP(A535,Tickets[TripKey],Tickets[Capacity]),0))</f>
        <v/>
      </c>
      <c r="K535">
        <f>IF(A535="","",I535*J535)</f>
        <v/>
      </c>
      <c r="L535">
        <f>IF(A535="","",IFERROR(MINIFS(Tickets[Trip Start Time],Tickets[TripKey],A535),""))</f>
        <v/>
      </c>
    </row>
    <row r="536">
      <c r="B536" s="8">
        <f>IF(A536="","",IFERROR(DATEVALUE(TEXTBEFORE(A536,"|")),--LEFT(A536,10)))</f>
        <v/>
      </c>
      <c r="C536">
        <f>IF(A536="","",TEXTBEFORE(TEXTAFTER(A536,"|"),"|"))</f>
        <v/>
      </c>
      <c r="D536">
        <f>IF(A536="","",TEXTAFTER(A536,"|",2))</f>
        <v/>
      </c>
      <c r="E536">
        <f>IF(A536="","",SUMIF(Tickets[TripKey],A536,Tickets[TP]))</f>
        <v/>
      </c>
      <c r="F536">
        <f>IF(A536="","",SUMIF(Tickets[TripKey],A536,Tickets[Revenue]))</f>
        <v/>
      </c>
      <c r="G536">
        <f>IF(A536="","",SUMIF(Tickets[TripKey],A536,Tickets[PK]))</f>
        <v/>
      </c>
      <c r="H536">
        <f>IF(A536="","",IFERROR(XLOOKUP(A536,Tickets[TripKey],Tickets[VehClean]),""))</f>
        <v/>
      </c>
      <c r="I536">
        <f>IF(A536="","",IFERROR(XLOOKUP(A536,Tickets[TripKey],Tickets[RouteLen]),0))</f>
        <v/>
      </c>
      <c r="J536">
        <f>IF(A536="","",IFERROR(XLOOKUP(A536,Tickets[TripKey],Tickets[Capacity]),0))</f>
        <v/>
      </c>
      <c r="K536">
        <f>IF(A536="","",I536*J536)</f>
        <v/>
      </c>
      <c r="L536">
        <f>IF(A536="","",IFERROR(MINIFS(Tickets[Trip Start Time],Tickets[TripKey],A536),""))</f>
        <v/>
      </c>
    </row>
    <row r="537">
      <c r="B537" s="8">
        <f>IF(A537="","",IFERROR(DATEVALUE(TEXTBEFORE(A537,"|")),--LEFT(A537,10)))</f>
        <v/>
      </c>
      <c r="C537">
        <f>IF(A537="","",TEXTBEFORE(TEXTAFTER(A537,"|"),"|"))</f>
        <v/>
      </c>
      <c r="D537">
        <f>IF(A537="","",TEXTAFTER(A537,"|",2))</f>
        <v/>
      </c>
      <c r="E537">
        <f>IF(A537="","",SUMIF(Tickets[TripKey],A537,Tickets[TP]))</f>
        <v/>
      </c>
      <c r="F537">
        <f>IF(A537="","",SUMIF(Tickets[TripKey],A537,Tickets[Revenue]))</f>
        <v/>
      </c>
      <c r="G537">
        <f>IF(A537="","",SUMIF(Tickets[TripKey],A537,Tickets[PK]))</f>
        <v/>
      </c>
      <c r="H537">
        <f>IF(A537="","",IFERROR(XLOOKUP(A537,Tickets[TripKey],Tickets[VehClean]),""))</f>
        <v/>
      </c>
      <c r="I537">
        <f>IF(A537="","",IFERROR(XLOOKUP(A537,Tickets[TripKey],Tickets[RouteLen]),0))</f>
        <v/>
      </c>
      <c r="J537">
        <f>IF(A537="","",IFERROR(XLOOKUP(A537,Tickets[TripKey],Tickets[Capacity]),0))</f>
        <v/>
      </c>
      <c r="K537">
        <f>IF(A537="","",I537*J537)</f>
        <v/>
      </c>
      <c r="L537">
        <f>IF(A537="","",IFERROR(MINIFS(Tickets[Trip Start Time],Tickets[TripKey],A537),""))</f>
        <v/>
      </c>
    </row>
    <row r="538">
      <c r="B538" s="8">
        <f>IF(A538="","",IFERROR(DATEVALUE(TEXTBEFORE(A538,"|")),--LEFT(A538,10)))</f>
        <v/>
      </c>
      <c r="C538">
        <f>IF(A538="","",TEXTBEFORE(TEXTAFTER(A538,"|"),"|"))</f>
        <v/>
      </c>
      <c r="D538">
        <f>IF(A538="","",TEXTAFTER(A538,"|",2))</f>
        <v/>
      </c>
      <c r="E538">
        <f>IF(A538="","",SUMIF(Tickets[TripKey],A538,Tickets[TP]))</f>
        <v/>
      </c>
      <c r="F538">
        <f>IF(A538="","",SUMIF(Tickets[TripKey],A538,Tickets[Revenue]))</f>
        <v/>
      </c>
      <c r="G538">
        <f>IF(A538="","",SUMIF(Tickets[TripKey],A538,Tickets[PK]))</f>
        <v/>
      </c>
      <c r="H538">
        <f>IF(A538="","",IFERROR(XLOOKUP(A538,Tickets[TripKey],Tickets[VehClean]),""))</f>
        <v/>
      </c>
      <c r="I538">
        <f>IF(A538="","",IFERROR(XLOOKUP(A538,Tickets[TripKey],Tickets[RouteLen]),0))</f>
        <v/>
      </c>
      <c r="J538">
        <f>IF(A538="","",IFERROR(XLOOKUP(A538,Tickets[TripKey],Tickets[Capacity]),0))</f>
        <v/>
      </c>
      <c r="K538">
        <f>IF(A538="","",I538*J538)</f>
        <v/>
      </c>
      <c r="L538">
        <f>IF(A538="","",IFERROR(MINIFS(Tickets[Trip Start Time],Tickets[TripKey],A538),""))</f>
        <v/>
      </c>
    </row>
    <row r="539">
      <c r="B539" s="8">
        <f>IF(A539="","",IFERROR(DATEVALUE(TEXTBEFORE(A539,"|")),--LEFT(A539,10)))</f>
        <v/>
      </c>
      <c r="C539">
        <f>IF(A539="","",TEXTBEFORE(TEXTAFTER(A539,"|"),"|"))</f>
        <v/>
      </c>
      <c r="D539">
        <f>IF(A539="","",TEXTAFTER(A539,"|",2))</f>
        <v/>
      </c>
      <c r="E539">
        <f>IF(A539="","",SUMIF(Tickets[TripKey],A539,Tickets[TP]))</f>
        <v/>
      </c>
      <c r="F539">
        <f>IF(A539="","",SUMIF(Tickets[TripKey],A539,Tickets[Revenue]))</f>
        <v/>
      </c>
      <c r="G539">
        <f>IF(A539="","",SUMIF(Tickets[TripKey],A539,Tickets[PK]))</f>
        <v/>
      </c>
      <c r="H539">
        <f>IF(A539="","",IFERROR(XLOOKUP(A539,Tickets[TripKey],Tickets[VehClean]),""))</f>
        <v/>
      </c>
      <c r="I539">
        <f>IF(A539="","",IFERROR(XLOOKUP(A539,Tickets[TripKey],Tickets[RouteLen]),0))</f>
        <v/>
      </c>
      <c r="J539">
        <f>IF(A539="","",IFERROR(XLOOKUP(A539,Tickets[TripKey],Tickets[Capacity]),0))</f>
        <v/>
      </c>
      <c r="K539">
        <f>IF(A539="","",I539*J539)</f>
        <v/>
      </c>
      <c r="L539">
        <f>IF(A539="","",IFERROR(MINIFS(Tickets[Trip Start Time],Tickets[TripKey],A539),""))</f>
        <v/>
      </c>
    </row>
    <row r="540">
      <c r="B540" s="8">
        <f>IF(A540="","",IFERROR(DATEVALUE(TEXTBEFORE(A540,"|")),--LEFT(A540,10)))</f>
        <v/>
      </c>
      <c r="C540">
        <f>IF(A540="","",TEXTBEFORE(TEXTAFTER(A540,"|"),"|"))</f>
        <v/>
      </c>
      <c r="D540">
        <f>IF(A540="","",TEXTAFTER(A540,"|",2))</f>
        <v/>
      </c>
      <c r="E540">
        <f>IF(A540="","",SUMIF(Tickets[TripKey],A540,Tickets[TP]))</f>
        <v/>
      </c>
      <c r="F540">
        <f>IF(A540="","",SUMIF(Tickets[TripKey],A540,Tickets[Revenue]))</f>
        <v/>
      </c>
      <c r="G540">
        <f>IF(A540="","",SUMIF(Tickets[TripKey],A540,Tickets[PK]))</f>
        <v/>
      </c>
      <c r="H540">
        <f>IF(A540="","",IFERROR(XLOOKUP(A540,Tickets[TripKey],Tickets[VehClean]),""))</f>
        <v/>
      </c>
      <c r="I540">
        <f>IF(A540="","",IFERROR(XLOOKUP(A540,Tickets[TripKey],Tickets[RouteLen]),0))</f>
        <v/>
      </c>
      <c r="J540">
        <f>IF(A540="","",IFERROR(XLOOKUP(A540,Tickets[TripKey],Tickets[Capacity]),0))</f>
        <v/>
      </c>
      <c r="K540">
        <f>IF(A540="","",I540*J540)</f>
        <v/>
      </c>
      <c r="L540">
        <f>IF(A540="","",IFERROR(MINIFS(Tickets[Trip Start Time],Tickets[TripKey],A540),""))</f>
        <v/>
      </c>
    </row>
    <row r="541">
      <c r="B541" s="8">
        <f>IF(A541="","",IFERROR(DATEVALUE(TEXTBEFORE(A541,"|")),--LEFT(A541,10)))</f>
        <v/>
      </c>
      <c r="C541">
        <f>IF(A541="","",TEXTBEFORE(TEXTAFTER(A541,"|"),"|"))</f>
        <v/>
      </c>
      <c r="D541">
        <f>IF(A541="","",TEXTAFTER(A541,"|",2))</f>
        <v/>
      </c>
      <c r="E541">
        <f>IF(A541="","",SUMIF(Tickets[TripKey],A541,Tickets[TP]))</f>
        <v/>
      </c>
      <c r="F541">
        <f>IF(A541="","",SUMIF(Tickets[TripKey],A541,Tickets[Revenue]))</f>
        <v/>
      </c>
      <c r="G541">
        <f>IF(A541="","",SUMIF(Tickets[TripKey],A541,Tickets[PK]))</f>
        <v/>
      </c>
      <c r="H541">
        <f>IF(A541="","",IFERROR(XLOOKUP(A541,Tickets[TripKey],Tickets[VehClean]),""))</f>
        <v/>
      </c>
      <c r="I541">
        <f>IF(A541="","",IFERROR(XLOOKUP(A541,Tickets[TripKey],Tickets[RouteLen]),0))</f>
        <v/>
      </c>
      <c r="J541">
        <f>IF(A541="","",IFERROR(XLOOKUP(A541,Tickets[TripKey],Tickets[Capacity]),0))</f>
        <v/>
      </c>
      <c r="K541">
        <f>IF(A541="","",I541*J541)</f>
        <v/>
      </c>
      <c r="L541">
        <f>IF(A541="","",IFERROR(MINIFS(Tickets[Trip Start Time],Tickets[TripKey],A541),""))</f>
        <v/>
      </c>
    </row>
    <row r="542">
      <c r="B542" s="8">
        <f>IF(A542="","",IFERROR(DATEVALUE(TEXTBEFORE(A542,"|")),--LEFT(A542,10)))</f>
        <v/>
      </c>
      <c r="C542">
        <f>IF(A542="","",TEXTBEFORE(TEXTAFTER(A542,"|"),"|"))</f>
        <v/>
      </c>
      <c r="D542">
        <f>IF(A542="","",TEXTAFTER(A542,"|",2))</f>
        <v/>
      </c>
      <c r="E542">
        <f>IF(A542="","",SUMIF(Tickets[TripKey],A542,Tickets[TP]))</f>
        <v/>
      </c>
      <c r="F542">
        <f>IF(A542="","",SUMIF(Tickets[TripKey],A542,Tickets[Revenue]))</f>
        <v/>
      </c>
      <c r="G542">
        <f>IF(A542="","",SUMIF(Tickets[TripKey],A542,Tickets[PK]))</f>
        <v/>
      </c>
      <c r="H542">
        <f>IF(A542="","",IFERROR(XLOOKUP(A542,Tickets[TripKey],Tickets[VehClean]),""))</f>
        <v/>
      </c>
      <c r="I542">
        <f>IF(A542="","",IFERROR(XLOOKUP(A542,Tickets[TripKey],Tickets[RouteLen]),0))</f>
        <v/>
      </c>
      <c r="J542">
        <f>IF(A542="","",IFERROR(XLOOKUP(A542,Tickets[TripKey],Tickets[Capacity]),0))</f>
        <v/>
      </c>
      <c r="K542">
        <f>IF(A542="","",I542*J542)</f>
        <v/>
      </c>
      <c r="L542">
        <f>IF(A542="","",IFERROR(MINIFS(Tickets[Trip Start Time],Tickets[TripKey],A542),""))</f>
        <v/>
      </c>
    </row>
    <row r="543">
      <c r="B543" s="8">
        <f>IF(A543="","",IFERROR(DATEVALUE(TEXTBEFORE(A543,"|")),--LEFT(A543,10)))</f>
        <v/>
      </c>
      <c r="C543">
        <f>IF(A543="","",TEXTBEFORE(TEXTAFTER(A543,"|"),"|"))</f>
        <v/>
      </c>
      <c r="D543">
        <f>IF(A543="","",TEXTAFTER(A543,"|",2))</f>
        <v/>
      </c>
      <c r="E543">
        <f>IF(A543="","",SUMIF(Tickets[TripKey],A543,Tickets[TP]))</f>
        <v/>
      </c>
      <c r="F543">
        <f>IF(A543="","",SUMIF(Tickets[TripKey],A543,Tickets[Revenue]))</f>
        <v/>
      </c>
      <c r="G543">
        <f>IF(A543="","",SUMIF(Tickets[TripKey],A543,Tickets[PK]))</f>
        <v/>
      </c>
      <c r="H543">
        <f>IF(A543="","",IFERROR(XLOOKUP(A543,Tickets[TripKey],Tickets[VehClean]),""))</f>
        <v/>
      </c>
      <c r="I543">
        <f>IF(A543="","",IFERROR(XLOOKUP(A543,Tickets[TripKey],Tickets[RouteLen]),0))</f>
        <v/>
      </c>
      <c r="J543">
        <f>IF(A543="","",IFERROR(XLOOKUP(A543,Tickets[TripKey],Tickets[Capacity]),0))</f>
        <v/>
      </c>
      <c r="K543">
        <f>IF(A543="","",I543*J543)</f>
        <v/>
      </c>
      <c r="L543">
        <f>IF(A543="","",IFERROR(MINIFS(Tickets[Trip Start Time],Tickets[TripKey],A543),""))</f>
        <v/>
      </c>
    </row>
    <row r="544">
      <c r="B544" s="8">
        <f>IF(A544="","",IFERROR(DATEVALUE(TEXTBEFORE(A544,"|")),--LEFT(A544,10)))</f>
        <v/>
      </c>
      <c r="C544">
        <f>IF(A544="","",TEXTBEFORE(TEXTAFTER(A544,"|"),"|"))</f>
        <v/>
      </c>
      <c r="D544">
        <f>IF(A544="","",TEXTAFTER(A544,"|",2))</f>
        <v/>
      </c>
      <c r="E544">
        <f>IF(A544="","",SUMIF(Tickets[TripKey],A544,Tickets[TP]))</f>
        <v/>
      </c>
      <c r="F544">
        <f>IF(A544="","",SUMIF(Tickets[TripKey],A544,Tickets[Revenue]))</f>
        <v/>
      </c>
      <c r="G544">
        <f>IF(A544="","",SUMIF(Tickets[TripKey],A544,Tickets[PK]))</f>
        <v/>
      </c>
      <c r="H544">
        <f>IF(A544="","",IFERROR(XLOOKUP(A544,Tickets[TripKey],Tickets[VehClean]),""))</f>
        <v/>
      </c>
      <c r="I544">
        <f>IF(A544="","",IFERROR(XLOOKUP(A544,Tickets[TripKey],Tickets[RouteLen]),0))</f>
        <v/>
      </c>
      <c r="J544">
        <f>IF(A544="","",IFERROR(XLOOKUP(A544,Tickets[TripKey],Tickets[Capacity]),0))</f>
        <v/>
      </c>
      <c r="K544">
        <f>IF(A544="","",I544*J544)</f>
        <v/>
      </c>
      <c r="L544">
        <f>IF(A544="","",IFERROR(MINIFS(Tickets[Trip Start Time],Tickets[TripKey],A544),""))</f>
        <v/>
      </c>
    </row>
    <row r="545">
      <c r="B545" s="8">
        <f>IF(A545="","",IFERROR(DATEVALUE(TEXTBEFORE(A545,"|")),--LEFT(A545,10)))</f>
        <v/>
      </c>
      <c r="C545">
        <f>IF(A545="","",TEXTBEFORE(TEXTAFTER(A545,"|"),"|"))</f>
        <v/>
      </c>
      <c r="D545">
        <f>IF(A545="","",TEXTAFTER(A545,"|",2))</f>
        <v/>
      </c>
      <c r="E545">
        <f>IF(A545="","",SUMIF(Tickets[TripKey],A545,Tickets[TP]))</f>
        <v/>
      </c>
      <c r="F545">
        <f>IF(A545="","",SUMIF(Tickets[TripKey],A545,Tickets[Revenue]))</f>
        <v/>
      </c>
      <c r="G545">
        <f>IF(A545="","",SUMIF(Tickets[TripKey],A545,Tickets[PK]))</f>
        <v/>
      </c>
      <c r="H545">
        <f>IF(A545="","",IFERROR(XLOOKUP(A545,Tickets[TripKey],Tickets[VehClean]),""))</f>
        <v/>
      </c>
      <c r="I545">
        <f>IF(A545="","",IFERROR(XLOOKUP(A545,Tickets[TripKey],Tickets[RouteLen]),0))</f>
        <v/>
      </c>
      <c r="J545">
        <f>IF(A545="","",IFERROR(XLOOKUP(A545,Tickets[TripKey],Tickets[Capacity]),0))</f>
        <v/>
      </c>
      <c r="K545">
        <f>IF(A545="","",I545*J545)</f>
        <v/>
      </c>
      <c r="L545">
        <f>IF(A545="","",IFERROR(MINIFS(Tickets[Trip Start Time],Tickets[TripKey],A545),""))</f>
        <v/>
      </c>
    </row>
    <row r="546">
      <c r="B546" s="8">
        <f>IF(A546="","",IFERROR(DATEVALUE(TEXTBEFORE(A546,"|")),--LEFT(A546,10)))</f>
        <v/>
      </c>
      <c r="C546">
        <f>IF(A546="","",TEXTBEFORE(TEXTAFTER(A546,"|"),"|"))</f>
        <v/>
      </c>
      <c r="D546">
        <f>IF(A546="","",TEXTAFTER(A546,"|",2))</f>
        <v/>
      </c>
      <c r="E546">
        <f>IF(A546="","",SUMIF(Tickets[TripKey],A546,Tickets[TP]))</f>
        <v/>
      </c>
      <c r="F546">
        <f>IF(A546="","",SUMIF(Tickets[TripKey],A546,Tickets[Revenue]))</f>
        <v/>
      </c>
      <c r="G546">
        <f>IF(A546="","",SUMIF(Tickets[TripKey],A546,Tickets[PK]))</f>
        <v/>
      </c>
      <c r="H546">
        <f>IF(A546="","",IFERROR(XLOOKUP(A546,Tickets[TripKey],Tickets[VehClean]),""))</f>
        <v/>
      </c>
      <c r="I546">
        <f>IF(A546="","",IFERROR(XLOOKUP(A546,Tickets[TripKey],Tickets[RouteLen]),0))</f>
        <v/>
      </c>
      <c r="J546">
        <f>IF(A546="","",IFERROR(XLOOKUP(A546,Tickets[TripKey],Tickets[Capacity]),0))</f>
        <v/>
      </c>
      <c r="K546">
        <f>IF(A546="","",I546*J546)</f>
        <v/>
      </c>
      <c r="L546">
        <f>IF(A546="","",IFERROR(MINIFS(Tickets[Trip Start Time],Tickets[TripKey],A546),""))</f>
        <v/>
      </c>
    </row>
    <row r="547">
      <c r="B547" s="8">
        <f>IF(A547="","",IFERROR(DATEVALUE(TEXTBEFORE(A547,"|")),--LEFT(A547,10)))</f>
        <v/>
      </c>
      <c r="C547">
        <f>IF(A547="","",TEXTBEFORE(TEXTAFTER(A547,"|"),"|"))</f>
        <v/>
      </c>
      <c r="D547">
        <f>IF(A547="","",TEXTAFTER(A547,"|",2))</f>
        <v/>
      </c>
      <c r="E547">
        <f>IF(A547="","",SUMIF(Tickets[TripKey],A547,Tickets[TP]))</f>
        <v/>
      </c>
      <c r="F547">
        <f>IF(A547="","",SUMIF(Tickets[TripKey],A547,Tickets[Revenue]))</f>
        <v/>
      </c>
      <c r="G547">
        <f>IF(A547="","",SUMIF(Tickets[TripKey],A547,Tickets[PK]))</f>
        <v/>
      </c>
      <c r="H547">
        <f>IF(A547="","",IFERROR(XLOOKUP(A547,Tickets[TripKey],Tickets[VehClean]),""))</f>
        <v/>
      </c>
      <c r="I547">
        <f>IF(A547="","",IFERROR(XLOOKUP(A547,Tickets[TripKey],Tickets[RouteLen]),0))</f>
        <v/>
      </c>
      <c r="J547">
        <f>IF(A547="","",IFERROR(XLOOKUP(A547,Tickets[TripKey],Tickets[Capacity]),0))</f>
        <v/>
      </c>
      <c r="K547">
        <f>IF(A547="","",I547*J547)</f>
        <v/>
      </c>
      <c r="L547">
        <f>IF(A547="","",IFERROR(MINIFS(Tickets[Trip Start Time],Tickets[TripKey],A547),""))</f>
        <v/>
      </c>
    </row>
    <row r="548">
      <c r="B548" s="8">
        <f>IF(A548="","",IFERROR(DATEVALUE(TEXTBEFORE(A548,"|")),--LEFT(A548,10)))</f>
        <v/>
      </c>
      <c r="C548">
        <f>IF(A548="","",TEXTBEFORE(TEXTAFTER(A548,"|"),"|"))</f>
        <v/>
      </c>
      <c r="D548">
        <f>IF(A548="","",TEXTAFTER(A548,"|",2))</f>
        <v/>
      </c>
      <c r="E548">
        <f>IF(A548="","",SUMIF(Tickets[TripKey],A548,Tickets[TP]))</f>
        <v/>
      </c>
      <c r="F548">
        <f>IF(A548="","",SUMIF(Tickets[TripKey],A548,Tickets[Revenue]))</f>
        <v/>
      </c>
      <c r="G548">
        <f>IF(A548="","",SUMIF(Tickets[TripKey],A548,Tickets[PK]))</f>
        <v/>
      </c>
      <c r="H548">
        <f>IF(A548="","",IFERROR(XLOOKUP(A548,Tickets[TripKey],Tickets[VehClean]),""))</f>
        <v/>
      </c>
      <c r="I548">
        <f>IF(A548="","",IFERROR(XLOOKUP(A548,Tickets[TripKey],Tickets[RouteLen]),0))</f>
        <v/>
      </c>
      <c r="J548">
        <f>IF(A548="","",IFERROR(XLOOKUP(A548,Tickets[TripKey],Tickets[Capacity]),0))</f>
        <v/>
      </c>
      <c r="K548">
        <f>IF(A548="","",I548*J548)</f>
        <v/>
      </c>
      <c r="L548">
        <f>IF(A548="","",IFERROR(MINIFS(Tickets[Trip Start Time],Tickets[TripKey],A548),""))</f>
        <v/>
      </c>
    </row>
    <row r="549">
      <c r="B549" s="8">
        <f>IF(A549="","",IFERROR(DATEVALUE(TEXTBEFORE(A549,"|")),--LEFT(A549,10)))</f>
        <v/>
      </c>
      <c r="C549">
        <f>IF(A549="","",TEXTBEFORE(TEXTAFTER(A549,"|"),"|"))</f>
        <v/>
      </c>
      <c r="D549">
        <f>IF(A549="","",TEXTAFTER(A549,"|",2))</f>
        <v/>
      </c>
      <c r="E549">
        <f>IF(A549="","",SUMIF(Tickets[TripKey],A549,Tickets[TP]))</f>
        <v/>
      </c>
      <c r="F549">
        <f>IF(A549="","",SUMIF(Tickets[TripKey],A549,Tickets[Revenue]))</f>
        <v/>
      </c>
      <c r="G549">
        <f>IF(A549="","",SUMIF(Tickets[TripKey],A549,Tickets[PK]))</f>
        <v/>
      </c>
      <c r="H549">
        <f>IF(A549="","",IFERROR(XLOOKUP(A549,Tickets[TripKey],Tickets[VehClean]),""))</f>
        <v/>
      </c>
      <c r="I549">
        <f>IF(A549="","",IFERROR(XLOOKUP(A549,Tickets[TripKey],Tickets[RouteLen]),0))</f>
        <v/>
      </c>
      <c r="J549">
        <f>IF(A549="","",IFERROR(XLOOKUP(A549,Tickets[TripKey],Tickets[Capacity]),0))</f>
        <v/>
      </c>
      <c r="K549">
        <f>IF(A549="","",I549*J549)</f>
        <v/>
      </c>
      <c r="L549">
        <f>IF(A549="","",IFERROR(MINIFS(Tickets[Trip Start Time],Tickets[TripKey],A549),""))</f>
        <v/>
      </c>
    </row>
    <row r="550">
      <c r="B550" s="8">
        <f>IF(A550="","",IFERROR(DATEVALUE(TEXTBEFORE(A550,"|")),--LEFT(A550,10)))</f>
        <v/>
      </c>
      <c r="C550">
        <f>IF(A550="","",TEXTBEFORE(TEXTAFTER(A550,"|"),"|"))</f>
        <v/>
      </c>
      <c r="D550">
        <f>IF(A550="","",TEXTAFTER(A550,"|",2))</f>
        <v/>
      </c>
      <c r="E550">
        <f>IF(A550="","",SUMIF(Tickets[TripKey],A550,Tickets[TP]))</f>
        <v/>
      </c>
      <c r="F550">
        <f>IF(A550="","",SUMIF(Tickets[TripKey],A550,Tickets[Revenue]))</f>
        <v/>
      </c>
      <c r="G550">
        <f>IF(A550="","",SUMIF(Tickets[TripKey],A550,Tickets[PK]))</f>
        <v/>
      </c>
      <c r="H550">
        <f>IF(A550="","",IFERROR(XLOOKUP(A550,Tickets[TripKey],Tickets[VehClean]),""))</f>
        <v/>
      </c>
      <c r="I550">
        <f>IF(A550="","",IFERROR(XLOOKUP(A550,Tickets[TripKey],Tickets[RouteLen]),0))</f>
        <v/>
      </c>
      <c r="J550">
        <f>IF(A550="","",IFERROR(XLOOKUP(A550,Tickets[TripKey],Tickets[Capacity]),0))</f>
        <v/>
      </c>
      <c r="K550">
        <f>IF(A550="","",I550*J550)</f>
        <v/>
      </c>
      <c r="L550">
        <f>IF(A550="","",IFERROR(MINIFS(Tickets[Trip Start Time],Tickets[TripKey],A550),""))</f>
        <v/>
      </c>
    </row>
    <row r="551">
      <c r="B551" s="8">
        <f>IF(A551="","",IFERROR(DATEVALUE(TEXTBEFORE(A551,"|")),--LEFT(A551,10)))</f>
        <v/>
      </c>
      <c r="C551">
        <f>IF(A551="","",TEXTBEFORE(TEXTAFTER(A551,"|"),"|"))</f>
        <v/>
      </c>
      <c r="D551">
        <f>IF(A551="","",TEXTAFTER(A551,"|",2))</f>
        <v/>
      </c>
      <c r="E551">
        <f>IF(A551="","",SUMIF(Tickets[TripKey],A551,Tickets[TP]))</f>
        <v/>
      </c>
      <c r="F551">
        <f>IF(A551="","",SUMIF(Tickets[TripKey],A551,Tickets[Revenue]))</f>
        <v/>
      </c>
      <c r="G551">
        <f>IF(A551="","",SUMIF(Tickets[TripKey],A551,Tickets[PK]))</f>
        <v/>
      </c>
      <c r="H551">
        <f>IF(A551="","",IFERROR(XLOOKUP(A551,Tickets[TripKey],Tickets[VehClean]),""))</f>
        <v/>
      </c>
      <c r="I551">
        <f>IF(A551="","",IFERROR(XLOOKUP(A551,Tickets[TripKey],Tickets[RouteLen]),0))</f>
        <v/>
      </c>
      <c r="J551">
        <f>IF(A551="","",IFERROR(XLOOKUP(A551,Tickets[TripKey],Tickets[Capacity]),0))</f>
        <v/>
      </c>
      <c r="K551">
        <f>IF(A551="","",I551*J551)</f>
        <v/>
      </c>
      <c r="L551">
        <f>IF(A551="","",IFERROR(MINIFS(Tickets[Trip Start Time],Tickets[TripKey],A551),""))</f>
        <v/>
      </c>
    </row>
    <row r="552">
      <c r="B552" s="8">
        <f>IF(A552="","",IFERROR(DATEVALUE(TEXTBEFORE(A552,"|")),--LEFT(A552,10)))</f>
        <v/>
      </c>
      <c r="C552">
        <f>IF(A552="","",TEXTBEFORE(TEXTAFTER(A552,"|"),"|"))</f>
        <v/>
      </c>
      <c r="D552">
        <f>IF(A552="","",TEXTAFTER(A552,"|",2))</f>
        <v/>
      </c>
      <c r="E552">
        <f>IF(A552="","",SUMIF(Tickets[TripKey],A552,Tickets[TP]))</f>
        <v/>
      </c>
      <c r="F552">
        <f>IF(A552="","",SUMIF(Tickets[TripKey],A552,Tickets[Revenue]))</f>
        <v/>
      </c>
      <c r="G552">
        <f>IF(A552="","",SUMIF(Tickets[TripKey],A552,Tickets[PK]))</f>
        <v/>
      </c>
      <c r="H552">
        <f>IF(A552="","",IFERROR(XLOOKUP(A552,Tickets[TripKey],Tickets[VehClean]),""))</f>
        <v/>
      </c>
      <c r="I552">
        <f>IF(A552="","",IFERROR(XLOOKUP(A552,Tickets[TripKey],Tickets[RouteLen]),0))</f>
        <v/>
      </c>
      <c r="J552">
        <f>IF(A552="","",IFERROR(XLOOKUP(A552,Tickets[TripKey],Tickets[Capacity]),0))</f>
        <v/>
      </c>
      <c r="K552">
        <f>IF(A552="","",I552*J552)</f>
        <v/>
      </c>
      <c r="L552">
        <f>IF(A552="","",IFERROR(MINIFS(Tickets[Trip Start Time],Tickets[TripKey],A552),""))</f>
        <v/>
      </c>
    </row>
    <row r="553">
      <c r="B553" s="8">
        <f>IF(A553="","",IFERROR(DATEVALUE(TEXTBEFORE(A553,"|")),--LEFT(A553,10)))</f>
        <v/>
      </c>
      <c r="C553">
        <f>IF(A553="","",TEXTBEFORE(TEXTAFTER(A553,"|"),"|"))</f>
        <v/>
      </c>
      <c r="D553">
        <f>IF(A553="","",TEXTAFTER(A553,"|",2))</f>
        <v/>
      </c>
      <c r="E553">
        <f>IF(A553="","",SUMIF(Tickets[TripKey],A553,Tickets[TP]))</f>
        <v/>
      </c>
      <c r="F553">
        <f>IF(A553="","",SUMIF(Tickets[TripKey],A553,Tickets[Revenue]))</f>
        <v/>
      </c>
      <c r="G553">
        <f>IF(A553="","",SUMIF(Tickets[TripKey],A553,Tickets[PK]))</f>
        <v/>
      </c>
      <c r="H553">
        <f>IF(A553="","",IFERROR(XLOOKUP(A553,Tickets[TripKey],Tickets[VehClean]),""))</f>
        <v/>
      </c>
      <c r="I553">
        <f>IF(A553="","",IFERROR(XLOOKUP(A553,Tickets[TripKey],Tickets[RouteLen]),0))</f>
        <v/>
      </c>
      <c r="J553">
        <f>IF(A553="","",IFERROR(XLOOKUP(A553,Tickets[TripKey],Tickets[Capacity]),0))</f>
        <v/>
      </c>
      <c r="K553">
        <f>IF(A553="","",I553*J553)</f>
        <v/>
      </c>
      <c r="L553">
        <f>IF(A553="","",IFERROR(MINIFS(Tickets[Trip Start Time],Tickets[TripKey],A553),""))</f>
        <v/>
      </c>
    </row>
    <row r="554">
      <c r="B554" s="8">
        <f>IF(A554="","",IFERROR(DATEVALUE(TEXTBEFORE(A554,"|")),--LEFT(A554,10)))</f>
        <v/>
      </c>
      <c r="C554">
        <f>IF(A554="","",TEXTBEFORE(TEXTAFTER(A554,"|"),"|"))</f>
        <v/>
      </c>
      <c r="D554">
        <f>IF(A554="","",TEXTAFTER(A554,"|",2))</f>
        <v/>
      </c>
      <c r="E554">
        <f>IF(A554="","",SUMIF(Tickets[TripKey],A554,Tickets[TP]))</f>
        <v/>
      </c>
      <c r="F554">
        <f>IF(A554="","",SUMIF(Tickets[TripKey],A554,Tickets[Revenue]))</f>
        <v/>
      </c>
      <c r="G554">
        <f>IF(A554="","",SUMIF(Tickets[TripKey],A554,Tickets[PK]))</f>
        <v/>
      </c>
      <c r="H554">
        <f>IF(A554="","",IFERROR(XLOOKUP(A554,Tickets[TripKey],Tickets[VehClean]),""))</f>
        <v/>
      </c>
      <c r="I554">
        <f>IF(A554="","",IFERROR(XLOOKUP(A554,Tickets[TripKey],Tickets[RouteLen]),0))</f>
        <v/>
      </c>
      <c r="J554">
        <f>IF(A554="","",IFERROR(XLOOKUP(A554,Tickets[TripKey],Tickets[Capacity]),0))</f>
        <v/>
      </c>
      <c r="K554">
        <f>IF(A554="","",I554*J554)</f>
        <v/>
      </c>
      <c r="L554">
        <f>IF(A554="","",IFERROR(MINIFS(Tickets[Trip Start Time],Tickets[TripKey],A554),""))</f>
        <v/>
      </c>
    </row>
    <row r="555">
      <c r="B555" s="8">
        <f>IF(A555="","",IFERROR(DATEVALUE(TEXTBEFORE(A555,"|")),--LEFT(A555,10)))</f>
        <v/>
      </c>
      <c r="C555">
        <f>IF(A555="","",TEXTBEFORE(TEXTAFTER(A555,"|"),"|"))</f>
        <v/>
      </c>
      <c r="D555">
        <f>IF(A555="","",TEXTAFTER(A555,"|",2))</f>
        <v/>
      </c>
      <c r="E555">
        <f>IF(A555="","",SUMIF(Tickets[TripKey],A555,Tickets[TP]))</f>
        <v/>
      </c>
      <c r="F555">
        <f>IF(A555="","",SUMIF(Tickets[TripKey],A555,Tickets[Revenue]))</f>
        <v/>
      </c>
      <c r="G555">
        <f>IF(A555="","",SUMIF(Tickets[TripKey],A555,Tickets[PK]))</f>
        <v/>
      </c>
      <c r="H555">
        <f>IF(A555="","",IFERROR(XLOOKUP(A555,Tickets[TripKey],Tickets[VehClean]),""))</f>
        <v/>
      </c>
      <c r="I555">
        <f>IF(A555="","",IFERROR(XLOOKUP(A555,Tickets[TripKey],Tickets[RouteLen]),0))</f>
        <v/>
      </c>
      <c r="J555">
        <f>IF(A555="","",IFERROR(XLOOKUP(A555,Tickets[TripKey],Tickets[Capacity]),0))</f>
        <v/>
      </c>
      <c r="K555">
        <f>IF(A555="","",I555*J555)</f>
        <v/>
      </c>
      <c r="L555">
        <f>IF(A555="","",IFERROR(MINIFS(Tickets[Trip Start Time],Tickets[TripKey],A555),""))</f>
        <v/>
      </c>
    </row>
    <row r="556">
      <c r="B556" s="8">
        <f>IF(A556="","",IFERROR(DATEVALUE(TEXTBEFORE(A556,"|")),--LEFT(A556,10)))</f>
        <v/>
      </c>
      <c r="C556">
        <f>IF(A556="","",TEXTBEFORE(TEXTAFTER(A556,"|"),"|"))</f>
        <v/>
      </c>
      <c r="D556">
        <f>IF(A556="","",TEXTAFTER(A556,"|",2))</f>
        <v/>
      </c>
      <c r="E556">
        <f>IF(A556="","",SUMIF(Tickets[TripKey],A556,Tickets[TP]))</f>
        <v/>
      </c>
      <c r="F556">
        <f>IF(A556="","",SUMIF(Tickets[TripKey],A556,Tickets[Revenue]))</f>
        <v/>
      </c>
      <c r="G556">
        <f>IF(A556="","",SUMIF(Tickets[TripKey],A556,Tickets[PK]))</f>
        <v/>
      </c>
      <c r="H556">
        <f>IF(A556="","",IFERROR(XLOOKUP(A556,Tickets[TripKey],Tickets[VehClean]),""))</f>
        <v/>
      </c>
      <c r="I556">
        <f>IF(A556="","",IFERROR(XLOOKUP(A556,Tickets[TripKey],Tickets[RouteLen]),0))</f>
        <v/>
      </c>
      <c r="J556">
        <f>IF(A556="","",IFERROR(XLOOKUP(A556,Tickets[TripKey],Tickets[Capacity]),0))</f>
        <v/>
      </c>
      <c r="K556">
        <f>IF(A556="","",I556*J556)</f>
        <v/>
      </c>
      <c r="L556">
        <f>IF(A556="","",IFERROR(MINIFS(Tickets[Trip Start Time],Tickets[TripKey],A556),""))</f>
        <v/>
      </c>
    </row>
    <row r="557">
      <c r="B557" s="8">
        <f>IF(A557="","",IFERROR(DATEVALUE(TEXTBEFORE(A557,"|")),--LEFT(A557,10)))</f>
        <v/>
      </c>
      <c r="C557">
        <f>IF(A557="","",TEXTBEFORE(TEXTAFTER(A557,"|"),"|"))</f>
        <v/>
      </c>
      <c r="D557">
        <f>IF(A557="","",TEXTAFTER(A557,"|",2))</f>
        <v/>
      </c>
      <c r="E557">
        <f>IF(A557="","",SUMIF(Tickets[TripKey],A557,Tickets[TP]))</f>
        <v/>
      </c>
      <c r="F557">
        <f>IF(A557="","",SUMIF(Tickets[TripKey],A557,Tickets[Revenue]))</f>
        <v/>
      </c>
      <c r="G557">
        <f>IF(A557="","",SUMIF(Tickets[TripKey],A557,Tickets[PK]))</f>
        <v/>
      </c>
      <c r="H557">
        <f>IF(A557="","",IFERROR(XLOOKUP(A557,Tickets[TripKey],Tickets[VehClean]),""))</f>
        <v/>
      </c>
      <c r="I557">
        <f>IF(A557="","",IFERROR(XLOOKUP(A557,Tickets[TripKey],Tickets[RouteLen]),0))</f>
        <v/>
      </c>
      <c r="J557">
        <f>IF(A557="","",IFERROR(XLOOKUP(A557,Tickets[TripKey],Tickets[Capacity]),0))</f>
        <v/>
      </c>
      <c r="K557">
        <f>IF(A557="","",I557*J557)</f>
        <v/>
      </c>
      <c r="L557">
        <f>IF(A557="","",IFERROR(MINIFS(Tickets[Trip Start Time],Tickets[TripKey],A557),""))</f>
        <v/>
      </c>
    </row>
    <row r="558">
      <c r="B558" s="8">
        <f>IF(A558="","",IFERROR(DATEVALUE(TEXTBEFORE(A558,"|")),--LEFT(A558,10)))</f>
        <v/>
      </c>
      <c r="C558">
        <f>IF(A558="","",TEXTBEFORE(TEXTAFTER(A558,"|"),"|"))</f>
        <v/>
      </c>
      <c r="D558">
        <f>IF(A558="","",TEXTAFTER(A558,"|",2))</f>
        <v/>
      </c>
      <c r="E558">
        <f>IF(A558="","",SUMIF(Tickets[TripKey],A558,Tickets[TP]))</f>
        <v/>
      </c>
      <c r="F558">
        <f>IF(A558="","",SUMIF(Tickets[TripKey],A558,Tickets[Revenue]))</f>
        <v/>
      </c>
      <c r="G558">
        <f>IF(A558="","",SUMIF(Tickets[TripKey],A558,Tickets[PK]))</f>
        <v/>
      </c>
      <c r="H558">
        <f>IF(A558="","",IFERROR(XLOOKUP(A558,Tickets[TripKey],Tickets[VehClean]),""))</f>
        <v/>
      </c>
      <c r="I558">
        <f>IF(A558="","",IFERROR(XLOOKUP(A558,Tickets[TripKey],Tickets[RouteLen]),0))</f>
        <v/>
      </c>
      <c r="J558">
        <f>IF(A558="","",IFERROR(XLOOKUP(A558,Tickets[TripKey],Tickets[Capacity]),0))</f>
        <v/>
      </c>
      <c r="K558">
        <f>IF(A558="","",I558*J558)</f>
        <v/>
      </c>
      <c r="L558">
        <f>IF(A558="","",IFERROR(MINIFS(Tickets[Trip Start Time],Tickets[TripKey],A558),""))</f>
        <v/>
      </c>
    </row>
    <row r="559">
      <c r="B559" s="8">
        <f>IF(A559="","",IFERROR(DATEVALUE(TEXTBEFORE(A559,"|")),--LEFT(A559,10)))</f>
        <v/>
      </c>
      <c r="C559">
        <f>IF(A559="","",TEXTBEFORE(TEXTAFTER(A559,"|"),"|"))</f>
        <v/>
      </c>
      <c r="D559">
        <f>IF(A559="","",TEXTAFTER(A559,"|",2))</f>
        <v/>
      </c>
      <c r="E559">
        <f>IF(A559="","",SUMIF(Tickets[TripKey],A559,Tickets[TP]))</f>
        <v/>
      </c>
      <c r="F559">
        <f>IF(A559="","",SUMIF(Tickets[TripKey],A559,Tickets[Revenue]))</f>
        <v/>
      </c>
      <c r="G559">
        <f>IF(A559="","",SUMIF(Tickets[TripKey],A559,Tickets[PK]))</f>
        <v/>
      </c>
      <c r="H559">
        <f>IF(A559="","",IFERROR(XLOOKUP(A559,Tickets[TripKey],Tickets[VehClean]),""))</f>
        <v/>
      </c>
      <c r="I559">
        <f>IF(A559="","",IFERROR(XLOOKUP(A559,Tickets[TripKey],Tickets[RouteLen]),0))</f>
        <v/>
      </c>
      <c r="J559">
        <f>IF(A559="","",IFERROR(XLOOKUP(A559,Tickets[TripKey],Tickets[Capacity]),0))</f>
        <v/>
      </c>
      <c r="K559">
        <f>IF(A559="","",I559*J559)</f>
        <v/>
      </c>
      <c r="L559">
        <f>IF(A559="","",IFERROR(MINIFS(Tickets[Trip Start Time],Tickets[TripKey],A559),""))</f>
        <v/>
      </c>
    </row>
    <row r="560">
      <c r="B560" s="8">
        <f>IF(A560="","",IFERROR(DATEVALUE(TEXTBEFORE(A560,"|")),--LEFT(A560,10)))</f>
        <v/>
      </c>
      <c r="C560">
        <f>IF(A560="","",TEXTBEFORE(TEXTAFTER(A560,"|"),"|"))</f>
        <v/>
      </c>
      <c r="D560">
        <f>IF(A560="","",TEXTAFTER(A560,"|",2))</f>
        <v/>
      </c>
      <c r="E560">
        <f>IF(A560="","",SUMIF(Tickets[TripKey],A560,Tickets[TP]))</f>
        <v/>
      </c>
      <c r="F560">
        <f>IF(A560="","",SUMIF(Tickets[TripKey],A560,Tickets[Revenue]))</f>
        <v/>
      </c>
      <c r="G560">
        <f>IF(A560="","",SUMIF(Tickets[TripKey],A560,Tickets[PK]))</f>
        <v/>
      </c>
      <c r="H560">
        <f>IF(A560="","",IFERROR(XLOOKUP(A560,Tickets[TripKey],Tickets[VehClean]),""))</f>
        <v/>
      </c>
      <c r="I560">
        <f>IF(A560="","",IFERROR(XLOOKUP(A560,Tickets[TripKey],Tickets[RouteLen]),0))</f>
        <v/>
      </c>
      <c r="J560">
        <f>IF(A560="","",IFERROR(XLOOKUP(A560,Tickets[TripKey],Tickets[Capacity]),0))</f>
        <v/>
      </c>
      <c r="K560">
        <f>IF(A560="","",I560*J560)</f>
        <v/>
      </c>
      <c r="L560">
        <f>IF(A560="","",IFERROR(MINIFS(Tickets[Trip Start Time],Tickets[TripKey],A560),""))</f>
        <v/>
      </c>
    </row>
    <row r="561">
      <c r="B561" s="8">
        <f>IF(A561="","",IFERROR(DATEVALUE(TEXTBEFORE(A561,"|")),--LEFT(A561,10)))</f>
        <v/>
      </c>
      <c r="C561">
        <f>IF(A561="","",TEXTBEFORE(TEXTAFTER(A561,"|"),"|"))</f>
        <v/>
      </c>
      <c r="D561">
        <f>IF(A561="","",TEXTAFTER(A561,"|",2))</f>
        <v/>
      </c>
      <c r="E561">
        <f>IF(A561="","",SUMIF(Tickets[TripKey],A561,Tickets[TP]))</f>
        <v/>
      </c>
      <c r="F561">
        <f>IF(A561="","",SUMIF(Tickets[TripKey],A561,Tickets[Revenue]))</f>
        <v/>
      </c>
      <c r="G561">
        <f>IF(A561="","",SUMIF(Tickets[TripKey],A561,Tickets[PK]))</f>
        <v/>
      </c>
      <c r="H561">
        <f>IF(A561="","",IFERROR(XLOOKUP(A561,Tickets[TripKey],Tickets[VehClean]),""))</f>
        <v/>
      </c>
      <c r="I561">
        <f>IF(A561="","",IFERROR(XLOOKUP(A561,Tickets[TripKey],Tickets[RouteLen]),0))</f>
        <v/>
      </c>
      <c r="J561">
        <f>IF(A561="","",IFERROR(XLOOKUP(A561,Tickets[TripKey],Tickets[Capacity]),0))</f>
        <v/>
      </c>
      <c r="K561">
        <f>IF(A561="","",I561*J561)</f>
        <v/>
      </c>
      <c r="L561">
        <f>IF(A561="","",IFERROR(MINIFS(Tickets[Trip Start Time],Tickets[TripKey],A561),""))</f>
        <v/>
      </c>
    </row>
    <row r="562">
      <c r="B562" s="8">
        <f>IF(A562="","",IFERROR(DATEVALUE(TEXTBEFORE(A562,"|")),--LEFT(A562,10)))</f>
        <v/>
      </c>
      <c r="C562">
        <f>IF(A562="","",TEXTBEFORE(TEXTAFTER(A562,"|"),"|"))</f>
        <v/>
      </c>
      <c r="D562">
        <f>IF(A562="","",TEXTAFTER(A562,"|",2))</f>
        <v/>
      </c>
      <c r="E562">
        <f>IF(A562="","",SUMIF(Tickets[TripKey],A562,Tickets[TP]))</f>
        <v/>
      </c>
      <c r="F562">
        <f>IF(A562="","",SUMIF(Tickets[TripKey],A562,Tickets[Revenue]))</f>
        <v/>
      </c>
      <c r="G562">
        <f>IF(A562="","",SUMIF(Tickets[TripKey],A562,Tickets[PK]))</f>
        <v/>
      </c>
      <c r="H562">
        <f>IF(A562="","",IFERROR(XLOOKUP(A562,Tickets[TripKey],Tickets[VehClean]),""))</f>
        <v/>
      </c>
      <c r="I562">
        <f>IF(A562="","",IFERROR(XLOOKUP(A562,Tickets[TripKey],Tickets[RouteLen]),0))</f>
        <v/>
      </c>
      <c r="J562">
        <f>IF(A562="","",IFERROR(XLOOKUP(A562,Tickets[TripKey],Tickets[Capacity]),0))</f>
        <v/>
      </c>
      <c r="K562">
        <f>IF(A562="","",I562*J562)</f>
        <v/>
      </c>
      <c r="L562">
        <f>IF(A562="","",IFERROR(MINIFS(Tickets[Trip Start Time],Tickets[TripKey],A562),""))</f>
        <v/>
      </c>
    </row>
    <row r="563">
      <c r="B563" s="8">
        <f>IF(A563="","",IFERROR(DATEVALUE(TEXTBEFORE(A563,"|")),--LEFT(A563,10)))</f>
        <v/>
      </c>
      <c r="C563">
        <f>IF(A563="","",TEXTBEFORE(TEXTAFTER(A563,"|"),"|"))</f>
        <v/>
      </c>
      <c r="D563">
        <f>IF(A563="","",TEXTAFTER(A563,"|",2))</f>
        <v/>
      </c>
      <c r="E563">
        <f>IF(A563="","",SUMIF(Tickets[TripKey],A563,Tickets[TP]))</f>
        <v/>
      </c>
      <c r="F563">
        <f>IF(A563="","",SUMIF(Tickets[TripKey],A563,Tickets[Revenue]))</f>
        <v/>
      </c>
      <c r="G563">
        <f>IF(A563="","",SUMIF(Tickets[TripKey],A563,Tickets[PK]))</f>
        <v/>
      </c>
      <c r="H563">
        <f>IF(A563="","",IFERROR(XLOOKUP(A563,Tickets[TripKey],Tickets[VehClean]),""))</f>
        <v/>
      </c>
      <c r="I563">
        <f>IF(A563="","",IFERROR(XLOOKUP(A563,Tickets[TripKey],Tickets[RouteLen]),0))</f>
        <v/>
      </c>
      <c r="J563">
        <f>IF(A563="","",IFERROR(XLOOKUP(A563,Tickets[TripKey],Tickets[Capacity]),0))</f>
        <v/>
      </c>
      <c r="K563">
        <f>IF(A563="","",I563*J563)</f>
        <v/>
      </c>
      <c r="L563">
        <f>IF(A563="","",IFERROR(MINIFS(Tickets[Trip Start Time],Tickets[TripKey],A563),""))</f>
        <v/>
      </c>
    </row>
    <row r="564">
      <c r="B564" s="8">
        <f>IF(A564="","",IFERROR(DATEVALUE(TEXTBEFORE(A564,"|")),--LEFT(A564,10)))</f>
        <v/>
      </c>
      <c r="C564">
        <f>IF(A564="","",TEXTBEFORE(TEXTAFTER(A564,"|"),"|"))</f>
        <v/>
      </c>
      <c r="D564">
        <f>IF(A564="","",TEXTAFTER(A564,"|",2))</f>
        <v/>
      </c>
      <c r="E564">
        <f>IF(A564="","",SUMIF(Tickets[TripKey],A564,Tickets[TP]))</f>
        <v/>
      </c>
      <c r="F564">
        <f>IF(A564="","",SUMIF(Tickets[TripKey],A564,Tickets[Revenue]))</f>
        <v/>
      </c>
      <c r="G564">
        <f>IF(A564="","",SUMIF(Tickets[TripKey],A564,Tickets[PK]))</f>
        <v/>
      </c>
      <c r="H564">
        <f>IF(A564="","",IFERROR(XLOOKUP(A564,Tickets[TripKey],Tickets[VehClean]),""))</f>
        <v/>
      </c>
      <c r="I564">
        <f>IF(A564="","",IFERROR(XLOOKUP(A564,Tickets[TripKey],Tickets[RouteLen]),0))</f>
        <v/>
      </c>
      <c r="J564">
        <f>IF(A564="","",IFERROR(XLOOKUP(A564,Tickets[TripKey],Tickets[Capacity]),0))</f>
        <v/>
      </c>
      <c r="K564">
        <f>IF(A564="","",I564*J564)</f>
        <v/>
      </c>
      <c r="L564">
        <f>IF(A564="","",IFERROR(MINIFS(Tickets[Trip Start Time],Tickets[TripKey],A564),""))</f>
        <v/>
      </c>
    </row>
    <row r="565">
      <c r="B565" s="8">
        <f>IF(A565="","",IFERROR(DATEVALUE(TEXTBEFORE(A565,"|")),--LEFT(A565,10)))</f>
        <v/>
      </c>
      <c r="C565">
        <f>IF(A565="","",TEXTBEFORE(TEXTAFTER(A565,"|"),"|"))</f>
        <v/>
      </c>
      <c r="D565">
        <f>IF(A565="","",TEXTAFTER(A565,"|",2))</f>
        <v/>
      </c>
      <c r="E565">
        <f>IF(A565="","",SUMIF(Tickets[TripKey],A565,Tickets[TP]))</f>
        <v/>
      </c>
      <c r="F565">
        <f>IF(A565="","",SUMIF(Tickets[TripKey],A565,Tickets[Revenue]))</f>
        <v/>
      </c>
      <c r="G565">
        <f>IF(A565="","",SUMIF(Tickets[TripKey],A565,Tickets[PK]))</f>
        <v/>
      </c>
      <c r="H565">
        <f>IF(A565="","",IFERROR(XLOOKUP(A565,Tickets[TripKey],Tickets[VehClean]),""))</f>
        <v/>
      </c>
      <c r="I565">
        <f>IF(A565="","",IFERROR(XLOOKUP(A565,Tickets[TripKey],Tickets[RouteLen]),0))</f>
        <v/>
      </c>
      <c r="J565">
        <f>IF(A565="","",IFERROR(XLOOKUP(A565,Tickets[TripKey],Tickets[Capacity]),0))</f>
        <v/>
      </c>
      <c r="K565">
        <f>IF(A565="","",I565*J565)</f>
        <v/>
      </c>
      <c r="L565">
        <f>IF(A565="","",IFERROR(MINIFS(Tickets[Trip Start Time],Tickets[TripKey],A565),""))</f>
        <v/>
      </c>
    </row>
    <row r="566">
      <c r="B566" s="8">
        <f>IF(A566="","",IFERROR(DATEVALUE(TEXTBEFORE(A566,"|")),--LEFT(A566,10)))</f>
        <v/>
      </c>
      <c r="C566">
        <f>IF(A566="","",TEXTBEFORE(TEXTAFTER(A566,"|"),"|"))</f>
        <v/>
      </c>
      <c r="D566">
        <f>IF(A566="","",TEXTAFTER(A566,"|",2))</f>
        <v/>
      </c>
      <c r="E566">
        <f>IF(A566="","",SUMIF(Tickets[TripKey],A566,Tickets[TP]))</f>
        <v/>
      </c>
      <c r="F566">
        <f>IF(A566="","",SUMIF(Tickets[TripKey],A566,Tickets[Revenue]))</f>
        <v/>
      </c>
      <c r="G566">
        <f>IF(A566="","",SUMIF(Tickets[TripKey],A566,Tickets[PK]))</f>
        <v/>
      </c>
      <c r="H566">
        <f>IF(A566="","",IFERROR(XLOOKUP(A566,Tickets[TripKey],Tickets[VehClean]),""))</f>
        <v/>
      </c>
      <c r="I566">
        <f>IF(A566="","",IFERROR(XLOOKUP(A566,Tickets[TripKey],Tickets[RouteLen]),0))</f>
        <v/>
      </c>
      <c r="J566">
        <f>IF(A566="","",IFERROR(XLOOKUP(A566,Tickets[TripKey],Tickets[Capacity]),0))</f>
        <v/>
      </c>
      <c r="K566">
        <f>IF(A566="","",I566*J566)</f>
        <v/>
      </c>
      <c r="L566">
        <f>IF(A566="","",IFERROR(MINIFS(Tickets[Trip Start Time],Tickets[TripKey],A566),""))</f>
        <v/>
      </c>
    </row>
    <row r="567">
      <c r="B567" s="8">
        <f>IF(A567="","",IFERROR(DATEVALUE(TEXTBEFORE(A567,"|")),--LEFT(A567,10)))</f>
        <v/>
      </c>
      <c r="C567">
        <f>IF(A567="","",TEXTBEFORE(TEXTAFTER(A567,"|"),"|"))</f>
        <v/>
      </c>
      <c r="D567">
        <f>IF(A567="","",TEXTAFTER(A567,"|",2))</f>
        <v/>
      </c>
      <c r="E567">
        <f>IF(A567="","",SUMIF(Tickets[TripKey],A567,Tickets[TP]))</f>
        <v/>
      </c>
      <c r="F567">
        <f>IF(A567="","",SUMIF(Tickets[TripKey],A567,Tickets[Revenue]))</f>
        <v/>
      </c>
      <c r="G567">
        <f>IF(A567="","",SUMIF(Tickets[TripKey],A567,Tickets[PK]))</f>
        <v/>
      </c>
      <c r="H567">
        <f>IF(A567="","",IFERROR(XLOOKUP(A567,Tickets[TripKey],Tickets[VehClean]),""))</f>
        <v/>
      </c>
      <c r="I567">
        <f>IF(A567="","",IFERROR(XLOOKUP(A567,Tickets[TripKey],Tickets[RouteLen]),0))</f>
        <v/>
      </c>
      <c r="J567">
        <f>IF(A567="","",IFERROR(XLOOKUP(A567,Tickets[TripKey],Tickets[Capacity]),0))</f>
        <v/>
      </c>
      <c r="K567">
        <f>IF(A567="","",I567*J567)</f>
        <v/>
      </c>
      <c r="L567">
        <f>IF(A567="","",IFERROR(MINIFS(Tickets[Trip Start Time],Tickets[TripKey],A567),""))</f>
        <v/>
      </c>
    </row>
    <row r="568">
      <c r="B568" s="8">
        <f>IF(A568="","",IFERROR(DATEVALUE(TEXTBEFORE(A568,"|")),--LEFT(A568,10)))</f>
        <v/>
      </c>
      <c r="C568">
        <f>IF(A568="","",TEXTBEFORE(TEXTAFTER(A568,"|"),"|"))</f>
        <v/>
      </c>
      <c r="D568">
        <f>IF(A568="","",TEXTAFTER(A568,"|",2))</f>
        <v/>
      </c>
      <c r="E568">
        <f>IF(A568="","",SUMIF(Tickets[TripKey],A568,Tickets[TP]))</f>
        <v/>
      </c>
      <c r="F568">
        <f>IF(A568="","",SUMIF(Tickets[TripKey],A568,Tickets[Revenue]))</f>
        <v/>
      </c>
      <c r="G568">
        <f>IF(A568="","",SUMIF(Tickets[TripKey],A568,Tickets[PK]))</f>
        <v/>
      </c>
      <c r="H568">
        <f>IF(A568="","",IFERROR(XLOOKUP(A568,Tickets[TripKey],Tickets[VehClean]),""))</f>
        <v/>
      </c>
      <c r="I568">
        <f>IF(A568="","",IFERROR(XLOOKUP(A568,Tickets[TripKey],Tickets[RouteLen]),0))</f>
        <v/>
      </c>
      <c r="J568">
        <f>IF(A568="","",IFERROR(XLOOKUP(A568,Tickets[TripKey],Tickets[Capacity]),0))</f>
        <v/>
      </c>
      <c r="K568">
        <f>IF(A568="","",I568*J568)</f>
        <v/>
      </c>
      <c r="L568">
        <f>IF(A568="","",IFERROR(MINIFS(Tickets[Trip Start Time],Tickets[TripKey],A568),""))</f>
        <v/>
      </c>
    </row>
    <row r="569">
      <c r="B569" s="8">
        <f>IF(A569="","",IFERROR(DATEVALUE(TEXTBEFORE(A569,"|")),--LEFT(A569,10)))</f>
        <v/>
      </c>
      <c r="C569">
        <f>IF(A569="","",TEXTBEFORE(TEXTAFTER(A569,"|"),"|"))</f>
        <v/>
      </c>
      <c r="D569">
        <f>IF(A569="","",TEXTAFTER(A569,"|",2))</f>
        <v/>
      </c>
      <c r="E569">
        <f>IF(A569="","",SUMIF(Tickets[TripKey],A569,Tickets[TP]))</f>
        <v/>
      </c>
      <c r="F569">
        <f>IF(A569="","",SUMIF(Tickets[TripKey],A569,Tickets[Revenue]))</f>
        <v/>
      </c>
      <c r="G569">
        <f>IF(A569="","",SUMIF(Tickets[TripKey],A569,Tickets[PK]))</f>
        <v/>
      </c>
      <c r="H569">
        <f>IF(A569="","",IFERROR(XLOOKUP(A569,Tickets[TripKey],Tickets[VehClean]),""))</f>
        <v/>
      </c>
      <c r="I569">
        <f>IF(A569="","",IFERROR(XLOOKUP(A569,Tickets[TripKey],Tickets[RouteLen]),0))</f>
        <v/>
      </c>
      <c r="J569">
        <f>IF(A569="","",IFERROR(XLOOKUP(A569,Tickets[TripKey],Tickets[Capacity]),0))</f>
        <v/>
      </c>
      <c r="K569">
        <f>IF(A569="","",I569*J569)</f>
        <v/>
      </c>
      <c r="L569">
        <f>IF(A569="","",IFERROR(MINIFS(Tickets[Trip Start Time],Tickets[TripKey],A569),""))</f>
        <v/>
      </c>
    </row>
    <row r="570">
      <c r="B570" s="8">
        <f>IF(A570="","",IFERROR(DATEVALUE(TEXTBEFORE(A570,"|")),--LEFT(A570,10)))</f>
        <v/>
      </c>
      <c r="C570">
        <f>IF(A570="","",TEXTBEFORE(TEXTAFTER(A570,"|"),"|"))</f>
        <v/>
      </c>
      <c r="D570">
        <f>IF(A570="","",TEXTAFTER(A570,"|",2))</f>
        <v/>
      </c>
      <c r="E570">
        <f>IF(A570="","",SUMIF(Tickets[TripKey],A570,Tickets[TP]))</f>
        <v/>
      </c>
      <c r="F570">
        <f>IF(A570="","",SUMIF(Tickets[TripKey],A570,Tickets[Revenue]))</f>
        <v/>
      </c>
      <c r="G570">
        <f>IF(A570="","",SUMIF(Tickets[TripKey],A570,Tickets[PK]))</f>
        <v/>
      </c>
      <c r="H570">
        <f>IF(A570="","",IFERROR(XLOOKUP(A570,Tickets[TripKey],Tickets[VehClean]),""))</f>
        <v/>
      </c>
      <c r="I570">
        <f>IF(A570="","",IFERROR(XLOOKUP(A570,Tickets[TripKey],Tickets[RouteLen]),0))</f>
        <v/>
      </c>
      <c r="J570">
        <f>IF(A570="","",IFERROR(XLOOKUP(A570,Tickets[TripKey],Tickets[Capacity]),0))</f>
        <v/>
      </c>
      <c r="K570">
        <f>IF(A570="","",I570*J570)</f>
        <v/>
      </c>
      <c r="L570">
        <f>IF(A570="","",IFERROR(MINIFS(Tickets[Trip Start Time],Tickets[TripKey],A570),""))</f>
        <v/>
      </c>
    </row>
    <row r="571">
      <c r="B571" s="8">
        <f>IF(A571="","",IFERROR(DATEVALUE(TEXTBEFORE(A571,"|")),--LEFT(A571,10)))</f>
        <v/>
      </c>
      <c r="C571">
        <f>IF(A571="","",TEXTBEFORE(TEXTAFTER(A571,"|"),"|"))</f>
        <v/>
      </c>
      <c r="D571">
        <f>IF(A571="","",TEXTAFTER(A571,"|",2))</f>
        <v/>
      </c>
      <c r="E571">
        <f>IF(A571="","",SUMIF(Tickets[TripKey],A571,Tickets[TP]))</f>
        <v/>
      </c>
      <c r="F571">
        <f>IF(A571="","",SUMIF(Tickets[TripKey],A571,Tickets[Revenue]))</f>
        <v/>
      </c>
      <c r="G571">
        <f>IF(A571="","",SUMIF(Tickets[TripKey],A571,Tickets[PK]))</f>
        <v/>
      </c>
      <c r="H571">
        <f>IF(A571="","",IFERROR(XLOOKUP(A571,Tickets[TripKey],Tickets[VehClean]),""))</f>
        <v/>
      </c>
      <c r="I571">
        <f>IF(A571="","",IFERROR(XLOOKUP(A571,Tickets[TripKey],Tickets[RouteLen]),0))</f>
        <v/>
      </c>
      <c r="J571">
        <f>IF(A571="","",IFERROR(XLOOKUP(A571,Tickets[TripKey],Tickets[Capacity]),0))</f>
        <v/>
      </c>
      <c r="K571">
        <f>IF(A571="","",I571*J571)</f>
        <v/>
      </c>
      <c r="L571">
        <f>IF(A571="","",IFERROR(MINIFS(Tickets[Trip Start Time],Tickets[TripKey],A571),""))</f>
        <v/>
      </c>
    </row>
    <row r="572">
      <c r="B572" s="8">
        <f>IF(A572="","",IFERROR(DATEVALUE(TEXTBEFORE(A572,"|")),--LEFT(A572,10)))</f>
        <v/>
      </c>
      <c r="C572">
        <f>IF(A572="","",TEXTBEFORE(TEXTAFTER(A572,"|"),"|"))</f>
        <v/>
      </c>
      <c r="D572">
        <f>IF(A572="","",TEXTAFTER(A572,"|",2))</f>
        <v/>
      </c>
      <c r="E572">
        <f>IF(A572="","",SUMIF(Tickets[TripKey],A572,Tickets[TP]))</f>
        <v/>
      </c>
      <c r="F572">
        <f>IF(A572="","",SUMIF(Tickets[TripKey],A572,Tickets[Revenue]))</f>
        <v/>
      </c>
      <c r="G572">
        <f>IF(A572="","",SUMIF(Tickets[TripKey],A572,Tickets[PK]))</f>
        <v/>
      </c>
      <c r="H572">
        <f>IF(A572="","",IFERROR(XLOOKUP(A572,Tickets[TripKey],Tickets[VehClean]),""))</f>
        <v/>
      </c>
      <c r="I572">
        <f>IF(A572="","",IFERROR(XLOOKUP(A572,Tickets[TripKey],Tickets[RouteLen]),0))</f>
        <v/>
      </c>
      <c r="J572">
        <f>IF(A572="","",IFERROR(XLOOKUP(A572,Tickets[TripKey],Tickets[Capacity]),0))</f>
        <v/>
      </c>
      <c r="K572">
        <f>IF(A572="","",I572*J572)</f>
        <v/>
      </c>
      <c r="L572">
        <f>IF(A572="","",IFERROR(MINIFS(Tickets[Trip Start Time],Tickets[TripKey],A572),""))</f>
        <v/>
      </c>
    </row>
    <row r="573">
      <c r="B573" s="8">
        <f>IF(A573="","",IFERROR(DATEVALUE(TEXTBEFORE(A573,"|")),--LEFT(A573,10)))</f>
        <v/>
      </c>
      <c r="C573">
        <f>IF(A573="","",TEXTBEFORE(TEXTAFTER(A573,"|"),"|"))</f>
        <v/>
      </c>
      <c r="D573">
        <f>IF(A573="","",TEXTAFTER(A573,"|",2))</f>
        <v/>
      </c>
      <c r="E573">
        <f>IF(A573="","",SUMIF(Tickets[TripKey],A573,Tickets[TP]))</f>
        <v/>
      </c>
      <c r="F573">
        <f>IF(A573="","",SUMIF(Tickets[TripKey],A573,Tickets[Revenue]))</f>
        <v/>
      </c>
      <c r="G573">
        <f>IF(A573="","",SUMIF(Tickets[TripKey],A573,Tickets[PK]))</f>
        <v/>
      </c>
      <c r="H573">
        <f>IF(A573="","",IFERROR(XLOOKUP(A573,Tickets[TripKey],Tickets[VehClean]),""))</f>
        <v/>
      </c>
      <c r="I573">
        <f>IF(A573="","",IFERROR(XLOOKUP(A573,Tickets[TripKey],Tickets[RouteLen]),0))</f>
        <v/>
      </c>
      <c r="J573">
        <f>IF(A573="","",IFERROR(XLOOKUP(A573,Tickets[TripKey],Tickets[Capacity]),0))</f>
        <v/>
      </c>
      <c r="K573">
        <f>IF(A573="","",I573*J573)</f>
        <v/>
      </c>
      <c r="L573">
        <f>IF(A573="","",IFERROR(MINIFS(Tickets[Trip Start Time],Tickets[TripKey],A573),""))</f>
        <v/>
      </c>
    </row>
    <row r="574">
      <c r="B574" s="8">
        <f>IF(A574="","",IFERROR(DATEVALUE(TEXTBEFORE(A574,"|")),--LEFT(A574,10)))</f>
        <v/>
      </c>
      <c r="C574">
        <f>IF(A574="","",TEXTBEFORE(TEXTAFTER(A574,"|"),"|"))</f>
        <v/>
      </c>
      <c r="D574">
        <f>IF(A574="","",TEXTAFTER(A574,"|",2))</f>
        <v/>
      </c>
      <c r="E574">
        <f>IF(A574="","",SUMIF(Tickets[TripKey],A574,Tickets[TP]))</f>
        <v/>
      </c>
      <c r="F574">
        <f>IF(A574="","",SUMIF(Tickets[TripKey],A574,Tickets[Revenue]))</f>
        <v/>
      </c>
      <c r="G574">
        <f>IF(A574="","",SUMIF(Tickets[TripKey],A574,Tickets[PK]))</f>
        <v/>
      </c>
      <c r="H574">
        <f>IF(A574="","",IFERROR(XLOOKUP(A574,Tickets[TripKey],Tickets[VehClean]),""))</f>
        <v/>
      </c>
      <c r="I574">
        <f>IF(A574="","",IFERROR(XLOOKUP(A574,Tickets[TripKey],Tickets[RouteLen]),0))</f>
        <v/>
      </c>
      <c r="J574">
        <f>IF(A574="","",IFERROR(XLOOKUP(A574,Tickets[TripKey],Tickets[Capacity]),0))</f>
        <v/>
      </c>
      <c r="K574">
        <f>IF(A574="","",I574*J574)</f>
        <v/>
      </c>
      <c r="L574">
        <f>IF(A574="","",IFERROR(MINIFS(Tickets[Trip Start Time],Tickets[TripKey],A574),""))</f>
        <v/>
      </c>
    </row>
    <row r="575">
      <c r="B575" s="8">
        <f>IF(A575="","",IFERROR(DATEVALUE(TEXTBEFORE(A575,"|")),--LEFT(A575,10)))</f>
        <v/>
      </c>
      <c r="C575">
        <f>IF(A575="","",TEXTBEFORE(TEXTAFTER(A575,"|"),"|"))</f>
        <v/>
      </c>
      <c r="D575">
        <f>IF(A575="","",TEXTAFTER(A575,"|",2))</f>
        <v/>
      </c>
      <c r="E575">
        <f>IF(A575="","",SUMIF(Tickets[TripKey],A575,Tickets[TP]))</f>
        <v/>
      </c>
      <c r="F575">
        <f>IF(A575="","",SUMIF(Tickets[TripKey],A575,Tickets[Revenue]))</f>
        <v/>
      </c>
      <c r="G575">
        <f>IF(A575="","",SUMIF(Tickets[TripKey],A575,Tickets[PK]))</f>
        <v/>
      </c>
      <c r="H575">
        <f>IF(A575="","",IFERROR(XLOOKUP(A575,Tickets[TripKey],Tickets[VehClean]),""))</f>
        <v/>
      </c>
      <c r="I575">
        <f>IF(A575="","",IFERROR(XLOOKUP(A575,Tickets[TripKey],Tickets[RouteLen]),0))</f>
        <v/>
      </c>
      <c r="J575">
        <f>IF(A575="","",IFERROR(XLOOKUP(A575,Tickets[TripKey],Tickets[Capacity]),0))</f>
        <v/>
      </c>
      <c r="K575">
        <f>IF(A575="","",I575*J575)</f>
        <v/>
      </c>
      <c r="L575">
        <f>IF(A575="","",IFERROR(MINIFS(Tickets[Trip Start Time],Tickets[TripKey],A575),""))</f>
        <v/>
      </c>
    </row>
    <row r="576">
      <c r="B576" s="8">
        <f>IF(A576="","",IFERROR(DATEVALUE(TEXTBEFORE(A576,"|")),--LEFT(A576,10)))</f>
        <v/>
      </c>
      <c r="C576">
        <f>IF(A576="","",TEXTBEFORE(TEXTAFTER(A576,"|"),"|"))</f>
        <v/>
      </c>
      <c r="D576">
        <f>IF(A576="","",TEXTAFTER(A576,"|",2))</f>
        <v/>
      </c>
      <c r="E576">
        <f>IF(A576="","",SUMIF(Tickets[TripKey],A576,Tickets[TP]))</f>
        <v/>
      </c>
      <c r="F576">
        <f>IF(A576="","",SUMIF(Tickets[TripKey],A576,Tickets[Revenue]))</f>
        <v/>
      </c>
      <c r="G576">
        <f>IF(A576="","",SUMIF(Tickets[TripKey],A576,Tickets[PK]))</f>
        <v/>
      </c>
      <c r="H576">
        <f>IF(A576="","",IFERROR(XLOOKUP(A576,Tickets[TripKey],Tickets[VehClean]),""))</f>
        <v/>
      </c>
      <c r="I576">
        <f>IF(A576="","",IFERROR(XLOOKUP(A576,Tickets[TripKey],Tickets[RouteLen]),0))</f>
        <v/>
      </c>
      <c r="J576">
        <f>IF(A576="","",IFERROR(XLOOKUP(A576,Tickets[TripKey],Tickets[Capacity]),0))</f>
        <v/>
      </c>
      <c r="K576">
        <f>IF(A576="","",I576*J576)</f>
        <v/>
      </c>
      <c r="L576">
        <f>IF(A576="","",IFERROR(MINIFS(Tickets[Trip Start Time],Tickets[TripKey],A576),""))</f>
        <v/>
      </c>
    </row>
    <row r="577">
      <c r="B577" s="8">
        <f>IF(A577="","",IFERROR(DATEVALUE(TEXTBEFORE(A577,"|")),--LEFT(A577,10)))</f>
        <v/>
      </c>
      <c r="C577">
        <f>IF(A577="","",TEXTBEFORE(TEXTAFTER(A577,"|"),"|"))</f>
        <v/>
      </c>
      <c r="D577">
        <f>IF(A577="","",TEXTAFTER(A577,"|",2))</f>
        <v/>
      </c>
      <c r="E577">
        <f>IF(A577="","",SUMIF(Tickets[TripKey],A577,Tickets[TP]))</f>
        <v/>
      </c>
      <c r="F577">
        <f>IF(A577="","",SUMIF(Tickets[TripKey],A577,Tickets[Revenue]))</f>
        <v/>
      </c>
      <c r="G577">
        <f>IF(A577="","",SUMIF(Tickets[TripKey],A577,Tickets[PK]))</f>
        <v/>
      </c>
      <c r="H577">
        <f>IF(A577="","",IFERROR(XLOOKUP(A577,Tickets[TripKey],Tickets[VehClean]),""))</f>
        <v/>
      </c>
      <c r="I577">
        <f>IF(A577="","",IFERROR(XLOOKUP(A577,Tickets[TripKey],Tickets[RouteLen]),0))</f>
        <v/>
      </c>
      <c r="J577">
        <f>IF(A577="","",IFERROR(XLOOKUP(A577,Tickets[TripKey],Tickets[Capacity]),0))</f>
        <v/>
      </c>
      <c r="K577">
        <f>IF(A577="","",I577*J577)</f>
        <v/>
      </c>
      <c r="L577">
        <f>IF(A577="","",IFERROR(MINIFS(Tickets[Trip Start Time],Tickets[TripKey],A577),""))</f>
        <v/>
      </c>
    </row>
    <row r="578">
      <c r="B578" s="8">
        <f>IF(A578="","",IFERROR(DATEVALUE(TEXTBEFORE(A578,"|")),--LEFT(A578,10)))</f>
        <v/>
      </c>
      <c r="C578">
        <f>IF(A578="","",TEXTBEFORE(TEXTAFTER(A578,"|"),"|"))</f>
        <v/>
      </c>
      <c r="D578">
        <f>IF(A578="","",TEXTAFTER(A578,"|",2))</f>
        <v/>
      </c>
      <c r="E578">
        <f>IF(A578="","",SUMIF(Tickets[TripKey],A578,Tickets[TP]))</f>
        <v/>
      </c>
      <c r="F578">
        <f>IF(A578="","",SUMIF(Tickets[TripKey],A578,Tickets[Revenue]))</f>
        <v/>
      </c>
      <c r="G578">
        <f>IF(A578="","",SUMIF(Tickets[TripKey],A578,Tickets[PK]))</f>
        <v/>
      </c>
      <c r="H578">
        <f>IF(A578="","",IFERROR(XLOOKUP(A578,Tickets[TripKey],Tickets[VehClean]),""))</f>
        <v/>
      </c>
      <c r="I578">
        <f>IF(A578="","",IFERROR(XLOOKUP(A578,Tickets[TripKey],Tickets[RouteLen]),0))</f>
        <v/>
      </c>
      <c r="J578">
        <f>IF(A578="","",IFERROR(XLOOKUP(A578,Tickets[TripKey],Tickets[Capacity]),0))</f>
        <v/>
      </c>
      <c r="K578">
        <f>IF(A578="","",I578*J578)</f>
        <v/>
      </c>
      <c r="L578">
        <f>IF(A578="","",IFERROR(MINIFS(Tickets[Trip Start Time],Tickets[TripKey],A578),""))</f>
        <v/>
      </c>
    </row>
    <row r="579">
      <c r="B579" s="8">
        <f>IF(A579="","",IFERROR(DATEVALUE(TEXTBEFORE(A579,"|")),--LEFT(A579,10)))</f>
        <v/>
      </c>
      <c r="C579">
        <f>IF(A579="","",TEXTBEFORE(TEXTAFTER(A579,"|"),"|"))</f>
        <v/>
      </c>
      <c r="D579">
        <f>IF(A579="","",TEXTAFTER(A579,"|",2))</f>
        <v/>
      </c>
      <c r="E579">
        <f>IF(A579="","",SUMIF(Tickets[TripKey],A579,Tickets[TP]))</f>
        <v/>
      </c>
      <c r="F579">
        <f>IF(A579="","",SUMIF(Tickets[TripKey],A579,Tickets[Revenue]))</f>
        <v/>
      </c>
      <c r="G579">
        <f>IF(A579="","",SUMIF(Tickets[TripKey],A579,Tickets[PK]))</f>
        <v/>
      </c>
      <c r="H579">
        <f>IF(A579="","",IFERROR(XLOOKUP(A579,Tickets[TripKey],Tickets[VehClean]),""))</f>
        <v/>
      </c>
      <c r="I579">
        <f>IF(A579="","",IFERROR(XLOOKUP(A579,Tickets[TripKey],Tickets[RouteLen]),0))</f>
        <v/>
      </c>
      <c r="J579">
        <f>IF(A579="","",IFERROR(XLOOKUP(A579,Tickets[TripKey],Tickets[Capacity]),0))</f>
        <v/>
      </c>
      <c r="K579">
        <f>IF(A579="","",I579*J579)</f>
        <v/>
      </c>
      <c r="L579">
        <f>IF(A579="","",IFERROR(MINIFS(Tickets[Trip Start Time],Tickets[TripKey],A579),""))</f>
        <v/>
      </c>
    </row>
    <row r="580">
      <c r="B580" s="8">
        <f>IF(A580="","",IFERROR(DATEVALUE(TEXTBEFORE(A580,"|")),--LEFT(A580,10)))</f>
        <v/>
      </c>
      <c r="C580">
        <f>IF(A580="","",TEXTBEFORE(TEXTAFTER(A580,"|"),"|"))</f>
        <v/>
      </c>
      <c r="D580">
        <f>IF(A580="","",TEXTAFTER(A580,"|",2))</f>
        <v/>
      </c>
      <c r="E580">
        <f>IF(A580="","",SUMIF(Tickets[TripKey],A580,Tickets[TP]))</f>
        <v/>
      </c>
      <c r="F580">
        <f>IF(A580="","",SUMIF(Tickets[TripKey],A580,Tickets[Revenue]))</f>
        <v/>
      </c>
      <c r="G580">
        <f>IF(A580="","",SUMIF(Tickets[TripKey],A580,Tickets[PK]))</f>
        <v/>
      </c>
      <c r="H580">
        <f>IF(A580="","",IFERROR(XLOOKUP(A580,Tickets[TripKey],Tickets[VehClean]),""))</f>
        <v/>
      </c>
      <c r="I580">
        <f>IF(A580="","",IFERROR(XLOOKUP(A580,Tickets[TripKey],Tickets[RouteLen]),0))</f>
        <v/>
      </c>
      <c r="J580">
        <f>IF(A580="","",IFERROR(XLOOKUP(A580,Tickets[TripKey],Tickets[Capacity]),0))</f>
        <v/>
      </c>
      <c r="K580">
        <f>IF(A580="","",I580*J580)</f>
        <v/>
      </c>
      <c r="L580">
        <f>IF(A580="","",IFERROR(MINIFS(Tickets[Trip Start Time],Tickets[TripKey],A580),""))</f>
        <v/>
      </c>
    </row>
    <row r="581">
      <c r="B581" s="8">
        <f>IF(A581="","",IFERROR(DATEVALUE(TEXTBEFORE(A581,"|")),--LEFT(A581,10)))</f>
        <v/>
      </c>
      <c r="C581">
        <f>IF(A581="","",TEXTBEFORE(TEXTAFTER(A581,"|"),"|"))</f>
        <v/>
      </c>
      <c r="D581">
        <f>IF(A581="","",TEXTAFTER(A581,"|",2))</f>
        <v/>
      </c>
      <c r="E581">
        <f>IF(A581="","",SUMIF(Tickets[TripKey],A581,Tickets[TP]))</f>
        <v/>
      </c>
      <c r="F581">
        <f>IF(A581="","",SUMIF(Tickets[TripKey],A581,Tickets[Revenue]))</f>
        <v/>
      </c>
      <c r="G581">
        <f>IF(A581="","",SUMIF(Tickets[TripKey],A581,Tickets[PK]))</f>
        <v/>
      </c>
      <c r="H581">
        <f>IF(A581="","",IFERROR(XLOOKUP(A581,Tickets[TripKey],Tickets[VehClean]),""))</f>
        <v/>
      </c>
      <c r="I581">
        <f>IF(A581="","",IFERROR(XLOOKUP(A581,Tickets[TripKey],Tickets[RouteLen]),0))</f>
        <v/>
      </c>
      <c r="J581">
        <f>IF(A581="","",IFERROR(XLOOKUP(A581,Tickets[TripKey],Tickets[Capacity]),0))</f>
        <v/>
      </c>
      <c r="K581">
        <f>IF(A581="","",I581*J581)</f>
        <v/>
      </c>
      <c r="L581">
        <f>IF(A581="","",IFERROR(MINIFS(Tickets[Trip Start Time],Tickets[TripKey],A581),""))</f>
        <v/>
      </c>
    </row>
    <row r="582">
      <c r="B582" s="8">
        <f>IF(A582="","",IFERROR(DATEVALUE(TEXTBEFORE(A582,"|")),--LEFT(A582,10)))</f>
        <v/>
      </c>
      <c r="C582">
        <f>IF(A582="","",TEXTBEFORE(TEXTAFTER(A582,"|"),"|"))</f>
        <v/>
      </c>
      <c r="D582">
        <f>IF(A582="","",TEXTAFTER(A582,"|",2))</f>
        <v/>
      </c>
      <c r="E582">
        <f>IF(A582="","",SUMIF(Tickets[TripKey],A582,Tickets[TP]))</f>
        <v/>
      </c>
      <c r="F582">
        <f>IF(A582="","",SUMIF(Tickets[TripKey],A582,Tickets[Revenue]))</f>
        <v/>
      </c>
      <c r="G582">
        <f>IF(A582="","",SUMIF(Tickets[TripKey],A582,Tickets[PK]))</f>
        <v/>
      </c>
      <c r="H582">
        <f>IF(A582="","",IFERROR(XLOOKUP(A582,Tickets[TripKey],Tickets[VehClean]),""))</f>
        <v/>
      </c>
      <c r="I582">
        <f>IF(A582="","",IFERROR(XLOOKUP(A582,Tickets[TripKey],Tickets[RouteLen]),0))</f>
        <v/>
      </c>
      <c r="J582">
        <f>IF(A582="","",IFERROR(XLOOKUP(A582,Tickets[TripKey],Tickets[Capacity]),0))</f>
        <v/>
      </c>
      <c r="K582">
        <f>IF(A582="","",I582*J582)</f>
        <v/>
      </c>
      <c r="L582">
        <f>IF(A582="","",IFERROR(MINIFS(Tickets[Trip Start Time],Tickets[TripKey],A582),""))</f>
        <v/>
      </c>
    </row>
    <row r="583">
      <c r="B583" s="8">
        <f>IF(A583="","",IFERROR(DATEVALUE(TEXTBEFORE(A583,"|")),--LEFT(A583,10)))</f>
        <v/>
      </c>
      <c r="C583">
        <f>IF(A583="","",TEXTBEFORE(TEXTAFTER(A583,"|"),"|"))</f>
        <v/>
      </c>
      <c r="D583">
        <f>IF(A583="","",TEXTAFTER(A583,"|",2))</f>
        <v/>
      </c>
      <c r="E583">
        <f>IF(A583="","",SUMIF(Tickets[TripKey],A583,Tickets[TP]))</f>
        <v/>
      </c>
      <c r="F583">
        <f>IF(A583="","",SUMIF(Tickets[TripKey],A583,Tickets[Revenue]))</f>
        <v/>
      </c>
      <c r="G583">
        <f>IF(A583="","",SUMIF(Tickets[TripKey],A583,Tickets[PK]))</f>
        <v/>
      </c>
      <c r="H583">
        <f>IF(A583="","",IFERROR(XLOOKUP(A583,Tickets[TripKey],Tickets[VehClean]),""))</f>
        <v/>
      </c>
      <c r="I583">
        <f>IF(A583="","",IFERROR(XLOOKUP(A583,Tickets[TripKey],Tickets[RouteLen]),0))</f>
        <v/>
      </c>
      <c r="J583">
        <f>IF(A583="","",IFERROR(XLOOKUP(A583,Tickets[TripKey],Tickets[Capacity]),0))</f>
        <v/>
      </c>
      <c r="K583">
        <f>IF(A583="","",I583*J583)</f>
        <v/>
      </c>
      <c r="L583">
        <f>IF(A583="","",IFERROR(MINIFS(Tickets[Trip Start Time],Tickets[TripKey],A583),""))</f>
        <v/>
      </c>
    </row>
    <row r="584">
      <c r="B584" s="8">
        <f>IF(A584="","",IFERROR(DATEVALUE(TEXTBEFORE(A584,"|")),--LEFT(A584,10)))</f>
        <v/>
      </c>
      <c r="C584">
        <f>IF(A584="","",TEXTBEFORE(TEXTAFTER(A584,"|"),"|"))</f>
        <v/>
      </c>
      <c r="D584">
        <f>IF(A584="","",TEXTAFTER(A584,"|",2))</f>
        <v/>
      </c>
      <c r="E584">
        <f>IF(A584="","",SUMIF(Tickets[TripKey],A584,Tickets[TP]))</f>
        <v/>
      </c>
      <c r="F584">
        <f>IF(A584="","",SUMIF(Tickets[TripKey],A584,Tickets[Revenue]))</f>
        <v/>
      </c>
      <c r="G584">
        <f>IF(A584="","",SUMIF(Tickets[TripKey],A584,Tickets[PK]))</f>
        <v/>
      </c>
      <c r="H584">
        <f>IF(A584="","",IFERROR(XLOOKUP(A584,Tickets[TripKey],Tickets[VehClean]),""))</f>
        <v/>
      </c>
      <c r="I584">
        <f>IF(A584="","",IFERROR(XLOOKUP(A584,Tickets[TripKey],Tickets[RouteLen]),0))</f>
        <v/>
      </c>
      <c r="J584">
        <f>IF(A584="","",IFERROR(XLOOKUP(A584,Tickets[TripKey],Tickets[Capacity]),0))</f>
        <v/>
      </c>
      <c r="K584">
        <f>IF(A584="","",I584*J584)</f>
        <v/>
      </c>
      <c r="L584">
        <f>IF(A584="","",IFERROR(MINIFS(Tickets[Trip Start Time],Tickets[TripKey],A584),""))</f>
        <v/>
      </c>
    </row>
    <row r="585">
      <c r="B585" s="8">
        <f>IF(A585="","",IFERROR(DATEVALUE(TEXTBEFORE(A585,"|")),--LEFT(A585,10)))</f>
        <v/>
      </c>
      <c r="C585">
        <f>IF(A585="","",TEXTBEFORE(TEXTAFTER(A585,"|"),"|"))</f>
        <v/>
      </c>
      <c r="D585">
        <f>IF(A585="","",TEXTAFTER(A585,"|",2))</f>
        <v/>
      </c>
      <c r="E585">
        <f>IF(A585="","",SUMIF(Tickets[TripKey],A585,Tickets[TP]))</f>
        <v/>
      </c>
      <c r="F585">
        <f>IF(A585="","",SUMIF(Tickets[TripKey],A585,Tickets[Revenue]))</f>
        <v/>
      </c>
      <c r="G585">
        <f>IF(A585="","",SUMIF(Tickets[TripKey],A585,Tickets[PK]))</f>
        <v/>
      </c>
      <c r="H585">
        <f>IF(A585="","",IFERROR(XLOOKUP(A585,Tickets[TripKey],Tickets[VehClean]),""))</f>
        <v/>
      </c>
      <c r="I585">
        <f>IF(A585="","",IFERROR(XLOOKUP(A585,Tickets[TripKey],Tickets[RouteLen]),0))</f>
        <v/>
      </c>
      <c r="J585">
        <f>IF(A585="","",IFERROR(XLOOKUP(A585,Tickets[TripKey],Tickets[Capacity]),0))</f>
        <v/>
      </c>
      <c r="K585">
        <f>IF(A585="","",I585*J585)</f>
        <v/>
      </c>
      <c r="L585">
        <f>IF(A585="","",IFERROR(MINIFS(Tickets[Trip Start Time],Tickets[TripKey],A585),""))</f>
        <v/>
      </c>
    </row>
    <row r="586">
      <c r="B586" s="8">
        <f>IF(A586="","",IFERROR(DATEVALUE(TEXTBEFORE(A586,"|")),--LEFT(A586,10)))</f>
        <v/>
      </c>
      <c r="C586">
        <f>IF(A586="","",TEXTBEFORE(TEXTAFTER(A586,"|"),"|"))</f>
        <v/>
      </c>
      <c r="D586">
        <f>IF(A586="","",TEXTAFTER(A586,"|",2))</f>
        <v/>
      </c>
      <c r="E586">
        <f>IF(A586="","",SUMIF(Tickets[TripKey],A586,Tickets[TP]))</f>
        <v/>
      </c>
      <c r="F586">
        <f>IF(A586="","",SUMIF(Tickets[TripKey],A586,Tickets[Revenue]))</f>
        <v/>
      </c>
      <c r="G586">
        <f>IF(A586="","",SUMIF(Tickets[TripKey],A586,Tickets[PK]))</f>
        <v/>
      </c>
      <c r="H586">
        <f>IF(A586="","",IFERROR(XLOOKUP(A586,Tickets[TripKey],Tickets[VehClean]),""))</f>
        <v/>
      </c>
      <c r="I586">
        <f>IF(A586="","",IFERROR(XLOOKUP(A586,Tickets[TripKey],Tickets[RouteLen]),0))</f>
        <v/>
      </c>
      <c r="J586">
        <f>IF(A586="","",IFERROR(XLOOKUP(A586,Tickets[TripKey],Tickets[Capacity]),0))</f>
        <v/>
      </c>
      <c r="K586">
        <f>IF(A586="","",I586*J586)</f>
        <v/>
      </c>
      <c r="L586">
        <f>IF(A586="","",IFERROR(MINIFS(Tickets[Trip Start Time],Tickets[TripKey],A586),""))</f>
        <v/>
      </c>
    </row>
    <row r="587">
      <c r="B587" s="8">
        <f>IF(A587="","",IFERROR(DATEVALUE(TEXTBEFORE(A587,"|")),--LEFT(A587,10)))</f>
        <v/>
      </c>
      <c r="C587">
        <f>IF(A587="","",TEXTBEFORE(TEXTAFTER(A587,"|"),"|"))</f>
        <v/>
      </c>
      <c r="D587">
        <f>IF(A587="","",TEXTAFTER(A587,"|",2))</f>
        <v/>
      </c>
      <c r="E587">
        <f>IF(A587="","",SUMIF(Tickets[TripKey],A587,Tickets[TP]))</f>
        <v/>
      </c>
      <c r="F587">
        <f>IF(A587="","",SUMIF(Tickets[TripKey],A587,Tickets[Revenue]))</f>
        <v/>
      </c>
      <c r="G587">
        <f>IF(A587="","",SUMIF(Tickets[TripKey],A587,Tickets[PK]))</f>
        <v/>
      </c>
      <c r="H587">
        <f>IF(A587="","",IFERROR(XLOOKUP(A587,Tickets[TripKey],Tickets[VehClean]),""))</f>
        <v/>
      </c>
      <c r="I587">
        <f>IF(A587="","",IFERROR(XLOOKUP(A587,Tickets[TripKey],Tickets[RouteLen]),0))</f>
        <v/>
      </c>
      <c r="J587">
        <f>IF(A587="","",IFERROR(XLOOKUP(A587,Tickets[TripKey],Tickets[Capacity]),0))</f>
        <v/>
      </c>
      <c r="K587">
        <f>IF(A587="","",I587*J587)</f>
        <v/>
      </c>
      <c r="L587">
        <f>IF(A587="","",IFERROR(MINIFS(Tickets[Trip Start Time],Tickets[TripKey],A587),""))</f>
        <v/>
      </c>
    </row>
    <row r="588">
      <c r="B588" s="8">
        <f>IF(A588="","",IFERROR(DATEVALUE(TEXTBEFORE(A588,"|")),--LEFT(A588,10)))</f>
        <v/>
      </c>
      <c r="C588">
        <f>IF(A588="","",TEXTBEFORE(TEXTAFTER(A588,"|"),"|"))</f>
        <v/>
      </c>
      <c r="D588">
        <f>IF(A588="","",TEXTAFTER(A588,"|",2))</f>
        <v/>
      </c>
      <c r="E588">
        <f>IF(A588="","",SUMIF(Tickets[TripKey],A588,Tickets[TP]))</f>
        <v/>
      </c>
      <c r="F588">
        <f>IF(A588="","",SUMIF(Tickets[TripKey],A588,Tickets[Revenue]))</f>
        <v/>
      </c>
      <c r="G588">
        <f>IF(A588="","",SUMIF(Tickets[TripKey],A588,Tickets[PK]))</f>
        <v/>
      </c>
      <c r="H588">
        <f>IF(A588="","",IFERROR(XLOOKUP(A588,Tickets[TripKey],Tickets[VehClean]),""))</f>
        <v/>
      </c>
      <c r="I588">
        <f>IF(A588="","",IFERROR(XLOOKUP(A588,Tickets[TripKey],Tickets[RouteLen]),0))</f>
        <v/>
      </c>
      <c r="J588">
        <f>IF(A588="","",IFERROR(XLOOKUP(A588,Tickets[TripKey],Tickets[Capacity]),0))</f>
        <v/>
      </c>
      <c r="K588">
        <f>IF(A588="","",I588*J588)</f>
        <v/>
      </c>
      <c r="L588">
        <f>IF(A588="","",IFERROR(MINIFS(Tickets[Trip Start Time],Tickets[TripKey],A588),""))</f>
        <v/>
      </c>
    </row>
    <row r="589">
      <c r="B589" s="8">
        <f>IF(A589="","",IFERROR(DATEVALUE(TEXTBEFORE(A589,"|")),--LEFT(A589,10)))</f>
        <v/>
      </c>
      <c r="C589">
        <f>IF(A589="","",TEXTBEFORE(TEXTAFTER(A589,"|"),"|"))</f>
        <v/>
      </c>
      <c r="D589">
        <f>IF(A589="","",TEXTAFTER(A589,"|",2))</f>
        <v/>
      </c>
      <c r="E589">
        <f>IF(A589="","",SUMIF(Tickets[TripKey],A589,Tickets[TP]))</f>
        <v/>
      </c>
      <c r="F589">
        <f>IF(A589="","",SUMIF(Tickets[TripKey],A589,Tickets[Revenue]))</f>
        <v/>
      </c>
      <c r="G589">
        <f>IF(A589="","",SUMIF(Tickets[TripKey],A589,Tickets[PK]))</f>
        <v/>
      </c>
      <c r="H589">
        <f>IF(A589="","",IFERROR(XLOOKUP(A589,Tickets[TripKey],Tickets[VehClean]),""))</f>
        <v/>
      </c>
      <c r="I589">
        <f>IF(A589="","",IFERROR(XLOOKUP(A589,Tickets[TripKey],Tickets[RouteLen]),0))</f>
        <v/>
      </c>
      <c r="J589">
        <f>IF(A589="","",IFERROR(XLOOKUP(A589,Tickets[TripKey],Tickets[Capacity]),0))</f>
        <v/>
      </c>
      <c r="K589">
        <f>IF(A589="","",I589*J589)</f>
        <v/>
      </c>
      <c r="L589">
        <f>IF(A589="","",IFERROR(MINIFS(Tickets[Trip Start Time],Tickets[TripKey],A589),""))</f>
        <v/>
      </c>
    </row>
    <row r="590">
      <c r="B590" s="8">
        <f>IF(A590="","",IFERROR(DATEVALUE(TEXTBEFORE(A590,"|")),--LEFT(A590,10)))</f>
        <v/>
      </c>
      <c r="C590">
        <f>IF(A590="","",TEXTBEFORE(TEXTAFTER(A590,"|"),"|"))</f>
        <v/>
      </c>
      <c r="D590">
        <f>IF(A590="","",TEXTAFTER(A590,"|",2))</f>
        <v/>
      </c>
      <c r="E590">
        <f>IF(A590="","",SUMIF(Tickets[TripKey],A590,Tickets[TP]))</f>
        <v/>
      </c>
      <c r="F590">
        <f>IF(A590="","",SUMIF(Tickets[TripKey],A590,Tickets[Revenue]))</f>
        <v/>
      </c>
      <c r="G590">
        <f>IF(A590="","",SUMIF(Tickets[TripKey],A590,Tickets[PK]))</f>
        <v/>
      </c>
      <c r="H590">
        <f>IF(A590="","",IFERROR(XLOOKUP(A590,Tickets[TripKey],Tickets[VehClean]),""))</f>
        <v/>
      </c>
      <c r="I590">
        <f>IF(A590="","",IFERROR(XLOOKUP(A590,Tickets[TripKey],Tickets[RouteLen]),0))</f>
        <v/>
      </c>
      <c r="J590">
        <f>IF(A590="","",IFERROR(XLOOKUP(A590,Tickets[TripKey],Tickets[Capacity]),0))</f>
        <v/>
      </c>
      <c r="K590">
        <f>IF(A590="","",I590*J590)</f>
        <v/>
      </c>
      <c r="L590">
        <f>IF(A590="","",IFERROR(MINIFS(Tickets[Trip Start Time],Tickets[TripKey],A590),""))</f>
        <v/>
      </c>
    </row>
    <row r="591">
      <c r="B591" s="8">
        <f>IF(A591="","",IFERROR(DATEVALUE(TEXTBEFORE(A591,"|")),--LEFT(A591,10)))</f>
        <v/>
      </c>
      <c r="C591">
        <f>IF(A591="","",TEXTBEFORE(TEXTAFTER(A591,"|"),"|"))</f>
        <v/>
      </c>
      <c r="D591">
        <f>IF(A591="","",TEXTAFTER(A591,"|",2))</f>
        <v/>
      </c>
      <c r="E591">
        <f>IF(A591="","",SUMIF(Tickets[TripKey],A591,Tickets[TP]))</f>
        <v/>
      </c>
      <c r="F591">
        <f>IF(A591="","",SUMIF(Tickets[TripKey],A591,Tickets[Revenue]))</f>
        <v/>
      </c>
      <c r="G591">
        <f>IF(A591="","",SUMIF(Tickets[TripKey],A591,Tickets[PK]))</f>
        <v/>
      </c>
      <c r="H591">
        <f>IF(A591="","",IFERROR(XLOOKUP(A591,Tickets[TripKey],Tickets[VehClean]),""))</f>
        <v/>
      </c>
      <c r="I591">
        <f>IF(A591="","",IFERROR(XLOOKUP(A591,Tickets[TripKey],Tickets[RouteLen]),0))</f>
        <v/>
      </c>
      <c r="J591">
        <f>IF(A591="","",IFERROR(XLOOKUP(A591,Tickets[TripKey],Tickets[Capacity]),0))</f>
        <v/>
      </c>
      <c r="K591">
        <f>IF(A591="","",I591*J591)</f>
        <v/>
      </c>
      <c r="L591">
        <f>IF(A591="","",IFERROR(MINIFS(Tickets[Trip Start Time],Tickets[TripKey],A591),""))</f>
        <v/>
      </c>
    </row>
    <row r="592">
      <c r="B592" s="8">
        <f>IF(A592="","",IFERROR(DATEVALUE(TEXTBEFORE(A592,"|")),--LEFT(A592,10)))</f>
        <v/>
      </c>
      <c r="C592">
        <f>IF(A592="","",TEXTBEFORE(TEXTAFTER(A592,"|"),"|"))</f>
        <v/>
      </c>
      <c r="D592">
        <f>IF(A592="","",TEXTAFTER(A592,"|",2))</f>
        <v/>
      </c>
      <c r="E592">
        <f>IF(A592="","",SUMIF(Tickets[TripKey],A592,Tickets[TP]))</f>
        <v/>
      </c>
      <c r="F592">
        <f>IF(A592="","",SUMIF(Tickets[TripKey],A592,Tickets[Revenue]))</f>
        <v/>
      </c>
      <c r="G592">
        <f>IF(A592="","",SUMIF(Tickets[TripKey],A592,Tickets[PK]))</f>
        <v/>
      </c>
      <c r="H592">
        <f>IF(A592="","",IFERROR(XLOOKUP(A592,Tickets[TripKey],Tickets[VehClean]),""))</f>
        <v/>
      </c>
      <c r="I592">
        <f>IF(A592="","",IFERROR(XLOOKUP(A592,Tickets[TripKey],Tickets[RouteLen]),0))</f>
        <v/>
      </c>
      <c r="J592">
        <f>IF(A592="","",IFERROR(XLOOKUP(A592,Tickets[TripKey],Tickets[Capacity]),0))</f>
        <v/>
      </c>
      <c r="K592">
        <f>IF(A592="","",I592*J592)</f>
        <v/>
      </c>
      <c r="L592">
        <f>IF(A592="","",IFERROR(MINIFS(Tickets[Trip Start Time],Tickets[TripKey],A592),""))</f>
        <v/>
      </c>
    </row>
    <row r="593">
      <c r="B593" s="8">
        <f>IF(A593="","",IFERROR(DATEVALUE(TEXTBEFORE(A593,"|")),--LEFT(A593,10)))</f>
        <v/>
      </c>
      <c r="C593">
        <f>IF(A593="","",TEXTBEFORE(TEXTAFTER(A593,"|"),"|"))</f>
        <v/>
      </c>
      <c r="D593">
        <f>IF(A593="","",TEXTAFTER(A593,"|",2))</f>
        <v/>
      </c>
      <c r="E593">
        <f>IF(A593="","",SUMIF(Tickets[TripKey],A593,Tickets[TP]))</f>
        <v/>
      </c>
      <c r="F593">
        <f>IF(A593="","",SUMIF(Tickets[TripKey],A593,Tickets[Revenue]))</f>
        <v/>
      </c>
      <c r="G593">
        <f>IF(A593="","",SUMIF(Tickets[TripKey],A593,Tickets[PK]))</f>
        <v/>
      </c>
      <c r="H593">
        <f>IF(A593="","",IFERROR(XLOOKUP(A593,Tickets[TripKey],Tickets[VehClean]),""))</f>
        <v/>
      </c>
      <c r="I593">
        <f>IF(A593="","",IFERROR(XLOOKUP(A593,Tickets[TripKey],Tickets[RouteLen]),0))</f>
        <v/>
      </c>
      <c r="J593">
        <f>IF(A593="","",IFERROR(XLOOKUP(A593,Tickets[TripKey],Tickets[Capacity]),0))</f>
        <v/>
      </c>
      <c r="K593">
        <f>IF(A593="","",I593*J593)</f>
        <v/>
      </c>
      <c r="L593">
        <f>IF(A593="","",IFERROR(MINIFS(Tickets[Trip Start Time],Tickets[TripKey],A593),""))</f>
        <v/>
      </c>
    </row>
    <row r="594">
      <c r="B594" s="8">
        <f>IF(A594="","",IFERROR(DATEVALUE(TEXTBEFORE(A594,"|")),--LEFT(A594,10)))</f>
        <v/>
      </c>
      <c r="C594">
        <f>IF(A594="","",TEXTBEFORE(TEXTAFTER(A594,"|"),"|"))</f>
        <v/>
      </c>
      <c r="D594">
        <f>IF(A594="","",TEXTAFTER(A594,"|",2))</f>
        <v/>
      </c>
      <c r="E594">
        <f>IF(A594="","",SUMIF(Tickets[TripKey],A594,Tickets[TP]))</f>
        <v/>
      </c>
      <c r="F594">
        <f>IF(A594="","",SUMIF(Tickets[TripKey],A594,Tickets[Revenue]))</f>
        <v/>
      </c>
      <c r="G594">
        <f>IF(A594="","",SUMIF(Tickets[TripKey],A594,Tickets[PK]))</f>
        <v/>
      </c>
      <c r="H594">
        <f>IF(A594="","",IFERROR(XLOOKUP(A594,Tickets[TripKey],Tickets[VehClean]),""))</f>
        <v/>
      </c>
      <c r="I594">
        <f>IF(A594="","",IFERROR(XLOOKUP(A594,Tickets[TripKey],Tickets[RouteLen]),0))</f>
        <v/>
      </c>
      <c r="J594">
        <f>IF(A594="","",IFERROR(XLOOKUP(A594,Tickets[TripKey],Tickets[Capacity]),0))</f>
        <v/>
      </c>
      <c r="K594">
        <f>IF(A594="","",I594*J594)</f>
        <v/>
      </c>
      <c r="L594">
        <f>IF(A594="","",IFERROR(MINIFS(Tickets[Trip Start Time],Tickets[TripKey],A594),""))</f>
        <v/>
      </c>
    </row>
    <row r="595">
      <c r="B595" s="8">
        <f>IF(A595="","",IFERROR(DATEVALUE(TEXTBEFORE(A595,"|")),--LEFT(A595,10)))</f>
        <v/>
      </c>
      <c r="C595">
        <f>IF(A595="","",TEXTBEFORE(TEXTAFTER(A595,"|"),"|"))</f>
        <v/>
      </c>
      <c r="D595">
        <f>IF(A595="","",TEXTAFTER(A595,"|",2))</f>
        <v/>
      </c>
      <c r="E595">
        <f>IF(A595="","",SUMIF(Tickets[TripKey],A595,Tickets[TP]))</f>
        <v/>
      </c>
      <c r="F595">
        <f>IF(A595="","",SUMIF(Tickets[TripKey],A595,Tickets[Revenue]))</f>
        <v/>
      </c>
      <c r="G595">
        <f>IF(A595="","",SUMIF(Tickets[TripKey],A595,Tickets[PK]))</f>
        <v/>
      </c>
      <c r="H595">
        <f>IF(A595="","",IFERROR(XLOOKUP(A595,Tickets[TripKey],Tickets[VehClean]),""))</f>
        <v/>
      </c>
      <c r="I595">
        <f>IF(A595="","",IFERROR(XLOOKUP(A595,Tickets[TripKey],Tickets[RouteLen]),0))</f>
        <v/>
      </c>
      <c r="J595">
        <f>IF(A595="","",IFERROR(XLOOKUP(A595,Tickets[TripKey],Tickets[Capacity]),0))</f>
        <v/>
      </c>
      <c r="K595">
        <f>IF(A595="","",I595*J595)</f>
        <v/>
      </c>
      <c r="L595">
        <f>IF(A595="","",IFERROR(MINIFS(Tickets[Trip Start Time],Tickets[TripKey],A595),""))</f>
        <v/>
      </c>
    </row>
    <row r="596">
      <c r="B596" s="8">
        <f>IF(A596="","",IFERROR(DATEVALUE(TEXTBEFORE(A596,"|")),--LEFT(A596,10)))</f>
        <v/>
      </c>
      <c r="C596">
        <f>IF(A596="","",TEXTBEFORE(TEXTAFTER(A596,"|"),"|"))</f>
        <v/>
      </c>
      <c r="D596">
        <f>IF(A596="","",TEXTAFTER(A596,"|",2))</f>
        <v/>
      </c>
      <c r="E596">
        <f>IF(A596="","",SUMIF(Tickets[TripKey],A596,Tickets[TP]))</f>
        <v/>
      </c>
      <c r="F596">
        <f>IF(A596="","",SUMIF(Tickets[TripKey],A596,Tickets[Revenue]))</f>
        <v/>
      </c>
      <c r="G596">
        <f>IF(A596="","",SUMIF(Tickets[TripKey],A596,Tickets[PK]))</f>
        <v/>
      </c>
      <c r="H596">
        <f>IF(A596="","",IFERROR(XLOOKUP(A596,Tickets[TripKey],Tickets[VehClean]),""))</f>
        <v/>
      </c>
      <c r="I596">
        <f>IF(A596="","",IFERROR(XLOOKUP(A596,Tickets[TripKey],Tickets[RouteLen]),0))</f>
        <v/>
      </c>
      <c r="J596">
        <f>IF(A596="","",IFERROR(XLOOKUP(A596,Tickets[TripKey],Tickets[Capacity]),0))</f>
        <v/>
      </c>
      <c r="K596">
        <f>IF(A596="","",I596*J596)</f>
        <v/>
      </c>
      <c r="L596">
        <f>IF(A596="","",IFERROR(MINIFS(Tickets[Trip Start Time],Tickets[TripKey],A596),""))</f>
        <v/>
      </c>
    </row>
    <row r="597">
      <c r="B597" s="8">
        <f>IF(A597="","",IFERROR(DATEVALUE(TEXTBEFORE(A597,"|")),--LEFT(A597,10)))</f>
        <v/>
      </c>
      <c r="C597">
        <f>IF(A597="","",TEXTBEFORE(TEXTAFTER(A597,"|"),"|"))</f>
        <v/>
      </c>
      <c r="D597">
        <f>IF(A597="","",TEXTAFTER(A597,"|",2))</f>
        <v/>
      </c>
      <c r="E597">
        <f>IF(A597="","",SUMIF(Tickets[TripKey],A597,Tickets[TP]))</f>
        <v/>
      </c>
      <c r="F597">
        <f>IF(A597="","",SUMIF(Tickets[TripKey],A597,Tickets[Revenue]))</f>
        <v/>
      </c>
      <c r="G597">
        <f>IF(A597="","",SUMIF(Tickets[TripKey],A597,Tickets[PK]))</f>
        <v/>
      </c>
      <c r="H597">
        <f>IF(A597="","",IFERROR(XLOOKUP(A597,Tickets[TripKey],Tickets[VehClean]),""))</f>
        <v/>
      </c>
      <c r="I597">
        <f>IF(A597="","",IFERROR(XLOOKUP(A597,Tickets[TripKey],Tickets[RouteLen]),0))</f>
        <v/>
      </c>
      <c r="J597">
        <f>IF(A597="","",IFERROR(XLOOKUP(A597,Tickets[TripKey],Tickets[Capacity]),0))</f>
        <v/>
      </c>
      <c r="K597">
        <f>IF(A597="","",I597*J597)</f>
        <v/>
      </c>
      <c r="L597">
        <f>IF(A597="","",IFERROR(MINIFS(Tickets[Trip Start Time],Tickets[TripKey],A597),""))</f>
        <v/>
      </c>
    </row>
    <row r="598">
      <c r="B598" s="8">
        <f>IF(A598="","",IFERROR(DATEVALUE(TEXTBEFORE(A598,"|")),--LEFT(A598,10)))</f>
        <v/>
      </c>
      <c r="C598">
        <f>IF(A598="","",TEXTBEFORE(TEXTAFTER(A598,"|"),"|"))</f>
        <v/>
      </c>
      <c r="D598">
        <f>IF(A598="","",TEXTAFTER(A598,"|",2))</f>
        <v/>
      </c>
      <c r="E598">
        <f>IF(A598="","",SUMIF(Tickets[TripKey],A598,Tickets[TP]))</f>
        <v/>
      </c>
      <c r="F598">
        <f>IF(A598="","",SUMIF(Tickets[TripKey],A598,Tickets[Revenue]))</f>
        <v/>
      </c>
      <c r="G598">
        <f>IF(A598="","",SUMIF(Tickets[TripKey],A598,Tickets[PK]))</f>
        <v/>
      </c>
      <c r="H598">
        <f>IF(A598="","",IFERROR(XLOOKUP(A598,Tickets[TripKey],Tickets[VehClean]),""))</f>
        <v/>
      </c>
      <c r="I598">
        <f>IF(A598="","",IFERROR(XLOOKUP(A598,Tickets[TripKey],Tickets[RouteLen]),0))</f>
        <v/>
      </c>
      <c r="J598">
        <f>IF(A598="","",IFERROR(XLOOKUP(A598,Tickets[TripKey],Tickets[Capacity]),0))</f>
        <v/>
      </c>
      <c r="K598">
        <f>IF(A598="","",I598*J598)</f>
        <v/>
      </c>
      <c r="L598">
        <f>IF(A598="","",IFERROR(MINIFS(Tickets[Trip Start Time],Tickets[TripKey],A598),""))</f>
        <v/>
      </c>
    </row>
    <row r="599">
      <c r="B599" s="8">
        <f>IF(A599="","",IFERROR(DATEVALUE(TEXTBEFORE(A599,"|")),--LEFT(A599,10)))</f>
        <v/>
      </c>
      <c r="C599">
        <f>IF(A599="","",TEXTBEFORE(TEXTAFTER(A599,"|"),"|"))</f>
        <v/>
      </c>
      <c r="D599">
        <f>IF(A599="","",TEXTAFTER(A599,"|",2))</f>
        <v/>
      </c>
      <c r="E599">
        <f>IF(A599="","",SUMIF(Tickets[TripKey],A599,Tickets[TP]))</f>
        <v/>
      </c>
      <c r="F599">
        <f>IF(A599="","",SUMIF(Tickets[TripKey],A599,Tickets[Revenue]))</f>
        <v/>
      </c>
      <c r="G599">
        <f>IF(A599="","",SUMIF(Tickets[TripKey],A599,Tickets[PK]))</f>
        <v/>
      </c>
      <c r="H599">
        <f>IF(A599="","",IFERROR(XLOOKUP(A599,Tickets[TripKey],Tickets[VehClean]),""))</f>
        <v/>
      </c>
      <c r="I599">
        <f>IF(A599="","",IFERROR(XLOOKUP(A599,Tickets[TripKey],Tickets[RouteLen]),0))</f>
        <v/>
      </c>
      <c r="J599">
        <f>IF(A599="","",IFERROR(XLOOKUP(A599,Tickets[TripKey],Tickets[Capacity]),0))</f>
        <v/>
      </c>
      <c r="K599">
        <f>IF(A599="","",I599*J599)</f>
        <v/>
      </c>
      <c r="L599">
        <f>IF(A599="","",IFERROR(MINIFS(Tickets[Trip Start Time],Tickets[TripKey],A599),""))</f>
        <v/>
      </c>
    </row>
    <row r="600">
      <c r="B600" s="8">
        <f>IF(A600="","",IFERROR(DATEVALUE(TEXTBEFORE(A600,"|")),--LEFT(A600,10)))</f>
        <v/>
      </c>
      <c r="C600">
        <f>IF(A600="","",TEXTBEFORE(TEXTAFTER(A600,"|"),"|"))</f>
        <v/>
      </c>
      <c r="D600">
        <f>IF(A600="","",TEXTAFTER(A600,"|",2))</f>
        <v/>
      </c>
      <c r="E600">
        <f>IF(A600="","",SUMIF(Tickets[TripKey],A600,Tickets[TP]))</f>
        <v/>
      </c>
      <c r="F600">
        <f>IF(A600="","",SUMIF(Tickets[TripKey],A600,Tickets[Revenue]))</f>
        <v/>
      </c>
      <c r="G600">
        <f>IF(A600="","",SUMIF(Tickets[TripKey],A600,Tickets[PK]))</f>
        <v/>
      </c>
      <c r="H600">
        <f>IF(A600="","",IFERROR(XLOOKUP(A600,Tickets[TripKey],Tickets[VehClean]),""))</f>
        <v/>
      </c>
      <c r="I600">
        <f>IF(A600="","",IFERROR(XLOOKUP(A600,Tickets[TripKey],Tickets[RouteLen]),0))</f>
        <v/>
      </c>
      <c r="J600">
        <f>IF(A600="","",IFERROR(XLOOKUP(A600,Tickets[TripKey],Tickets[Capacity]),0))</f>
        <v/>
      </c>
      <c r="K600">
        <f>IF(A600="","",I600*J600)</f>
        <v/>
      </c>
      <c r="L600">
        <f>IF(A600="","",IFERROR(MINIFS(Tickets[Trip Start Time],Tickets[TripKey],A600),""))</f>
        <v/>
      </c>
    </row>
    <row r="601">
      <c r="B601" s="8">
        <f>IF(A601="","",IFERROR(DATEVALUE(TEXTBEFORE(A601,"|")),--LEFT(A601,10)))</f>
        <v/>
      </c>
      <c r="C601">
        <f>IF(A601="","",TEXTBEFORE(TEXTAFTER(A601,"|"),"|"))</f>
        <v/>
      </c>
      <c r="D601">
        <f>IF(A601="","",TEXTAFTER(A601,"|",2))</f>
        <v/>
      </c>
      <c r="E601">
        <f>IF(A601="","",SUMIF(Tickets[TripKey],A601,Tickets[TP]))</f>
        <v/>
      </c>
      <c r="F601">
        <f>IF(A601="","",SUMIF(Tickets[TripKey],A601,Tickets[Revenue]))</f>
        <v/>
      </c>
      <c r="G601">
        <f>IF(A601="","",SUMIF(Tickets[TripKey],A601,Tickets[PK]))</f>
        <v/>
      </c>
      <c r="H601">
        <f>IF(A601="","",IFERROR(XLOOKUP(A601,Tickets[TripKey],Tickets[VehClean]),""))</f>
        <v/>
      </c>
      <c r="I601">
        <f>IF(A601="","",IFERROR(XLOOKUP(A601,Tickets[TripKey],Tickets[RouteLen]),0))</f>
        <v/>
      </c>
      <c r="J601">
        <f>IF(A601="","",IFERROR(XLOOKUP(A601,Tickets[TripKey],Tickets[Capacity]),0))</f>
        <v/>
      </c>
      <c r="K601">
        <f>IF(A601="","",I601*J601)</f>
        <v/>
      </c>
      <c r="L601">
        <f>IF(A601="","",IFERROR(MINIFS(Tickets[Trip Start Time],Tickets[TripKey],A601),""))</f>
        <v/>
      </c>
    </row>
    <row r="602">
      <c r="B602" s="8">
        <f>IF(A602="","",IFERROR(DATEVALUE(TEXTBEFORE(A602,"|")),--LEFT(A602,10)))</f>
        <v/>
      </c>
      <c r="C602">
        <f>IF(A602="","",TEXTBEFORE(TEXTAFTER(A602,"|"),"|"))</f>
        <v/>
      </c>
      <c r="D602">
        <f>IF(A602="","",TEXTAFTER(A602,"|",2))</f>
        <v/>
      </c>
      <c r="E602">
        <f>IF(A602="","",SUMIF(Tickets[TripKey],A602,Tickets[TP]))</f>
        <v/>
      </c>
      <c r="F602">
        <f>IF(A602="","",SUMIF(Tickets[TripKey],A602,Tickets[Revenue]))</f>
        <v/>
      </c>
      <c r="G602">
        <f>IF(A602="","",SUMIF(Tickets[TripKey],A602,Tickets[PK]))</f>
        <v/>
      </c>
      <c r="H602">
        <f>IF(A602="","",IFERROR(XLOOKUP(A602,Tickets[TripKey],Tickets[VehClean]),""))</f>
        <v/>
      </c>
      <c r="I602">
        <f>IF(A602="","",IFERROR(XLOOKUP(A602,Tickets[TripKey],Tickets[RouteLen]),0))</f>
        <v/>
      </c>
      <c r="J602">
        <f>IF(A602="","",IFERROR(XLOOKUP(A602,Tickets[TripKey],Tickets[Capacity]),0))</f>
        <v/>
      </c>
      <c r="K602">
        <f>IF(A602="","",I602*J602)</f>
        <v/>
      </c>
      <c r="L602">
        <f>IF(A602="","",IFERROR(MINIFS(Tickets[Trip Start Time],Tickets[TripKey],A602),""))</f>
        <v/>
      </c>
    </row>
    <row r="603">
      <c r="B603" s="8">
        <f>IF(A603="","",IFERROR(DATEVALUE(TEXTBEFORE(A603,"|")),--LEFT(A603,10)))</f>
        <v/>
      </c>
      <c r="C603">
        <f>IF(A603="","",TEXTBEFORE(TEXTAFTER(A603,"|"),"|"))</f>
        <v/>
      </c>
      <c r="D603">
        <f>IF(A603="","",TEXTAFTER(A603,"|",2))</f>
        <v/>
      </c>
      <c r="E603">
        <f>IF(A603="","",SUMIF(Tickets[TripKey],A603,Tickets[TP]))</f>
        <v/>
      </c>
      <c r="F603">
        <f>IF(A603="","",SUMIF(Tickets[TripKey],A603,Tickets[Revenue]))</f>
        <v/>
      </c>
      <c r="G603">
        <f>IF(A603="","",SUMIF(Tickets[TripKey],A603,Tickets[PK]))</f>
        <v/>
      </c>
      <c r="H603">
        <f>IF(A603="","",IFERROR(XLOOKUP(A603,Tickets[TripKey],Tickets[VehClean]),""))</f>
        <v/>
      </c>
      <c r="I603">
        <f>IF(A603="","",IFERROR(XLOOKUP(A603,Tickets[TripKey],Tickets[RouteLen]),0))</f>
        <v/>
      </c>
      <c r="J603">
        <f>IF(A603="","",IFERROR(XLOOKUP(A603,Tickets[TripKey],Tickets[Capacity]),0))</f>
        <v/>
      </c>
      <c r="K603">
        <f>IF(A603="","",I603*J603)</f>
        <v/>
      </c>
      <c r="L603">
        <f>IF(A603="","",IFERROR(MINIFS(Tickets[Trip Start Time],Tickets[TripKey],A603),""))</f>
        <v/>
      </c>
    </row>
    <row r="604">
      <c r="B604" s="8">
        <f>IF(A604="","",IFERROR(DATEVALUE(TEXTBEFORE(A604,"|")),--LEFT(A604,10)))</f>
        <v/>
      </c>
      <c r="C604">
        <f>IF(A604="","",TEXTBEFORE(TEXTAFTER(A604,"|"),"|"))</f>
        <v/>
      </c>
      <c r="D604">
        <f>IF(A604="","",TEXTAFTER(A604,"|",2))</f>
        <v/>
      </c>
      <c r="E604">
        <f>IF(A604="","",SUMIF(Tickets[TripKey],A604,Tickets[TP]))</f>
        <v/>
      </c>
      <c r="F604">
        <f>IF(A604="","",SUMIF(Tickets[TripKey],A604,Tickets[Revenue]))</f>
        <v/>
      </c>
      <c r="G604">
        <f>IF(A604="","",SUMIF(Tickets[TripKey],A604,Tickets[PK]))</f>
        <v/>
      </c>
      <c r="H604">
        <f>IF(A604="","",IFERROR(XLOOKUP(A604,Tickets[TripKey],Tickets[VehClean]),""))</f>
        <v/>
      </c>
      <c r="I604">
        <f>IF(A604="","",IFERROR(XLOOKUP(A604,Tickets[TripKey],Tickets[RouteLen]),0))</f>
        <v/>
      </c>
      <c r="J604">
        <f>IF(A604="","",IFERROR(XLOOKUP(A604,Tickets[TripKey],Tickets[Capacity]),0))</f>
        <v/>
      </c>
      <c r="K604">
        <f>IF(A604="","",I604*J604)</f>
        <v/>
      </c>
      <c r="L604">
        <f>IF(A604="","",IFERROR(MINIFS(Tickets[Trip Start Time],Tickets[TripKey],A604),""))</f>
        <v/>
      </c>
    </row>
    <row r="605">
      <c r="B605" s="8">
        <f>IF(A605="","",IFERROR(DATEVALUE(TEXTBEFORE(A605,"|")),--LEFT(A605,10)))</f>
        <v/>
      </c>
      <c r="C605">
        <f>IF(A605="","",TEXTBEFORE(TEXTAFTER(A605,"|"),"|"))</f>
        <v/>
      </c>
      <c r="D605">
        <f>IF(A605="","",TEXTAFTER(A605,"|",2))</f>
        <v/>
      </c>
      <c r="E605">
        <f>IF(A605="","",SUMIF(Tickets[TripKey],A605,Tickets[TP]))</f>
        <v/>
      </c>
      <c r="F605">
        <f>IF(A605="","",SUMIF(Tickets[TripKey],A605,Tickets[Revenue]))</f>
        <v/>
      </c>
      <c r="G605">
        <f>IF(A605="","",SUMIF(Tickets[TripKey],A605,Tickets[PK]))</f>
        <v/>
      </c>
      <c r="H605">
        <f>IF(A605="","",IFERROR(XLOOKUP(A605,Tickets[TripKey],Tickets[VehClean]),""))</f>
        <v/>
      </c>
      <c r="I605">
        <f>IF(A605="","",IFERROR(XLOOKUP(A605,Tickets[TripKey],Tickets[RouteLen]),0))</f>
        <v/>
      </c>
      <c r="J605">
        <f>IF(A605="","",IFERROR(XLOOKUP(A605,Tickets[TripKey],Tickets[Capacity]),0))</f>
        <v/>
      </c>
      <c r="K605">
        <f>IF(A605="","",I605*J605)</f>
        <v/>
      </c>
      <c r="L605">
        <f>IF(A605="","",IFERROR(MINIFS(Tickets[Trip Start Time],Tickets[TripKey],A605),""))</f>
        <v/>
      </c>
    </row>
    <row r="606">
      <c r="B606" s="8">
        <f>IF(A606="","",IFERROR(DATEVALUE(TEXTBEFORE(A606,"|")),--LEFT(A606,10)))</f>
        <v/>
      </c>
      <c r="C606">
        <f>IF(A606="","",TEXTBEFORE(TEXTAFTER(A606,"|"),"|"))</f>
        <v/>
      </c>
      <c r="D606">
        <f>IF(A606="","",TEXTAFTER(A606,"|",2))</f>
        <v/>
      </c>
      <c r="E606">
        <f>IF(A606="","",SUMIF(Tickets[TripKey],A606,Tickets[TP]))</f>
        <v/>
      </c>
      <c r="F606">
        <f>IF(A606="","",SUMIF(Tickets[TripKey],A606,Tickets[Revenue]))</f>
        <v/>
      </c>
      <c r="G606">
        <f>IF(A606="","",SUMIF(Tickets[TripKey],A606,Tickets[PK]))</f>
        <v/>
      </c>
      <c r="H606">
        <f>IF(A606="","",IFERROR(XLOOKUP(A606,Tickets[TripKey],Tickets[VehClean]),""))</f>
        <v/>
      </c>
      <c r="I606">
        <f>IF(A606="","",IFERROR(XLOOKUP(A606,Tickets[TripKey],Tickets[RouteLen]),0))</f>
        <v/>
      </c>
      <c r="J606">
        <f>IF(A606="","",IFERROR(XLOOKUP(A606,Tickets[TripKey],Tickets[Capacity]),0))</f>
        <v/>
      </c>
      <c r="K606">
        <f>IF(A606="","",I606*J606)</f>
        <v/>
      </c>
      <c r="L606">
        <f>IF(A606="","",IFERROR(MINIFS(Tickets[Trip Start Time],Tickets[TripKey],A606),""))</f>
        <v/>
      </c>
    </row>
    <row r="607">
      <c r="B607" s="8">
        <f>IF(A607="","",IFERROR(DATEVALUE(TEXTBEFORE(A607,"|")),--LEFT(A607,10)))</f>
        <v/>
      </c>
      <c r="C607">
        <f>IF(A607="","",TEXTBEFORE(TEXTAFTER(A607,"|"),"|"))</f>
        <v/>
      </c>
      <c r="D607">
        <f>IF(A607="","",TEXTAFTER(A607,"|",2))</f>
        <v/>
      </c>
      <c r="E607">
        <f>IF(A607="","",SUMIF(Tickets[TripKey],A607,Tickets[TP]))</f>
        <v/>
      </c>
      <c r="F607">
        <f>IF(A607="","",SUMIF(Tickets[TripKey],A607,Tickets[Revenue]))</f>
        <v/>
      </c>
      <c r="G607">
        <f>IF(A607="","",SUMIF(Tickets[TripKey],A607,Tickets[PK]))</f>
        <v/>
      </c>
      <c r="H607">
        <f>IF(A607="","",IFERROR(XLOOKUP(A607,Tickets[TripKey],Tickets[VehClean]),""))</f>
        <v/>
      </c>
      <c r="I607">
        <f>IF(A607="","",IFERROR(XLOOKUP(A607,Tickets[TripKey],Tickets[RouteLen]),0))</f>
        <v/>
      </c>
      <c r="J607">
        <f>IF(A607="","",IFERROR(XLOOKUP(A607,Tickets[TripKey],Tickets[Capacity]),0))</f>
        <v/>
      </c>
      <c r="K607">
        <f>IF(A607="","",I607*J607)</f>
        <v/>
      </c>
      <c r="L607">
        <f>IF(A607="","",IFERROR(MINIFS(Tickets[Trip Start Time],Tickets[TripKey],A607),""))</f>
        <v/>
      </c>
    </row>
    <row r="608">
      <c r="B608" s="8">
        <f>IF(A608="","",IFERROR(DATEVALUE(TEXTBEFORE(A608,"|")),--LEFT(A608,10)))</f>
        <v/>
      </c>
      <c r="C608">
        <f>IF(A608="","",TEXTBEFORE(TEXTAFTER(A608,"|"),"|"))</f>
        <v/>
      </c>
      <c r="D608">
        <f>IF(A608="","",TEXTAFTER(A608,"|",2))</f>
        <v/>
      </c>
      <c r="E608">
        <f>IF(A608="","",SUMIF(Tickets[TripKey],A608,Tickets[TP]))</f>
        <v/>
      </c>
      <c r="F608">
        <f>IF(A608="","",SUMIF(Tickets[TripKey],A608,Tickets[Revenue]))</f>
        <v/>
      </c>
      <c r="G608">
        <f>IF(A608="","",SUMIF(Tickets[TripKey],A608,Tickets[PK]))</f>
        <v/>
      </c>
      <c r="H608">
        <f>IF(A608="","",IFERROR(XLOOKUP(A608,Tickets[TripKey],Tickets[VehClean]),""))</f>
        <v/>
      </c>
      <c r="I608">
        <f>IF(A608="","",IFERROR(XLOOKUP(A608,Tickets[TripKey],Tickets[RouteLen]),0))</f>
        <v/>
      </c>
      <c r="J608">
        <f>IF(A608="","",IFERROR(XLOOKUP(A608,Tickets[TripKey],Tickets[Capacity]),0))</f>
        <v/>
      </c>
      <c r="K608">
        <f>IF(A608="","",I608*J608)</f>
        <v/>
      </c>
      <c r="L608">
        <f>IF(A608="","",IFERROR(MINIFS(Tickets[Trip Start Time],Tickets[TripKey],A608),""))</f>
        <v/>
      </c>
    </row>
    <row r="609">
      <c r="B609" s="8">
        <f>IF(A609="","",IFERROR(DATEVALUE(TEXTBEFORE(A609,"|")),--LEFT(A609,10)))</f>
        <v/>
      </c>
      <c r="C609">
        <f>IF(A609="","",TEXTBEFORE(TEXTAFTER(A609,"|"),"|"))</f>
        <v/>
      </c>
      <c r="D609">
        <f>IF(A609="","",TEXTAFTER(A609,"|",2))</f>
        <v/>
      </c>
      <c r="E609">
        <f>IF(A609="","",SUMIF(Tickets[TripKey],A609,Tickets[TP]))</f>
        <v/>
      </c>
      <c r="F609">
        <f>IF(A609="","",SUMIF(Tickets[TripKey],A609,Tickets[Revenue]))</f>
        <v/>
      </c>
      <c r="G609">
        <f>IF(A609="","",SUMIF(Tickets[TripKey],A609,Tickets[PK]))</f>
        <v/>
      </c>
      <c r="H609">
        <f>IF(A609="","",IFERROR(XLOOKUP(A609,Tickets[TripKey],Tickets[VehClean]),""))</f>
        <v/>
      </c>
      <c r="I609">
        <f>IF(A609="","",IFERROR(XLOOKUP(A609,Tickets[TripKey],Tickets[RouteLen]),0))</f>
        <v/>
      </c>
      <c r="J609">
        <f>IF(A609="","",IFERROR(XLOOKUP(A609,Tickets[TripKey],Tickets[Capacity]),0))</f>
        <v/>
      </c>
      <c r="K609">
        <f>IF(A609="","",I609*J609)</f>
        <v/>
      </c>
      <c r="L609">
        <f>IF(A609="","",IFERROR(MINIFS(Tickets[Trip Start Time],Tickets[TripKey],A609),""))</f>
        <v/>
      </c>
    </row>
    <row r="610">
      <c r="B610" s="8">
        <f>IF(A610="","",IFERROR(DATEVALUE(TEXTBEFORE(A610,"|")),--LEFT(A610,10)))</f>
        <v/>
      </c>
      <c r="C610">
        <f>IF(A610="","",TEXTBEFORE(TEXTAFTER(A610,"|"),"|"))</f>
        <v/>
      </c>
      <c r="D610">
        <f>IF(A610="","",TEXTAFTER(A610,"|",2))</f>
        <v/>
      </c>
      <c r="E610">
        <f>IF(A610="","",SUMIF(Tickets[TripKey],A610,Tickets[TP]))</f>
        <v/>
      </c>
      <c r="F610">
        <f>IF(A610="","",SUMIF(Tickets[TripKey],A610,Tickets[Revenue]))</f>
        <v/>
      </c>
      <c r="G610">
        <f>IF(A610="","",SUMIF(Tickets[TripKey],A610,Tickets[PK]))</f>
        <v/>
      </c>
      <c r="H610">
        <f>IF(A610="","",IFERROR(XLOOKUP(A610,Tickets[TripKey],Tickets[VehClean]),""))</f>
        <v/>
      </c>
      <c r="I610">
        <f>IF(A610="","",IFERROR(XLOOKUP(A610,Tickets[TripKey],Tickets[RouteLen]),0))</f>
        <v/>
      </c>
      <c r="J610">
        <f>IF(A610="","",IFERROR(XLOOKUP(A610,Tickets[TripKey],Tickets[Capacity]),0))</f>
        <v/>
      </c>
      <c r="K610">
        <f>IF(A610="","",I610*J610)</f>
        <v/>
      </c>
      <c r="L610">
        <f>IF(A610="","",IFERROR(MINIFS(Tickets[Trip Start Time],Tickets[TripKey],A610),""))</f>
        <v/>
      </c>
    </row>
    <row r="611">
      <c r="B611" s="8">
        <f>IF(A611="","",IFERROR(DATEVALUE(TEXTBEFORE(A611,"|")),--LEFT(A611,10)))</f>
        <v/>
      </c>
      <c r="C611">
        <f>IF(A611="","",TEXTBEFORE(TEXTAFTER(A611,"|"),"|"))</f>
        <v/>
      </c>
      <c r="D611">
        <f>IF(A611="","",TEXTAFTER(A611,"|",2))</f>
        <v/>
      </c>
      <c r="E611">
        <f>IF(A611="","",SUMIF(Tickets[TripKey],A611,Tickets[TP]))</f>
        <v/>
      </c>
      <c r="F611">
        <f>IF(A611="","",SUMIF(Tickets[TripKey],A611,Tickets[Revenue]))</f>
        <v/>
      </c>
      <c r="G611">
        <f>IF(A611="","",SUMIF(Tickets[TripKey],A611,Tickets[PK]))</f>
        <v/>
      </c>
      <c r="H611">
        <f>IF(A611="","",IFERROR(XLOOKUP(A611,Tickets[TripKey],Tickets[VehClean]),""))</f>
        <v/>
      </c>
      <c r="I611">
        <f>IF(A611="","",IFERROR(XLOOKUP(A611,Tickets[TripKey],Tickets[RouteLen]),0))</f>
        <v/>
      </c>
      <c r="J611">
        <f>IF(A611="","",IFERROR(XLOOKUP(A611,Tickets[TripKey],Tickets[Capacity]),0))</f>
        <v/>
      </c>
      <c r="K611">
        <f>IF(A611="","",I611*J611)</f>
        <v/>
      </c>
      <c r="L611">
        <f>IF(A611="","",IFERROR(MINIFS(Tickets[Trip Start Time],Tickets[TripKey],A611),""))</f>
        <v/>
      </c>
    </row>
    <row r="612">
      <c r="B612" s="8">
        <f>IF(A612="","",IFERROR(DATEVALUE(TEXTBEFORE(A612,"|")),--LEFT(A612,10)))</f>
        <v/>
      </c>
      <c r="C612">
        <f>IF(A612="","",TEXTBEFORE(TEXTAFTER(A612,"|"),"|"))</f>
        <v/>
      </c>
      <c r="D612">
        <f>IF(A612="","",TEXTAFTER(A612,"|",2))</f>
        <v/>
      </c>
      <c r="E612">
        <f>IF(A612="","",SUMIF(Tickets[TripKey],A612,Tickets[TP]))</f>
        <v/>
      </c>
      <c r="F612">
        <f>IF(A612="","",SUMIF(Tickets[TripKey],A612,Tickets[Revenue]))</f>
        <v/>
      </c>
      <c r="G612">
        <f>IF(A612="","",SUMIF(Tickets[TripKey],A612,Tickets[PK]))</f>
        <v/>
      </c>
      <c r="H612">
        <f>IF(A612="","",IFERROR(XLOOKUP(A612,Tickets[TripKey],Tickets[VehClean]),""))</f>
        <v/>
      </c>
      <c r="I612">
        <f>IF(A612="","",IFERROR(XLOOKUP(A612,Tickets[TripKey],Tickets[RouteLen]),0))</f>
        <v/>
      </c>
      <c r="J612">
        <f>IF(A612="","",IFERROR(XLOOKUP(A612,Tickets[TripKey],Tickets[Capacity]),0))</f>
        <v/>
      </c>
      <c r="K612">
        <f>IF(A612="","",I612*J612)</f>
        <v/>
      </c>
      <c r="L612">
        <f>IF(A612="","",IFERROR(MINIFS(Tickets[Trip Start Time],Tickets[TripKey],A612),""))</f>
        <v/>
      </c>
    </row>
    <row r="613">
      <c r="B613" s="8">
        <f>IF(A613="","",IFERROR(DATEVALUE(TEXTBEFORE(A613,"|")),--LEFT(A613,10)))</f>
        <v/>
      </c>
      <c r="C613">
        <f>IF(A613="","",TEXTBEFORE(TEXTAFTER(A613,"|"),"|"))</f>
        <v/>
      </c>
      <c r="D613">
        <f>IF(A613="","",TEXTAFTER(A613,"|",2))</f>
        <v/>
      </c>
      <c r="E613">
        <f>IF(A613="","",SUMIF(Tickets[TripKey],A613,Tickets[TP]))</f>
        <v/>
      </c>
      <c r="F613">
        <f>IF(A613="","",SUMIF(Tickets[TripKey],A613,Tickets[Revenue]))</f>
        <v/>
      </c>
      <c r="G613">
        <f>IF(A613="","",SUMIF(Tickets[TripKey],A613,Tickets[PK]))</f>
        <v/>
      </c>
      <c r="H613">
        <f>IF(A613="","",IFERROR(XLOOKUP(A613,Tickets[TripKey],Tickets[VehClean]),""))</f>
        <v/>
      </c>
      <c r="I613">
        <f>IF(A613="","",IFERROR(XLOOKUP(A613,Tickets[TripKey],Tickets[RouteLen]),0))</f>
        <v/>
      </c>
      <c r="J613">
        <f>IF(A613="","",IFERROR(XLOOKUP(A613,Tickets[TripKey],Tickets[Capacity]),0))</f>
        <v/>
      </c>
      <c r="K613">
        <f>IF(A613="","",I613*J613)</f>
        <v/>
      </c>
      <c r="L613">
        <f>IF(A613="","",IFERROR(MINIFS(Tickets[Trip Start Time],Tickets[TripKey],A613),""))</f>
        <v/>
      </c>
    </row>
    <row r="614">
      <c r="B614" s="8">
        <f>IF(A614="","",IFERROR(DATEVALUE(TEXTBEFORE(A614,"|")),--LEFT(A614,10)))</f>
        <v/>
      </c>
      <c r="C614">
        <f>IF(A614="","",TEXTBEFORE(TEXTAFTER(A614,"|"),"|"))</f>
        <v/>
      </c>
      <c r="D614">
        <f>IF(A614="","",TEXTAFTER(A614,"|",2))</f>
        <v/>
      </c>
      <c r="E614">
        <f>IF(A614="","",SUMIF(Tickets[TripKey],A614,Tickets[TP]))</f>
        <v/>
      </c>
      <c r="F614">
        <f>IF(A614="","",SUMIF(Tickets[TripKey],A614,Tickets[Revenue]))</f>
        <v/>
      </c>
      <c r="G614">
        <f>IF(A614="","",SUMIF(Tickets[TripKey],A614,Tickets[PK]))</f>
        <v/>
      </c>
      <c r="H614">
        <f>IF(A614="","",IFERROR(XLOOKUP(A614,Tickets[TripKey],Tickets[VehClean]),""))</f>
        <v/>
      </c>
      <c r="I614">
        <f>IF(A614="","",IFERROR(XLOOKUP(A614,Tickets[TripKey],Tickets[RouteLen]),0))</f>
        <v/>
      </c>
      <c r="J614">
        <f>IF(A614="","",IFERROR(XLOOKUP(A614,Tickets[TripKey],Tickets[Capacity]),0))</f>
        <v/>
      </c>
      <c r="K614">
        <f>IF(A614="","",I614*J614)</f>
        <v/>
      </c>
      <c r="L614">
        <f>IF(A614="","",IFERROR(MINIFS(Tickets[Trip Start Time],Tickets[TripKey],A614),""))</f>
        <v/>
      </c>
    </row>
    <row r="615">
      <c r="B615" s="8">
        <f>IF(A615="","",IFERROR(DATEVALUE(TEXTBEFORE(A615,"|")),--LEFT(A615,10)))</f>
        <v/>
      </c>
      <c r="C615">
        <f>IF(A615="","",TEXTBEFORE(TEXTAFTER(A615,"|"),"|"))</f>
        <v/>
      </c>
      <c r="D615">
        <f>IF(A615="","",TEXTAFTER(A615,"|",2))</f>
        <v/>
      </c>
      <c r="E615">
        <f>IF(A615="","",SUMIF(Tickets[TripKey],A615,Tickets[TP]))</f>
        <v/>
      </c>
      <c r="F615">
        <f>IF(A615="","",SUMIF(Tickets[TripKey],A615,Tickets[Revenue]))</f>
        <v/>
      </c>
      <c r="G615">
        <f>IF(A615="","",SUMIF(Tickets[TripKey],A615,Tickets[PK]))</f>
        <v/>
      </c>
      <c r="H615">
        <f>IF(A615="","",IFERROR(XLOOKUP(A615,Tickets[TripKey],Tickets[VehClean]),""))</f>
        <v/>
      </c>
      <c r="I615">
        <f>IF(A615="","",IFERROR(XLOOKUP(A615,Tickets[TripKey],Tickets[RouteLen]),0))</f>
        <v/>
      </c>
      <c r="J615">
        <f>IF(A615="","",IFERROR(XLOOKUP(A615,Tickets[TripKey],Tickets[Capacity]),0))</f>
        <v/>
      </c>
      <c r="K615">
        <f>IF(A615="","",I615*J615)</f>
        <v/>
      </c>
      <c r="L615">
        <f>IF(A615="","",IFERROR(MINIFS(Tickets[Trip Start Time],Tickets[TripKey],A615),""))</f>
        <v/>
      </c>
    </row>
    <row r="616">
      <c r="B616" s="8">
        <f>IF(A616="","",IFERROR(DATEVALUE(TEXTBEFORE(A616,"|")),--LEFT(A616,10)))</f>
        <v/>
      </c>
      <c r="C616">
        <f>IF(A616="","",TEXTBEFORE(TEXTAFTER(A616,"|"),"|"))</f>
        <v/>
      </c>
      <c r="D616">
        <f>IF(A616="","",TEXTAFTER(A616,"|",2))</f>
        <v/>
      </c>
      <c r="E616">
        <f>IF(A616="","",SUMIF(Tickets[TripKey],A616,Tickets[TP]))</f>
        <v/>
      </c>
      <c r="F616">
        <f>IF(A616="","",SUMIF(Tickets[TripKey],A616,Tickets[Revenue]))</f>
        <v/>
      </c>
      <c r="G616">
        <f>IF(A616="","",SUMIF(Tickets[TripKey],A616,Tickets[PK]))</f>
        <v/>
      </c>
      <c r="H616">
        <f>IF(A616="","",IFERROR(XLOOKUP(A616,Tickets[TripKey],Tickets[VehClean]),""))</f>
        <v/>
      </c>
      <c r="I616">
        <f>IF(A616="","",IFERROR(XLOOKUP(A616,Tickets[TripKey],Tickets[RouteLen]),0))</f>
        <v/>
      </c>
      <c r="J616">
        <f>IF(A616="","",IFERROR(XLOOKUP(A616,Tickets[TripKey],Tickets[Capacity]),0))</f>
        <v/>
      </c>
      <c r="K616">
        <f>IF(A616="","",I616*J616)</f>
        <v/>
      </c>
      <c r="L616">
        <f>IF(A616="","",IFERROR(MINIFS(Tickets[Trip Start Time],Tickets[TripKey],A616),""))</f>
        <v/>
      </c>
    </row>
    <row r="617">
      <c r="B617" s="8">
        <f>IF(A617="","",IFERROR(DATEVALUE(TEXTBEFORE(A617,"|")),--LEFT(A617,10)))</f>
        <v/>
      </c>
      <c r="C617">
        <f>IF(A617="","",TEXTBEFORE(TEXTAFTER(A617,"|"),"|"))</f>
        <v/>
      </c>
      <c r="D617">
        <f>IF(A617="","",TEXTAFTER(A617,"|",2))</f>
        <v/>
      </c>
      <c r="E617">
        <f>IF(A617="","",SUMIF(Tickets[TripKey],A617,Tickets[TP]))</f>
        <v/>
      </c>
      <c r="F617">
        <f>IF(A617="","",SUMIF(Tickets[TripKey],A617,Tickets[Revenue]))</f>
        <v/>
      </c>
      <c r="G617">
        <f>IF(A617="","",SUMIF(Tickets[TripKey],A617,Tickets[PK]))</f>
        <v/>
      </c>
      <c r="H617">
        <f>IF(A617="","",IFERROR(XLOOKUP(A617,Tickets[TripKey],Tickets[VehClean]),""))</f>
        <v/>
      </c>
      <c r="I617">
        <f>IF(A617="","",IFERROR(XLOOKUP(A617,Tickets[TripKey],Tickets[RouteLen]),0))</f>
        <v/>
      </c>
      <c r="J617">
        <f>IF(A617="","",IFERROR(XLOOKUP(A617,Tickets[TripKey],Tickets[Capacity]),0))</f>
        <v/>
      </c>
      <c r="K617">
        <f>IF(A617="","",I617*J617)</f>
        <v/>
      </c>
      <c r="L617">
        <f>IF(A617="","",IFERROR(MINIFS(Tickets[Trip Start Time],Tickets[TripKey],A617),""))</f>
        <v/>
      </c>
    </row>
    <row r="618">
      <c r="B618" s="8">
        <f>IF(A618="","",IFERROR(DATEVALUE(TEXTBEFORE(A618,"|")),--LEFT(A618,10)))</f>
        <v/>
      </c>
      <c r="C618">
        <f>IF(A618="","",TEXTBEFORE(TEXTAFTER(A618,"|"),"|"))</f>
        <v/>
      </c>
      <c r="D618">
        <f>IF(A618="","",TEXTAFTER(A618,"|",2))</f>
        <v/>
      </c>
      <c r="E618">
        <f>IF(A618="","",SUMIF(Tickets[TripKey],A618,Tickets[TP]))</f>
        <v/>
      </c>
      <c r="F618">
        <f>IF(A618="","",SUMIF(Tickets[TripKey],A618,Tickets[Revenue]))</f>
        <v/>
      </c>
      <c r="G618">
        <f>IF(A618="","",SUMIF(Tickets[TripKey],A618,Tickets[PK]))</f>
        <v/>
      </c>
      <c r="H618">
        <f>IF(A618="","",IFERROR(XLOOKUP(A618,Tickets[TripKey],Tickets[VehClean]),""))</f>
        <v/>
      </c>
      <c r="I618">
        <f>IF(A618="","",IFERROR(XLOOKUP(A618,Tickets[TripKey],Tickets[RouteLen]),0))</f>
        <v/>
      </c>
      <c r="J618">
        <f>IF(A618="","",IFERROR(XLOOKUP(A618,Tickets[TripKey],Tickets[Capacity]),0))</f>
        <v/>
      </c>
      <c r="K618">
        <f>IF(A618="","",I618*J618)</f>
        <v/>
      </c>
      <c r="L618">
        <f>IF(A618="","",IFERROR(MINIFS(Tickets[Trip Start Time],Tickets[TripKey],A618),""))</f>
        <v/>
      </c>
    </row>
    <row r="619">
      <c r="B619" s="8">
        <f>IF(A619="","",IFERROR(DATEVALUE(TEXTBEFORE(A619,"|")),--LEFT(A619,10)))</f>
        <v/>
      </c>
      <c r="C619">
        <f>IF(A619="","",TEXTBEFORE(TEXTAFTER(A619,"|"),"|"))</f>
        <v/>
      </c>
      <c r="D619">
        <f>IF(A619="","",TEXTAFTER(A619,"|",2))</f>
        <v/>
      </c>
      <c r="E619">
        <f>IF(A619="","",SUMIF(Tickets[TripKey],A619,Tickets[TP]))</f>
        <v/>
      </c>
      <c r="F619">
        <f>IF(A619="","",SUMIF(Tickets[TripKey],A619,Tickets[Revenue]))</f>
        <v/>
      </c>
      <c r="G619">
        <f>IF(A619="","",SUMIF(Tickets[TripKey],A619,Tickets[PK]))</f>
        <v/>
      </c>
      <c r="H619">
        <f>IF(A619="","",IFERROR(XLOOKUP(A619,Tickets[TripKey],Tickets[VehClean]),""))</f>
        <v/>
      </c>
      <c r="I619">
        <f>IF(A619="","",IFERROR(XLOOKUP(A619,Tickets[TripKey],Tickets[RouteLen]),0))</f>
        <v/>
      </c>
      <c r="J619">
        <f>IF(A619="","",IFERROR(XLOOKUP(A619,Tickets[TripKey],Tickets[Capacity]),0))</f>
        <v/>
      </c>
      <c r="K619">
        <f>IF(A619="","",I619*J619)</f>
        <v/>
      </c>
      <c r="L619">
        <f>IF(A619="","",IFERROR(MINIFS(Tickets[Trip Start Time],Tickets[TripKey],A619),""))</f>
        <v/>
      </c>
    </row>
    <row r="620">
      <c r="B620" s="8">
        <f>IF(A620="","",IFERROR(DATEVALUE(TEXTBEFORE(A620,"|")),--LEFT(A620,10)))</f>
        <v/>
      </c>
      <c r="C620">
        <f>IF(A620="","",TEXTBEFORE(TEXTAFTER(A620,"|"),"|"))</f>
        <v/>
      </c>
      <c r="D620">
        <f>IF(A620="","",TEXTAFTER(A620,"|",2))</f>
        <v/>
      </c>
      <c r="E620">
        <f>IF(A620="","",SUMIF(Tickets[TripKey],A620,Tickets[TP]))</f>
        <v/>
      </c>
      <c r="F620">
        <f>IF(A620="","",SUMIF(Tickets[TripKey],A620,Tickets[Revenue]))</f>
        <v/>
      </c>
      <c r="G620">
        <f>IF(A620="","",SUMIF(Tickets[TripKey],A620,Tickets[PK]))</f>
        <v/>
      </c>
      <c r="H620">
        <f>IF(A620="","",IFERROR(XLOOKUP(A620,Tickets[TripKey],Tickets[VehClean]),""))</f>
        <v/>
      </c>
      <c r="I620">
        <f>IF(A620="","",IFERROR(XLOOKUP(A620,Tickets[TripKey],Tickets[RouteLen]),0))</f>
        <v/>
      </c>
      <c r="J620">
        <f>IF(A620="","",IFERROR(XLOOKUP(A620,Tickets[TripKey],Tickets[Capacity]),0))</f>
        <v/>
      </c>
      <c r="K620">
        <f>IF(A620="","",I620*J620)</f>
        <v/>
      </c>
      <c r="L620">
        <f>IF(A620="","",IFERROR(MINIFS(Tickets[Trip Start Time],Tickets[TripKey],A620),""))</f>
        <v/>
      </c>
    </row>
    <row r="621">
      <c r="B621" s="8">
        <f>IF(A621="","",IFERROR(DATEVALUE(TEXTBEFORE(A621,"|")),--LEFT(A621,10)))</f>
        <v/>
      </c>
      <c r="C621">
        <f>IF(A621="","",TEXTBEFORE(TEXTAFTER(A621,"|"),"|"))</f>
        <v/>
      </c>
      <c r="D621">
        <f>IF(A621="","",TEXTAFTER(A621,"|",2))</f>
        <v/>
      </c>
      <c r="E621">
        <f>IF(A621="","",SUMIF(Tickets[TripKey],A621,Tickets[TP]))</f>
        <v/>
      </c>
      <c r="F621">
        <f>IF(A621="","",SUMIF(Tickets[TripKey],A621,Tickets[Revenue]))</f>
        <v/>
      </c>
      <c r="G621">
        <f>IF(A621="","",SUMIF(Tickets[TripKey],A621,Tickets[PK]))</f>
        <v/>
      </c>
      <c r="H621">
        <f>IF(A621="","",IFERROR(XLOOKUP(A621,Tickets[TripKey],Tickets[VehClean]),""))</f>
        <v/>
      </c>
      <c r="I621">
        <f>IF(A621="","",IFERROR(XLOOKUP(A621,Tickets[TripKey],Tickets[RouteLen]),0))</f>
        <v/>
      </c>
      <c r="J621">
        <f>IF(A621="","",IFERROR(XLOOKUP(A621,Tickets[TripKey],Tickets[Capacity]),0))</f>
        <v/>
      </c>
      <c r="K621">
        <f>IF(A621="","",I621*J621)</f>
        <v/>
      </c>
      <c r="L621">
        <f>IF(A621="","",IFERROR(MINIFS(Tickets[Trip Start Time],Tickets[TripKey],A621),""))</f>
        <v/>
      </c>
    </row>
    <row r="622">
      <c r="B622" s="8">
        <f>IF(A622="","",IFERROR(DATEVALUE(TEXTBEFORE(A622,"|")),--LEFT(A622,10)))</f>
        <v/>
      </c>
      <c r="C622">
        <f>IF(A622="","",TEXTBEFORE(TEXTAFTER(A622,"|"),"|"))</f>
        <v/>
      </c>
      <c r="D622">
        <f>IF(A622="","",TEXTAFTER(A622,"|",2))</f>
        <v/>
      </c>
      <c r="E622">
        <f>IF(A622="","",SUMIF(Tickets[TripKey],A622,Tickets[TP]))</f>
        <v/>
      </c>
      <c r="F622">
        <f>IF(A622="","",SUMIF(Tickets[TripKey],A622,Tickets[Revenue]))</f>
        <v/>
      </c>
      <c r="G622">
        <f>IF(A622="","",SUMIF(Tickets[TripKey],A622,Tickets[PK]))</f>
        <v/>
      </c>
      <c r="H622">
        <f>IF(A622="","",IFERROR(XLOOKUP(A622,Tickets[TripKey],Tickets[VehClean]),""))</f>
        <v/>
      </c>
      <c r="I622">
        <f>IF(A622="","",IFERROR(XLOOKUP(A622,Tickets[TripKey],Tickets[RouteLen]),0))</f>
        <v/>
      </c>
      <c r="J622">
        <f>IF(A622="","",IFERROR(XLOOKUP(A622,Tickets[TripKey],Tickets[Capacity]),0))</f>
        <v/>
      </c>
      <c r="K622">
        <f>IF(A622="","",I622*J622)</f>
        <v/>
      </c>
      <c r="L622">
        <f>IF(A622="","",IFERROR(MINIFS(Tickets[Trip Start Time],Tickets[TripKey],A622),""))</f>
        <v/>
      </c>
    </row>
    <row r="623">
      <c r="B623" s="8">
        <f>IF(A623="","",IFERROR(DATEVALUE(TEXTBEFORE(A623,"|")),--LEFT(A623,10)))</f>
        <v/>
      </c>
      <c r="C623">
        <f>IF(A623="","",TEXTBEFORE(TEXTAFTER(A623,"|"),"|"))</f>
        <v/>
      </c>
      <c r="D623">
        <f>IF(A623="","",TEXTAFTER(A623,"|",2))</f>
        <v/>
      </c>
      <c r="E623">
        <f>IF(A623="","",SUMIF(Tickets[TripKey],A623,Tickets[TP]))</f>
        <v/>
      </c>
      <c r="F623">
        <f>IF(A623="","",SUMIF(Tickets[TripKey],A623,Tickets[Revenue]))</f>
        <v/>
      </c>
      <c r="G623">
        <f>IF(A623="","",SUMIF(Tickets[TripKey],A623,Tickets[PK]))</f>
        <v/>
      </c>
      <c r="H623">
        <f>IF(A623="","",IFERROR(XLOOKUP(A623,Tickets[TripKey],Tickets[VehClean]),""))</f>
        <v/>
      </c>
      <c r="I623">
        <f>IF(A623="","",IFERROR(XLOOKUP(A623,Tickets[TripKey],Tickets[RouteLen]),0))</f>
        <v/>
      </c>
      <c r="J623">
        <f>IF(A623="","",IFERROR(XLOOKUP(A623,Tickets[TripKey],Tickets[Capacity]),0))</f>
        <v/>
      </c>
      <c r="K623">
        <f>IF(A623="","",I623*J623)</f>
        <v/>
      </c>
      <c r="L623">
        <f>IF(A623="","",IFERROR(MINIFS(Tickets[Trip Start Time],Tickets[TripKey],A623),""))</f>
        <v/>
      </c>
    </row>
    <row r="624">
      <c r="B624" s="8">
        <f>IF(A624="","",IFERROR(DATEVALUE(TEXTBEFORE(A624,"|")),--LEFT(A624,10)))</f>
        <v/>
      </c>
      <c r="C624">
        <f>IF(A624="","",TEXTBEFORE(TEXTAFTER(A624,"|"),"|"))</f>
        <v/>
      </c>
      <c r="D624">
        <f>IF(A624="","",TEXTAFTER(A624,"|",2))</f>
        <v/>
      </c>
      <c r="E624">
        <f>IF(A624="","",SUMIF(Tickets[TripKey],A624,Tickets[TP]))</f>
        <v/>
      </c>
      <c r="F624">
        <f>IF(A624="","",SUMIF(Tickets[TripKey],A624,Tickets[Revenue]))</f>
        <v/>
      </c>
      <c r="G624">
        <f>IF(A624="","",SUMIF(Tickets[TripKey],A624,Tickets[PK]))</f>
        <v/>
      </c>
      <c r="H624">
        <f>IF(A624="","",IFERROR(XLOOKUP(A624,Tickets[TripKey],Tickets[VehClean]),""))</f>
        <v/>
      </c>
      <c r="I624">
        <f>IF(A624="","",IFERROR(XLOOKUP(A624,Tickets[TripKey],Tickets[RouteLen]),0))</f>
        <v/>
      </c>
      <c r="J624">
        <f>IF(A624="","",IFERROR(XLOOKUP(A624,Tickets[TripKey],Tickets[Capacity]),0))</f>
        <v/>
      </c>
      <c r="K624">
        <f>IF(A624="","",I624*J624)</f>
        <v/>
      </c>
      <c r="L624">
        <f>IF(A624="","",IFERROR(MINIFS(Tickets[Trip Start Time],Tickets[TripKey],A624),""))</f>
        <v/>
      </c>
    </row>
    <row r="625">
      <c r="B625" s="8">
        <f>IF(A625="","",IFERROR(DATEVALUE(TEXTBEFORE(A625,"|")),--LEFT(A625,10)))</f>
        <v/>
      </c>
      <c r="C625">
        <f>IF(A625="","",TEXTBEFORE(TEXTAFTER(A625,"|"),"|"))</f>
        <v/>
      </c>
      <c r="D625">
        <f>IF(A625="","",TEXTAFTER(A625,"|",2))</f>
        <v/>
      </c>
      <c r="E625">
        <f>IF(A625="","",SUMIF(Tickets[TripKey],A625,Tickets[TP]))</f>
        <v/>
      </c>
      <c r="F625">
        <f>IF(A625="","",SUMIF(Tickets[TripKey],A625,Tickets[Revenue]))</f>
        <v/>
      </c>
      <c r="G625">
        <f>IF(A625="","",SUMIF(Tickets[TripKey],A625,Tickets[PK]))</f>
        <v/>
      </c>
      <c r="H625">
        <f>IF(A625="","",IFERROR(XLOOKUP(A625,Tickets[TripKey],Tickets[VehClean]),""))</f>
        <v/>
      </c>
      <c r="I625">
        <f>IF(A625="","",IFERROR(XLOOKUP(A625,Tickets[TripKey],Tickets[RouteLen]),0))</f>
        <v/>
      </c>
      <c r="J625">
        <f>IF(A625="","",IFERROR(XLOOKUP(A625,Tickets[TripKey],Tickets[Capacity]),0))</f>
        <v/>
      </c>
      <c r="K625">
        <f>IF(A625="","",I625*J625)</f>
        <v/>
      </c>
      <c r="L625">
        <f>IF(A625="","",IFERROR(MINIFS(Tickets[Trip Start Time],Tickets[TripKey],A625),""))</f>
        <v/>
      </c>
    </row>
    <row r="626">
      <c r="B626" s="8">
        <f>IF(A626="","",IFERROR(DATEVALUE(TEXTBEFORE(A626,"|")),--LEFT(A626,10)))</f>
        <v/>
      </c>
      <c r="C626">
        <f>IF(A626="","",TEXTBEFORE(TEXTAFTER(A626,"|"),"|"))</f>
        <v/>
      </c>
      <c r="D626">
        <f>IF(A626="","",TEXTAFTER(A626,"|",2))</f>
        <v/>
      </c>
      <c r="E626">
        <f>IF(A626="","",SUMIF(Tickets[TripKey],A626,Tickets[TP]))</f>
        <v/>
      </c>
      <c r="F626">
        <f>IF(A626="","",SUMIF(Tickets[TripKey],A626,Tickets[Revenue]))</f>
        <v/>
      </c>
      <c r="G626">
        <f>IF(A626="","",SUMIF(Tickets[TripKey],A626,Tickets[PK]))</f>
        <v/>
      </c>
      <c r="H626">
        <f>IF(A626="","",IFERROR(XLOOKUP(A626,Tickets[TripKey],Tickets[VehClean]),""))</f>
        <v/>
      </c>
      <c r="I626">
        <f>IF(A626="","",IFERROR(XLOOKUP(A626,Tickets[TripKey],Tickets[RouteLen]),0))</f>
        <v/>
      </c>
      <c r="J626">
        <f>IF(A626="","",IFERROR(XLOOKUP(A626,Tickets[TripKey],Tickets[Capacity]),0))</f>
        <v/>
      </c>
      <c r="K626">
        <f>IF(A626="","",I626*J626)</f>
        <v/>
      </c>
      <c r="L626">
        <f>IF(A626="","",IFERROR(MINIFS(Tickets[Trip Start Time],Tickets[TripKey],A626),""))</f>
        <v/>
      </c>
    </row>
    <row r="627">
      <c r="B627" s="8">
        <f>IF(A627="","",IFERROR(DATEVALUE(TEXTBEFORE(A627,"|")),--LEFT(A627,10)))</f>
        <v/>
      </c>
      <c r="C627">
        <f>IF(A627="","",TEXTBEFORE(TEXTAFTER(A627,"|"),"|"))</f>
        <v/>
      </c>
      <c r="D627">
        <f>IF(A627="","",TEXTAFTER(A627,"|",2))</f>
        <v/>
      </c>
      <c r="E627">
        <f>IF(A627="","",SUMIF(Tickets[TripKey],A627,Tickets[TP]))</f>
        <v/>
      </c>
      <c r="F627">
        <f>IF(A627="","",SUMIF(Tickets[TripKey],A627,Tickets[Revenue]))</f>
        <v/>
      </c>
      <c r="G627">
        <f>IF(A627="","",SUMIF(Tickets[TripKey],A627,Tickets[PK]))</f>
        <v/>
      </c>
      <c r="H627">
        <f>IF(A627="","",IFERROR(XLOOKUP(A627,Tickets[TripKey],Tickets[VehClean]),""))</f>
        <v/>
      </c>
      <c r="I627">
        <f>IF(A627="","",IFERROR(XLOOKUP(A627,Tickets[TripKey],Tickets[RouteLen]),0))</f>
        <v/>
      </c>
      <c r="J627">
        <f>IF(A627="","",IFERROR(XLOOKUP(A627,Tickets[TripKey],Tickets[Capacity]),0))</f>
        <v/>
      </c>
      <c r="K627">
        <f>IF(A627="","",I627*J627)</f>
        <v/>
      </c>
      <c r="L627">
        <f>IF(A627="","",IFERROR(MINIFS(Tickets[Trip Start Time],Tickets[TripKey],A627),""))</f>
        <v/>
      </c>
    </row>
    <row r="628">
      <c r="B628" s="8">
        <f>IF(A628="","",IFERROR(DATEVALUE(TEXTBEFORE(A628,"|")),--LEFT(A628,10)))</f>
        <v/>
      </c>
      <c r="C628">
        <f>IF(A628="","",TEXTBEFORE(TEXTAFTER(A628,"|"),"|"))</f>
        <v/>
      </c>
      <c r="D628">
        <f>IF(A628="","",TEXTAFTER(A628,"|",2))</f>
        <v/>
      </c>
      <c r="E628">
        <f>IF(A628="","",SUMIF(Tickets[TripKey],A628,Tickets[TP]))</f>
        <v/>
      </c>
      <c r="F628">
        <f>IF(A628="","",SUMIF(Tickets[TripKey],A628,Tickets[Revenue]))</f>
        <v/>
      </c>
      <c r="G628">
        <f>IF(A628="","",SUMIF(Tickets[TripKey],A628,Tickets[PK]))</f>
        <v/>
      </c>
      <c r="H628">
        <f>IF(A628="","",IFERROR(XLOOKUP(A628,Tickets[TripKey],Tickets[VehClean]),""))</f>
        <v/>
      </c>
      <c r="I628">
        <f>IF(A628="","",IFERROR(XLOOKUP(A628,Tickets[TripKey],Tickets[RouteLen]),0))</f>
        <v/>
      </c>
      <c r="J628">
        <f>IF(A628="","",IFERROR(XLOOKUP(A628,Tickets[TripKey],Tickets[Capacity]),0))</f>
        <v/>
      </c>
      <c r="K628">
        <f>IF(A628="","",I628*J628)</f>
        <v/>
      </c>
      <c r="L628">
        <f>IF(A628="","",IFERROR(MINIFS(Tickets[Trip Start Time],Tickets[TripKey],A628),""))</f>
        <v/>
      </c>
    </row>
    <row r="629">
      <c r="B629" s="8">
        <f>IF(A629="","",IFERROR(DATEVALUE(TEXTBEFORE(A629,"|")),--LEFT(A629,10)))</f>
        <v/>
      </c>
      <c r="C629">
        <f>IF(A629="","",TEXTBEFORE(TEXTAFTER(A629,"|"),"|"))</f>
        <v/>
      </c>
      <c r="D629">
        <f>IF(A629="","",TEXTAFTER(A629,"|",2))</f>
        <v/>
      </c>
      <c r="E629">
        <f>IF(A629="","",SUMIF(Tickets[TripKey],A629,Tickets[TP]))</f>
        <v/>
      </c>
      <c r="F629">
        <f>IF(A629="","",SUMIF(Tickets[TripKey],A629,Tickets[Revenue]))</f>
        <v/>
      </c>
      <c r="G629">
        <f>IF(A629="","",SUMIF(Tickets[TripKey],A629,Tickets[PK]))</f>
        <v/>
      </c>
      <c r="H629">
        <f>IF(A629="","",IFERROR(XLOOKUP(A629,Tickets[TripKey],Tickets[VehClean]),""))</f>
        <v/>
      </c>
      <c r="I629">
        <f>IF(A629="","",IFERROR(XLOOKUP(A629,Tickets[TripKey],Tickets[RouteLen]),0))</f>
        <v/>
      </c>
      <c r="J629">
        <f>IF(A629="","",IFERROR(XLOOKUP(A629,Tickets[TripKey],Tickets[Capacity]),0))</f>
        <v/>
      </c>
      <c r="K629">
        <f>IF(A629="","",I629*J629)</f>
        <v/>
      </c>
      <c r="L629">
        <f>IF(A629="","",IFERROR(MINIFS(Tickets[Trip Start Time],Tickets[TripKey],A629),""))</f>
        <v/>
      </c>
    </row>
    <row r="630">
      <c r="B630" s="8">
        <f>IF(A630="","",IFERROR(DATEVALUE(TEXTBEFORE(A630,"|")),--LEFT(A630,10)))</f>
        <v/>
      </c>
      <c r="C630">
        <f>IF(A630="","",TEXTBEFORE(TEXTAFTER(A630,"|"),"|"))</f>
        <v/>
      </c>
      <c r="D630">
        <f>IF(A630="","",TEXTAFTER(A630,"|",2))</f>
        <v/>
      </c>
      <c r="E630">
        <f>IF(A630="","",SUMIF(Tickets[TripKey],A630,Tickets[TP]))</f>
        <v/>
      </c>
      <c r="F630">
        <f>IF(A630="","",SUMIF(Tickets[TripKey],A630,Tickets[Revenue]))</f>
        <v/>
      </c>
      <c r="G630">
        <f>IF(A630="","",SUMIF(Tickets[TripKey],A630,Tickets[PK]))</f>
        <v/>
      </c>
      <c r="H630">
        <f>IF(A630="","",IFERROR(XLOOKUP(A630,Tickets[TripKey],Tickets[VehClean]),""))</f>
        <v/>
      </c>
      <c r="I630">
        <f>IF(A630="","",IFERROR(XLOOKUP(A630,Tickets[TripKey],Tickets[RouteLen]),0))</f>
        <v/>
      </c>
      <c r="J630">
        <f>IF(A630="","",IFERROR(XLOOKUP(A630,Tickets[TripKey],Tickets[Capacity]),0))</f>
        <v/>
      </c>
      <c r="K630">
        <f>IF(A630="","",I630*J630)</f>
        <v/>
      </c>
      <c r="L630">
        <f>IF(A630="","",IFERROR(MINIFS(Tickets[Trip Start Time],Tickets[TripKey],A630),""))</f>
        <v/>
      </c>
    </row>
    <row r="631">
      <c r="B631" s="8">
        <f>IF(A631="","",IFERROR(DATEVALUE(TEXTBEFORE(A631,"|")),--LEFT(A631,10)))</f>
        <v/>
      </c>
      <c r="C631">
        <f>IF(A631="","",TEXTBEFORE(TEXTAFTER(A631,"|"),"|"))</f>
        <v/>
      </c>
      <c r="D631">
        <f>IF(A631="","",TEXTAFTER(A631,"|",2))</f>
        <v/>
      </c>
      <c r="E631">
        <f>IF(A631="","",SUMIF(Tickets[TripKey],A631,Tickets[TP]))</f>
        <v/>
      </c>
      <c r="F631">
        <f>IF(A631="","",SUMIF(Tickets[TripKey],A631,Tickets[Revenue]))</f>
        <v/>
      </c>
      <c r="G631">
        <f>IF(A631="","",SUMIF(Tickets[TripKey],A631,Tickets[PK]))</f>
        <v/>
      </c>
      <c r="H631">
        <f>IF(A631="","",IFERROR(XLOOKUP(A631,Tickets[TripKey],Tickets[VehClean]),""))</f>
        <v/>
      </c>
      <c r="I631">
        <f>IF(A631="","",IFERROR(XLOOKUP(A631,Tickets[TripKey],Tickets[RouteLen]),0))</f>
        <v/>
      </c>
      <c r="J631">
        <f>IF(A631="","",IFERROR(XLOOKUP(A631,Tickets[TripKey],Tickets[Capacity]),0))</f>
        <v/>
      </c>
      <c r="K631">
        <f>IF(A631="","",I631*J631)</f>
        <v/>
      </c>
      <c r="L631">
        <f>IF(A631="","",IFERROR(MINIFS(Tickets[Trip Start Time],Tickets[TripKey],A631),""))</f>
        <v/>
      </c>
    </row>
    <row r="632">
      <c r="B632" s="8">
        <f>IF(A632="","",IFERROR(DATEVALUE(TEXTBEFORE(A632,"|")),--LEFT(A632,10)))</f>
        <v/>
      </c>
      <c r="C632">
        <f>IF(A632="","",TEXTBEFORE(TEXTAFTER(A632,"|"),"|"))</f>
        <v/>
      </c>
      <c r="D632">
        <f>IF(A632="","",TEXTAFTER(A632,"|",2))</f>
        <v/>
      </c>
      <c r="E632">
        <f>IF(A632="","",SUMIF(Tickets[TripKey],A632,Tickets[TP]))</f>
        <v/>
      </c>
      <c r="F632">
        <f>IF(A632="","",SUMIF(Tickets[TripKey],A632,Tickets[Revenue]))</f>
        <v/>
      </c>
      <c r="G632">
        <f>IF(A632="","",SUMIF(Tickets[TripKey],A632,Tickets[PK]))</f>
        <v/>
      </c>
      <c r="H632">
        <f>IF(A632="","",IFERROR(XLOOKUP(A632,Tickets[TripKey],Tickets[VehClean]),""))</f>
        <v/>
      </c>
      <c r="I632">
        <f>IF(A632="","",IFERROR(XLOOKUP(A632,Tickets[TripKey],Tickets[RouteLen]),0))</f>
        <v/>
      </c>
      <c r="J632">
        <f>IF(A632="","",IFERROR(XLOOKUP(A632,Tickets[TripKey],Tickets[Capacity]),0))</f>
        <v/>
      </c>
      <c r="K632">
        <f>IF(A632="","",I632*J632)</f>
        <v/>
      </c>
      <c r="L632">
        <f>IF(A632="","",IFERROR(MINIFS(Tickets[Trip Start Time],Tickets[TripKey],A632),""))</f>
        <v/>
      </c>
    </row>
    <row r="633">
      <c r="B633" s="8">
        <f>IF(A633="","",IFERROR(DATEVALUE(TEXTBEFORE(A633,"|")),--LEFT(A633,10)))</f>
        <v/>
      </c>
      <c r="C633">
        <f>IF(A633="","",TEXTBEFORE(TEXTAFTER(A633,"|"),"|"))</f>
        <v/>
      </c>
      <c r="D633">
        <f>IF(A633="","",TEXTAFTER(A633,"|",2))</f>
        <v/>
      </c>
      <c r="E633">
        <f>IF(A633="","",SUMIF(Tickets[TripKey],A633,Tickets[TP]))</f>
        <v/>
      </c>
      <c r="F633">
        <f>IF(A633="","",SUMIF(Tickets[TripKey],A633,Tickets[Revenue]))</f>
        <v/>
      </c>
      <c r="G633">
        <f>IF(A633="","",SUMIF(Tickets[TripKey],A633,Tickets[PK]))</f>
        <v/>
      </c>
      <c r="H633">
        <f>IF(A633="","",IFERROR(XLOOKUP(A633,Tickets[TripKey],Tickets[VehClean]),""))</f>
        <v/>
      </c>
      <c r="I633">
        <f>IF(A633="","",IFERROR(XLOOKUP(A633,Tickets[TripKey],Tickets[RouteLen]),0))</f>
        <v/>
      </c>
      <c r="J633">
        <f>IF(A633="","",IFERROR(XLOOKUP(A633,Tickets[TripKey],Tickets[Capacity]),0))</f>
        <v/>
      </c>
      <c r="K633">
        <f>IF(A633="","",I633*J633)</f>
        <v/>
      </c>
      <c r="L633">
        <f>IF(A633="","",IFERROR(MINIFS(Tickets[Trip Start Time],Tickets[TripKey],A633),""))</f>
        <v/>
      </c>
    </row>
    <row r="634">
      <c r="B634" s="8">
        <f>IF(A634="","",IFERROR(DATEVALUE(TEXTBEFORE(A634,"|")),--LEFT(A634,10)))</f>
        <v/>
      </c>
      <c r="C634">
        <f>IF(A634="","",TEXTBEFORE(TEXTAFTER(A634,"|"),"|"))</f>
        <v/>
      </c>
      <c r="D634">
        <f>IF(A634="","",TEXTAFTER(A634,"|",2))</f>
        <v/>
      </c>
      <c r="E634">
        <f>IF(A634="","",SUMIF(Tickets[TripKey],A634,Tickets[TP]))</f>
        <v/>
      </c>
      <c r="F634">
        <f>IF(A634="","",SUMIF(Tickets[TripKey],A634,Tickets[Revenue]))</f>
        <v/>
      </c>
      <c r="G634">
        <f>IF(A634="","",SUMIF(Tickets[TripKey],A634,Tickets[PK]))</f>
        <v/>
      </c>
      <c r="H634">
        <f>IF(A634="","",IFERROR(XLOOKUP(A634,Tickets[TripKey],Tickets[VehClean]),""))</f>
        <v/>
      </c>
      <c r="I634">
        <f>IF(A634="","",IFERROR(XLOOKUP(A634,Tickets[TripKey],Tickets[RouteLen]),0))</f>
        <v/>
      </c>
      <c r="J634">
        <f>IF(A634="","",IFERROR(XLOOKUP(A634,Tickets[TripKey],Tickets[Capacity]),0))</f>
        <v/>
      </c>
      <c r="K634">
        <f>IF(A634="","",I634*J634)</f>
        <v/>
      </c>
      <c r="L634">
        <f>IF(A634="","",IFERROR(MINIFS(Tickets[Trip Start Time],Tickets[TripKey],A634),""))</f>
        <v/>
      </c>
    </row>
    <row r="635">
      <c r="B635" s="8">
        <f>IF(A635="","",IFERROR(DATEVALUE(TEXTBEFORE(A635,"|")),--LEFT(A635,10)))</f>
        <v/>
      </c>
      <c r="C635">
        <f>IF(A635="","",TEXTBEFORE(TEXTAFTER(A635,"|"),"|"))</f>
        <v/>
      </c>
      <c r="D635">
        <f>IF(A635="","",TEXTAFTER(A635,"|",2))</f>
        <v/>
      </c>
      <c r="E635">
        <f>IF(A635="","",SUMIF(Tickets[TripKey],A635,Tickets[TP]))</f>
        <v/>
      </c>
      <c r="F635">
        <f>IF(A635="","",SUMIF(Tickets[TripKey],A635,Tickets[Revenue]))</f>
        <v/>
      </c>
      <c r="G635">
        <f>IF(A635="","",SUMIF(Tickets[TripKey],A635,Tickets[PK]))</f>
        <v/>
      </c>
      <c r="H635">
        <f>IF(A635="","",IFERROR(XLOOKUP(A635,Tickets[TripKey],Tickets[VehClean]),""))</f>
        <v/>
      </c>
      <c r="I635">
        <f>IF(A635="","",IFERROR(XLOOKUP(A635,Tickets[TripKey],Tickets[RouteLen]),0))</f>
        <v/>
      </c>
      <c r="J635">
        <f>IF(A635="","",IFERROR(XLOOKUP(A635,Tickets[TripKey],Tickets[Capacity]),0))</f>
        <v/>
      </c>
      <c r="K635">
        <f>IF(A635="","",I635*J635)</f>
        <v/>
      </c>
      <c r="L635">
        <f>IF(A635="","",IFERROR(MINIFS(Tickets[Trip Start Time],Tickets[TripKey],A635),""))</f>
        <v/>
      </c>
    </row>
    <row r="636">
      <c r="B636" s="8">
        <f>IF(A636="","",IFERROR(DATEVALUE(TEXTBEFORE(A636,"|")),--LEFT(A636,10)))</f>
        <v/>
      </c>
      <c r="C636">
        <f>IF(A636="","",TEXTBEFORE(TEXTAFTER(A636,"|"),"|"))</f>
        <v/>
      </c>
      <c r="D636">
        <f>IF(A636="","",TEXTAFTER(A636,"|",2))</f>
        <v/>
      </c>
      <c r="E636">
        <f>IF(A636="","",SUMIF(Tickets[TripKey],A636,Tickets[TP]))</f>
        <v/>
      </c>
      <c r="F636">
        <f>IF(A636="","",SUMIF(Tickets[TripKey],A636,Tickets[Revenue]))</f>
        <v/>
      </c>
      <c r="G636">
        <f>IF(A636="","",SUMIF(Tickets[TripKey],A636,Tickets[PK]))</f>
        <v/>
      </c>
      <c r="H636">
        <f>IF(A636="","",IFERROR(XLOOKUP(A636,Tickets[TripKey],Tickets[VehClean]),""))</f>
        <v/>
      </c>
      <c r="I636">
        <f>IF(A636="","",IFERROR(XLOOKUP(A636,Tickets[TripKey],Tickets[RouteLen]),0))</f>
        <v/>
      </c>
      <c r="J636">
        <f>IF(A636="","",IFERROR(XLOOKUP(A636,Tickets[TripKey],Tickets[Capacity]),0))</f>
        <v/>
      </c>
      <c r="K636">
        <f>IF(A636="","",I636*J636)</f>
        <v/>
      </c>
      <c r="L636">
        <f>IF(A636="","",IFERROR(MINIFS(Tickets[Trip Start Time],Tickets[TripKey],A636),""))</f>
        <v/>
      </c>
    </row>
    <row r="637">
      <c r="B637" s="8">
        <f>IF(A637="","",IFERROR(DATEVALUE(TEXTBEFORE(A637,"|")),--LEFT(A637,10)))</f>
        <v/>
      </c>
      <c r="C637">
        <f>IF(A637="","",TEXTBEFORE(TEXTAFTER(A637,"|"),"|"))</f>
        <v/>
      </c>
      <c r="D637">
        <f>IF(A637="","",TEXTAFTER(A637,"|",2))</f>
        <v/>
      </c>
      <c r="E637">
        <f>IF(A637="","",SUMIF(Tickets[TripKey],A637,Tickets[TP]))</f>
        <v/>
      </c>
      <c r="F637">
        <f>IF(A637="","",SUMIF(Tickets[TripKey],A637,Tickets[Revenue]))</f>
        <v/>
      </c>
      <c r="G637">
        <f>IF(A637="","",SUMIF(Tickets[TripKey],A637,Tickets[PK]))</f>
        <v/>
      </c>
      <c r="H637">
        <f>IF(A637="","",IFERROR(XLOOKUP(A637,Tickets[TripKey],Tickets[VehClean]),""))</f>
        <v/>
      </c>
      <c r="I637">
        <f>IF(A637="","",IFERROR(XLOOKUP(A637,Tickets[TripKey],Tickets[RouteLen]),0))</f>
        <v/>
      </c>
      <c r="J637">
        <f>IF(A637="","",IFERROR(XLOOKUP(A637,Tickets[TripKey],Tickets[Capacity]),0))</f>
        <v/>
      </c>
      <c r="K637">
        <f>IF(A637="","",I637*J637)</f>
        <v/>
      </c>
      <c r="L637">
        <f>IF(A637="","",IFERROR(MINIFS(Tickets[Trip Start Time],Tickets[TripKey],A637),""))</f>
        <v/>
      </c>
    </row>
    <row r="638">
      <c r="B638" s="8">
        <f>IF(A638="","",IFERROR(DATEVALUE(TEXTBEFORE(A638,"|")),--LEFT(A638,10)))</f>
        <v/>
      </c>
      <c r="C638">
        <f>IF(A638="","",TEXTBEFORE(TEXTAFTER(A638,"|"),"|"))</f>
        <v/>
      </c>
      <c r="D638">
        <f>IF(A638="","",TEXTAFTER(A638,"|",2))</f>
        <v/>
      </c>
      <c r="E638">
        <f>IF(A638="","",SUMIF(Tickets[TripKey],A638,Tickets[TP]))</f>
        <v/>
      </c>
      <c r="F638">
        <f>IF(A638="","",SUMIF(Tickets[TripKey],A638,Tickets[Revenue]))</f>
        <v/>
      </c>
      <c r="G638">
        <f>IF(A638="","",SUMIF(Tickets[TripKey],A638,Tickets[PK]))</f>
        <v/>
      </c>
      <c r="H638">
        <f>IF(A638="","",IFERROR(XLOOKUP(A638,Tickets[TripKey],Tickets[VehClean]),""))</f>
        <v/>
      </c>
      <c r="I638">
        <f>IF(A638="","",IFERROR(XLOOKUP(A638,Tickets[TripKey],Tickets[RouteLen]),0))</f>
        <v/>
      </c>
      <c r="J638">
        <f>IF(A638="","",IFERROR(XLOOKUP(A638,Tickets[TripKey],Tickets[Capacity]),0))</f>
        <v/>
      </c>
      <c r="K638">
        <f>IF(A638="","",I638*J638)</f>
        <v/>
      </c>
      <c r="L638">
        <f>IF(A638="","",IFERROR(MINIFS(Tickets[Trip Start Time],Tickets[TripKey],A638),""))</f>
        <v/>
      </c>
    </row>
    <row r="639">
      <c r="B639" s="8">
        <f>IF(A639="","",IFERROR(DATEVALUE(TEXTBEFORE(A639,"|")),--LEFT(A639,10)))</f>
        <v/>
      </c>
      <c r="C639">
        <f>IF(A639="","",TEXTBEFORE(TEXTAFTER(A639,"|"),"|"))</f>
        <v/>
      </c>
      <c r="D639">
        <f>IF(A639="","",TEXTAFTER(A639,"|",2))</f>
        <v/>
      </c>
      <c r="E639">
        <f>IF(A639="","",SUMIF(Tickets[TripKey],A639,Tickets[TP]))</f>
        <v/>
      </c>
      <c r="F639">
        <f>IF(A639="","",SUMIF(Tickets[TripKey],A639,Tickets[Revenue]))</f>
        <v/>
      </c>
      <c r="G639">
        <f>IF(A639="","",SUMIF(Tickets[TripKey],A639,Tickets[PK]))</f>
        <v/>
      </c>
      <c r="H639">
        <f>IF(A639="","",IFERROR(XLOOKUP(A639,Tickets[TripKey],Tickets[VehClean]),""))</f>
        <v/>
      </c>
      <c r="I639">
        <f>IF(A639="","",IFERROR(XLOOKUP(A639,Tickets[TripKey],Tickets[RouteLen]),0))</f>
        <v/>
      </c>
      <c r="J639">
        <f>IF(A639="","",IFERROR(XLOOKUP(A639,Tickets[TripKey],Tickets[Capacity]),0))</f>
        <v/>
      </c>
      <c r="K639">
        <f>IF(A639="","",I639*J639)</f>
        <v/>
      </c>
      <c r="L639">
        <f>IF(A639="","",IFERROR(MINIFS(Tickets[Trip Start Time],Tickets[TripKey],A639),""))</f>
        <v/>
      </c>
    </row>
    <row r="640">
      <c r="B640" s="8">
        <f>IF(A640="","",IFERROR(DATEVALUE(TEXTBEFORE(A640,"|")),--LEFT(A640,10)))</f>
        <v/>
      </c>
      <c r="C640">
        <f>IF(A640="","",TEXTBEFORE(TEXTAFTER(A640,"|"),"|"))</f>
        <v/>
      </c>
      <c r="D640">
        <f>IF(A640="","",TEXTAFTER(A640,"|",2))</f>
        <v/>
      </c>
      <c r="E640">
        <f>IF(A640="","",SUMIF(Tickets[TripKey],A640,Tickets[TP]))</f>
        <v/>
      </c>
      <c r="F640">
        <f>IF(A640="","",SUMIF(Tickets[TripKey],A640,Tickets[Revenue]))</f>
        <v/>
      </c>
      <c r="G640">
        <f>IF(A640="","",SUMIF(Tickets[TripKey],A640,Tickets[PK]))</f>
        <v/>
      </c>
      <c r="H640">
        <f>IF(A640="","",IFERROR(XLOOKUP(A640,Tickets[TripKey],Tickets[VehClean]),""))</f>
        <v/>
      </c>
      <c r="I640">
        <f>IF(A640="","",IFERROR(XLOOKUP(A640,Tickets[TripKey],Tickets[RouteLen]),0))</f>
        <v/>
      </c>
      <c r="J640">
        <f>IF(A640="","",IFERROR(XLOOKUP(A640,Tickets[TripKey],Tickets[Capacity]),0))</f>
        <v/>
      </c>
      <c r="K640">
        <f>IF(A640="","",I640*J640)</f>
        <v/>
      </c>
      <c r="L640">
        <f>IF(A640="","",IFERROR(MINIFS(Tickets[Trip Start Time],Tickets[TripKey],A640),""))</f>
        <v/>
      </c>
    </row>
    <row r="641">
      <c r="B641" s="8">
        <f>IF(A641="","",IFERROR(DATEVALUE(TEXTBEFORE(A641,"|")),--LEFT(A641,10)))</f>
        <v/>
      </c>
      <c r="C641">
        <f>IF(A641="","",TEXTBEFORE(TEXTAFTER(A641,"|"),"|"))</f>
        <v/>
      </c>
      <c r="D641">
        <f>IF(A641="","",TEXTAFTER(A641,"|",2))</f>
        <v/>
      </c>
      <c r="E641">
        <f>IF(A641="","",SUMIF(Tickets[TripKey],A641,Tickets[TP]))</f>
        <v/>
      </c>
      <c r="F641">
        <f>IF(A641="","",SUMIF(Tickets[TripKey],A641,Tickets[Revenue]))</f>
        <v/>
      </c>
      <c r="G641">
        <f>IF(A641="","",SUMIF(Tickets[TripKey],A641,Tickets[PK]))</f>
        <v/>
      </c>
      <c r="H641">
        <f>IF(A641="","",IFERROR(XLOOKUP(A641,Tickets[TripKey],Tickets[VehClean]),""))</f>
        <v/>
      </c>
      <c r="I641">
        <f>IF(A641="","",IFERROR(XLOOKUP(A641,Tickets[TripKey],Tickets[RouteLen]),0))</f>
        <v/>
      </c>
      <c r="J641">
        <f>IF(A641="","",IFERROR(XLOOKUP(A641,Tickets[TripKey],Tickets[Capacity]),0))</f>
        <v/>
      </c>
      <c r="K641">
        <f>IF(A641="","",I641*J641)</f>
        <v/>
      </c>
      <c r="L641">
        <f>IF(A641="","",IFERROR(MINIFS(Tickets[Trip Start Time],Tickets[TripKey],A641),""))</f>
        <v/>
      </c>
    </row>
    <row r="642">
      <c r="B642" s="8">
        <f>IF(A642="","",IFERROR(DATEVALUE(TEXTBEFORE(A642,"|")),--LEFT(A642,10)))</f>
        <v/>
      </c>
      <c r="C642">
        <f>IF(A642="","",TEXTBEFORE(TEXTAFTER(A642,"|"),"|"))</f>
        <v/>
      </c>
      <c r="D642">
        <f>IF(A642="","",TEXTAFTER(A642,"|",2))</f>
        <v/>
      </c>
      <c r="E642">
        <f>IF(A642="","",SUMIF(Tickets[TripKey],A642,Tickets[TP]))</f>
        <v/>
      </c>
      <c r="F642">
        <f>IF(A642="","",SUMIF(Tickets[TripKey],A642,Tickets[Revenue]))</f>
        <v/>
      </c>
      <c r="G642">
        <f>IF(A642="","",SUMIF(Tickets[TripKey],A642,Tickets[PK]))</f>
        <v/>
      </c>
      <c r="H642">
        <f>IF(A642="","",IFERROR(XLOOKUP(A642,Tickets[TripKey],Tickets[VehClean]),""))</f>
        <v/>
      </c>
      <c r="I642">
        <f>IF(A642="","",IFERROR(XLOOKUP(A642,Tickets[TripKey],Tickets[RouteLen]),0))</f>
        <v/>
      </c>
      <c r="J642">
        <f>IF(A642="","",IFERROR(XLOOKUP(A642,Tickets[TripKey],Tickets[Capacity]),0))</f>
        <v/>
      </c>
      <c r="K642">
        <f>IF(A642="","",I642*J642)</f>
        <v/>
      </c>
      <c r="L642">
        <f>IF(A642="","",IFERROR(MINIFS(Tickets[Trip Start Time],Tickets[TripKey],A642),""))</f>
        <v/>
      </c>
    </row>
    <row r="643">
      <c r="B643" s="8">
        <f>IF(A643="","",IFERROR(DATEVALUE(TEXTBEFORE(A643,"|")),--LEFT(A643,10)))</f>
        <v/>
      </c>
      <c r="C643">
        <f>IF(A643="","",TEXTBEFORE(TEXTAFTER(A643,"|"),"|"))</f>
        <v/>
      </c>
      <c r="D643">
        <f>IF(A643="","",TEXTAFTER(A643,"|",2))</f>
        <v/>
      </c>
      <c r="E643">
        <f>IF(A643="","",SUMIF(Tickets[TripKey],A643,Tickets[TP]))</f>
        <v/>
      </c>
      <c r="F643">
        <f>IF(A643="","",SUMIF(Tickets[TripKey],A643,Tickets[Revenue]))</f>
        <v/>
      </c>
      <c r="G643">
        <f>IF(A643="","",SUMIF(Tickets[TripKey],A643,Tickets[PK]))</f>
        <v/>
      </c>
      <c r="H643">
        <f>IF(A643="","",IFERROR(XLOOKUP(A643,Tickets[TripKey],Tickets[VehClean]),""))</f>
        <v/>
      </c>
      <c r="I643">
        <f>IF(A643="","",IFERROR(XLOOKUP(A643,Tickets[TripKey],Tickets[RouteLen]),0))</f>
        <v/>
      </c>
      <c r="J643">
        <f>IF(A643="","",IFERROR(XLOOKUP(A643,Tickets[TripKey],Tickets[Capacity]),0))</f>
        <v/>
      </c>
      <c r="K643">
        <f>IF(A643="","",I643*J643)</f>
        <v/>
      </c>
      <c r="L643">
        <f>IF(A643="","",IFERROR(MINIFS(Tickets[Trip Start Time],Tickets[TripKey],A643),""))</f>
        <v/>
      </c>
    </row>
    <row r="644">
      <c r="B644" s="8">
        <f>IF(A644="","",IFERROR(DATEVALUE(TEXTBEFORE(A644,"|")),--LEFT(A644,10)))</f>
        <v/>
      </c>
      <c r="C644">
        <f>IF(A644="","",TEXTBEFORE(TEXTAFTER(A644,"|"),"|"))</f>
        <v/>
      </c>
      <c r="D644">
        <f>IF(A644="","",TEXTAFTER(A644,"|",2))</f>
        <v/>
      </c>
      <c r="E644">
        <f>IF(A644="","",SUMIF(Tickets[TripKey],A644,Tickets[TP]))</f>
        <v/>
      </c>
      <c r="F644">
        <f>IF(A644="","",SUMIF(Tickets[TripKey],A644,Tickets[Revenue]))</f>
        <v/>
      </c>
      <c r="G644">
        <f>IF(A644="","",SUMIF(Tickets[TripKey],A644,Tickets[PK]))</f>
        <v/>
      </c>
      <c r="H644">
        <f>IF(A644="","",IFERROR(XLOOKUP(A644,Tickets[TripKey],Tickets[VehClean]),""))</f>
        <v/>
      </c>
      <c r="I644">
        <f>IF(A644="","",IFERROR(XLOOKUP(A644,Tickets[TripKey],Tickets[RouteLen]),0))</f>
        <v/>
      </c>
      <c r="J644">
        <f>IF(A644="","",IFERROR(XLOOKUP(A644,Tickets[TripKey],Tickets[Capacity]),0))</f>
        <v/>
      </c>
      <c r="K644">
        <f>IF(A644="","",I644*J644)</f>
        <v/>
      </c>
      <c r="L644">
        <f>IF(A644="","",IFERROR(MINIFS(Tickets[Trip Start Time],Tickets[TripKey],A644),""))</f>
        <v/>
      </c>
    </row>
    <row r="645">
      <c r="B645" s="8">
        <f>IF(A645="","",IFERROR(DATEVALUE(TEXTBEFORE(A645,"|")),--LEFT(A645,10)))</f>
        <v/>
      </c>
      <c r="C645">
        <f>IF(A645="","",TEXTBEFORE(TEXTAFTER(A645,"|"),"|"))</f>
        <v/>
      </c>
      <c r="D645">
        <f>IF(A645="","",TEXTAFTER(A645,"|",2))</f>
        <v/>
      </c>
      <c r="E645">
        <f>IF(A645="","",SUMIF(Tickets[TripKey],A645,Tickets[TP]))</f>
        <v/>
      </c>
      <c r="F645">
        <f>IF(A645="","",SUMIF(Tickets[TripKey],A645,Tickets[Revenue]))</f>
        <v/>
      </c>
      <c r="G645">
        <f>IF(A645="","",SUMIF(Tickets[TripKey],A645,Tickets[PK]))</f>
        <v/>
      </c>
      <c r="H645">
        <f>IF(A645="","",IFERROR(XLOOKUP(A645,Tickets[TripKey],Tickets[VehClean]),""))</f>
        <v/>
      </c>
      <c r="I645">
        <f>IF(A645="","",IFERROR(XLOOKUP(A645,Tickets[TripKey],Tickets[RouteLen]),0))</f>
        <v/>
      </c>
      <c r="J645">
        <f>IF(A645="","",IFERROR(XLOOKUP(A645,Tickets[TripKey],Tickets[Capacity]),0))</f>
        <v/>
      </c>
      <c r="K645">
        <f>IF(A645="","",I645*J645)</f>
        <v/>
      </c>
      <c r="L645">
        <f>IF(A645="","",IFERROR(MINIFS(Tickets[Trip Start Time],Tickets[TripKey],A645),""))</f>
        <v/>
      </c>
    </row>
    <row r="646">
      <c r="B646" s="8">
        <f>IF(A646="","",IFERROR(DATEVALUE(TEXTBEFORE(A646,"|")),--LEFT(A646,10)))</f>
        <v/>
      </c>
      <c r="C646">
        <f>IF(A646="","",TEXTBEFORE(TEXTAFTER(A646,"|"),"|"))</f>
        <v/>
      </c>
      <c r="D646">
        <f>IF(A646="","",TEXTAFTER(A646,"|",2))</f>
        <v/>
      </c>
      <c r="E646">
        <f>IF(A646="","",SUMIF(Tickets[TripKey],A646,Tickets[TP]))</f>
        <v/>
      </c>
      <c r="F646">
        <f>IF(A646="","",SUMIF(Tickets[TripKey],A646,Tickets[Revenue]))</f>
        <v/>
      </c>
      <c r="G646">
        <f>IF(A646="","",SUMIF(Tickets[TripKey],A646,Tickets[PK]))</f>
        <v/>
      </c>
      <c r="H646">
        <f>IF(A646="","",IFERROR(XLOOKUP(A646,Tickets[TripKey],Tickets[VehClean]),""))</f>
        <v/>
      </c>
      <c r="I646">
        <f>IF(A646="","",IFERROR(XLOOKUP(A646,Tickets[TripKey],Tickets[RouteLen]),0))</f>
        <v/>
      </c>
      <c r="J646">
        <f>IF(A646="","",IFERROR(XLOOKUP(A646,Tickets[TripKey],Tickets[Capacity]),0))</f>
        <v/>
      </c>
      <c r="K646">
        <f>IF(A646="","",I646*J646)</f>
        <v/>
      </c>
      <c r="L646">
        <f>IF(A646="","",IFERROR(MINIFS(Tickets[Trip Start Time],Tickets[TripKey],A646),""))</f>
        <v/>
      </c>
    </row>
    <row r="647">
      <c r="B647" s="8">
        <f>IF(A647="","",IFERROR(DATEVALUE(TEXTBEFORE(A647,"|")),--LEFT(A647,10)))</f>
        <v/>
      </c>
      <c r="C647">
        <f>IF(A647="","",TEXTBEFORE(TEXTAFTER(A647,"|"),"|"))</f>
        <v/>
      </c>
      <c r="D647">
        <f>IF(A647="","",TEXTAFTER(A647,"|",2))</f>
        <v/>
      </c>
      <c r="E647">
        <f>IF(A647="","",SUMIF(Tickets[TripKey],A647,Tickets[TP]))</f>
        <v/>
      </c>
      <c r="F647">
        <f>IF(A647="","",SUMIF(Tickets[TripKey],A647,Tickets[Revenue]))</f>
        <v/>
      </c>
      <c r="G647">
        <f>IF(A647="","",SUMIF(Tickets[TripKey],A647,Tickets[PK]))</f>
        <v/>
      </c>
      <c r="H647">
        <f>IF(A647="","",IFERROR(XLOOKUP(A647,Tickets[TripKey],Tickets[VehClean]),""))</f>
        <v/>
      </c>
      <c r="I647">
        <f>IF(A647="","",IFERROR(XLOOKUP(A647,Tickets[TripKey],Tickets[RouteLen]),0))</f>
        <v/>
      </c>
      <c r="J647">
        <f>IF(A647="","",IFERROR(XLOOKUP(A647,Tickets[TripKey],Tickets[Capacity]),0))</f>
        <v/>
      </c>
      <c r="K647">
        <f>IF(A647="","",I647*J647)</f>
        <v/>
      </c>
      <c r="L647">
        <f>IF(A647="","",IFERROR(MINIFS(Tickets[Trip Start Time],Tickets[TripKey],A647),""))</f>
        <v/>
      </c>
    </row>
    <row r="648">
      <c r="B648" s="8">
        <f>IF(A648="","",IFERROR(DATEVALUE(TEXTBEFORE(A648,"|")),--LEFT(A648,10)))</f>
        <v/>
      </c>
      <c r="C648">
        <f>IF(A648="","",TEXTBEFORE(TEXTAFTER(A648,"|"),"|"))</f>
        <v/>
      </c>
      <c r="D648">
        <f>IF(A648="","",TEXTAFTER(A648,"|",2))</f>
        <v/>
      </c>
      <c r="E648">
        <f>IF(A648="","",SUMIF(Tickets[TripKey],A648,Tickets[TP]))</f>
        <v/>
      </c>
      <c r="F648">
        <f>IF(A648="","",SUMIF(Tickets[TripKey],A648,Tickets[Revenue]))</f>
        <v/>
      </c>
      <c r="G648">
        <f>IF(A648="","",SUMIF(Tickets[TripKey],A648,Tickets[PK]))</f>
        <v/>
      </c>
      <c r="H648">
        <f>IF(A648="","",IFERROR(XLOOKUP(A648,Tickets[TripKey],Tickets[VehClean]),""))</f>
        <v/>
      </c>
      <c r="I648">
        <f>IF(A648="","",IFERROR(XLOOKUP(A648,Tickets[TripKey],Tickets[RouteLen]),0))</f>
        <v/>
      </c>
      <c r="J648">
        <f>IF(A648="","",IFERROR(XLOOKUP(A648,Tickets[TripKey],Tickets[Capacity]),0))</f>
        <v/>
      </c>
      <c r="K648">
        <f>IF(A648="","",I648*J648)</f>
        <v/>
      </c>
      <c r="L648">
        <f>IF(A648="","",IFERROR(MINIFS(Tickets[Trip Start Time],Tickets[TripKey],A648),""))</f>
        <v/>
      </c>
    </row>
    <row r="649">
      <c r="B649" s="8">
        <f>IF(A649="","",IFERROR(DATEVALUE(TEXTBEFORE(A649,"|")),--LEFT(A649,10)))</f>
        <v/>
      </c>
      <c r="C649">
        <f>IF(A649="","",TEXTBEFORE(TEXTAFTER(A649,"|"),"|"))</f>
        <v/>
      </c>
      <c r="D649">
        <f>IF(A649="","",TEXTAFTER(A649,"|",2))</f>
        <v/>
      </c>
      <c r="E649">
        <f>IF(A649="","",SUMIF(Tickets[TripKey],A649,Tickets[TP]))</f>
        <v/>
      </c>
      <c r="F649">
        <f>IF(A649="","",SUMIF(Tickets[TripKey],A649,Tickets[Revenue]))</f>
        <v/>
      </c>
      <c r="G649">
        <f>IF(A649="","",SUMIF(Tickets[TripKey],A649,Tickets[PK]))</f>
        <v/>
      </c>
      <c r="H649">
        <f>IF(A649="","",IFERROR(XLOOKUP(A649,Tickets[TripKey],Tickets[VehClean]),""))</f>
        <v/>
      </c>
      <c r="I649">
        <f>IF(A649="","",IFERROR(XLOOKUP(A649,Tickets[TripKey],Tickets[RouteLen]),0))</f>
        <v/>
      </c>
      <c r="J649">
        <f>IF(A649="","",IFERROR(XLOOKUP(A649,Tickets[TripKey],Tickets[Capacity]),0))</f>
        <v/>
      </c>
      <c r="K649">
        <f>IF(A649="","",I649*J649)</f>
        <v/>
      </c>
      <c r="L649">
        <f>IF(A649="","",IFERROR(MINIFS(Tickets[Trip Start Time],Tickets[TripKey],A649),""))</f>
        <v/>
      </c>
    </row>
    <row r="650">
      <c r="B650" s="8">
        <f>IF(A650="","",IFERROR(DATEVALUE(TEXTBEFORE(A650,"|")),--LEFT(A650,10)))</f>
        <v/>
      </c>
      <c r="C650">
        <f>IF(A650="","",TEXTBEFORE(TEXTAFTER(A650,"|"),"|"))</f>
        <v/>
      </c>
      <c r="D650">
        <f>IF(A650="","",TEXTAFTER(A650,"|",2))</f>
        <v/>
      </c>
      <c r="E650">
        <f>IF(A650="","",SUMIF(Tickets[TripKey],A650,Tickets[TP]))</f>
        <v/>
      </c>
      <c r="F650">
        <f>IF(A650="","",SUMIF(Tickets[TripKey],A650,Tickets[Revenue]))</f>
        <v/>
      </c>
      <c r="G650">
        <f>IF(A650="","",SUMIF(Tickets[TripKey],A650,Tickets[PK]))</f>
        <v/>
      </c>
      <c r="H650">
        <f>IF(A650="","",IFERROR(XLOOKUP(A650,Tickets[TripKey],Tickets[VehClean]),""))</f>
        <v/>
      </c>
      <c r="I650">
        <f>IF(A650="","",IFERROR(XLOOKUP(A650,Tickets[TripKey],Tickets[RouteLen]),0))</f>
        <v/>
      </c>
      <c r="J650">
        <f>IF(A650="","",IFERROR(XLOOKUP(A650,Tickets[TripKey],Tickets[Capacity]),0))</f>
        <v/>
      </c>
      <c r="K650">
        <f>IF(A650="","",I650*J650)</f>
        <v/>
      </c>
      <c r="L650">
        <f>IF(A650="","",IFERROR(MINIFS(Tickets[Trip Start Time],Tickets[TripKey],A650),""))</f>
        <v/>
      </c>
    </row>
    <row r="651">
      <c r="B651" s="8">
        <f>IF(A651="","",IFERROR(DATEVALUE(TEXTBEFORE(A651,"|")),--LEFT(A651,10)))</f>
        <v/>
      </c>
      <c r="C651">
        <f>IF(A651="","",TEXTBEFORE(TEXTAFTER(A651,"|"),"|"))</f>
        <v/>
      </c>
      <c r="D651">
        <f>IF(A651="","",TEXTAFTER(A651,"|",2))</f>
        <v/>
      </c>
      <c r="E651">
        <f>IF(A651="","",SUMIF(Tickets[TripKey],A651,Tickets[TP]))</f>
        <v/>
      </c>
      <c r="F651">
        <f>IF(A651="","",SUMIF(Tickets[TripKey],A651,Tickets[Revenue]))</f>
        <v/>
      </c>
      <c r="G651">
        <f>IF(A651="","",SUMIF(Tickets[TripKey],A651,Tickets[PK]))</f>
        <v/>
      </c>
      <c r="H651">
        <f>IF(A651="","",IFERROR(XLOOKUP(A651,Tickets[TripKey],Tickets[VehClean]),""))</f>
        <v/>
      </c>
      <c r="I651">
        <f>IF(A651="","",IFERROR(XLOOKUP(A651,Tickets[TripKey],Tickets[RouteLen]),0))</f>
        <v/>
      </c>
      <c r="J651">
        <f>IF(A651="","",IFERROR(XLOOKUP(A651,Tickets[TripKey],Tickets[Capacity]),0))</f>
        <v/>
      </c>
      <c r="K651">
        <f>IF(A651="","",I651*J651)</f>
        <v/>
      </c>
      <c r="L651">
        <f>IF(A651="","",IFERROR(MINIFS(Tickets[Trip Start Time],Tickets[TripKey],A651),""))</f>
        <v/>
      </c>
    </row>
    <row r="652">
      <c r="B652" s="8">
        <f>IF(A652="","",IFERROR(DATEVALUE(TEXTBEFORE(A652,"|")),--LEFT(A652,10)))</f>
        <v/>
      </c>
      <c r="C652">
        <f>IF(A652="","",TEXTBEFORE(TEXTAFTER(A652,"|"),"|"))</f>
        <v/>
      </c>
      <c r="D652">
        <f>IF(A652="","",TEXTAFTER(A652,"|",2))</f>
        <v/>
      </c>
      <c r="E652">
        <f>IF(A652="","",SUMIF(Tickets[TripKey],A652,Tickets[TP]))</f>
        <v/>
      </c>
      <c r="F652">
        <f>IF(A652="","",SUMIF(Tickets[TripKey],A652,Tickets[Revenue]))</f>
        <v/>
      </c>
      <c r="G652">
        <f>IF(A652="","",SUMIF(Tickets[TripKey],A652,Tickets[PK]))</f>
        <v/>
      </c>
      <c r="H652">
        <f>IF(A652="","",IFERROR(XLOOKUP(A652,Tickets[TripKey],Tickets[VehClean]),""))</f>
        <v/>
      </c>
      <c r="I652">
        <f>IF(A652="","",IFERROR(XLOOKUP(A652,Tickets[TripKey],Tickets[RouteLen]),0))</f>
        <v/>
      </c>
      <c r="J652">
        <f>IF(A652="","",IFERROR(XLOOKUP(A652,Tickets[TripKey],Tickets[Capacity]),0))</f>
        <v/>
      </c>
      <c r="K652">
        <f>IF(A652="","",I652*J652)</f>
        <v/>
      </c>
      <c r="L652">
        <f>IF(A652="","",IFERROR(MINIFS(Tickets[Trip Start Time],Tickets[TripKey],A652),""))</f>
        <v/>
      </c>
    </row>
    <row r="653">
      <c r="B653" s="8">
        <f>IF(A653="","",IFERROR(DATEVALUE(TEXTBEFORE(A653,"|")),--LEFT(A653,10)))</f>
        <v/>
      </c>
      <c r="C653">
        <f>IF(A653="","",TEXTBEFORE(TEXTAFTER(A653,"|"),"|"))</f>
        <v/>
      </c>
      <c r="D653">
        <f>IF(A653="","",TEXTAFTER(A653,"|",2))</f>
        <v/>
      </c>
      <c r="E653">
        <f>IF(A653="","",SUMIF(Tickets[TripKey],A653,Tickets[TP]))</f>
        <v/>
      </c>
      <c r="F653">
        <f>IF(A653="","",SUMIF(Tickets[TripKey],A653,Tickets[Revenue]))</f>
        <v/>
      </c>
      <c r="G653">
        <f>IF(A653="","",SUMIF(Tickets[TripKey],A653,Tickets[PK]))</f>
        <v/>
      </c>
      <c r="H653">
        <f>IF(A653="","",IFERROR(XLOOKUP(A653,Tickets[TripKey],Tickets[VehClean]),""))</f>
        <v/>
      </c>
      <c r="I653">
        <f>IF(A653="","",IFERROR(XLOOKUP(A653,Tickets[TripKey],Tickets[RouteLen]),0))</f>
        <v/>
      </c>
      <c r="J653">
        <f>IF(A653="","",IFERROR(XLOOKUP(A653,Tickets[TripKey],Tickets[Capacity]),0))</f>
        <v/>
      </c>
      <c r="K653">
        <f>IF(A653="","",I653*J653)</f>
        <v/>
      </c>
      <c r="L653">
        <f>IF(A653="","",IFERROR(MINIFS(Tickets[Trip Start Time],Tickets[TripKey],A653),""))</f>
        <v/>
      </c>
    </row>
    <row r="654">
      <c r="B654" s="8">
        <f>IF(A654="","",IFERROR(DATEVALUE(TEXTBEFORE(A654,"|")),--LEFT(A654,10)))</f>
        <v/>
      </c>
      <c r="C654">
        <f>IF(A654="","",TEXTBEFORE(TEXTAFTER(A654,"|"),"|"))</f>
        <v/>
      </c>
      <c r="D654">
        <f>IF(A654="","",TEXTAFTER(A654,"|",2))</f>
        <v/>
      </c>
      <c r="E654">
        <f>IF(A654="","",SUMIF(Tickets[TripKey],A654,Tickets[TP]))</f>
        <v/>
      </c>
      <c r="F654">
        <f>IF(A654="","",SUMIF(Tickets[TripKey],A654,Tickets[Revenue]))</f>
        <v/>
      </c>
      <c r="G654">
        <f>IF(A654="","",SUMIF(Tickets[TripKey],A654,Tickets[PK]))</f>
        <v/>
      </c>
      <c r="H654">
        <f>IF(A654="","",IFERROR(XLOOKUP(A654,Tickets[TripKey],Tickets[VehClean]),""))</f>
        <v/>
      </c>
      <c r="I654">
        <f>IF(A654="","",IFERROR(XLOOKUP(A654,Tickets[TripKey],Tickets[RouteLen]),0))</f>
        <v/>
      </c>
      <c r="J654">
        <f>IF(A654="","",IFERROR(XLOOKUP(A654,Tickets[TripKey],Tickets[Capacity]),0))</f>
        <v/>
      </c>
      <c r="K654">
        <f>IF(A654="","",I654*J654)</f>
        <v/>
      </c>
      <c r="L654">
        <f>IF(A654="","",IFERROR(MINIFS(Tickets[Trip Start Time],Tickets[TripKey],A654),""))</f>
        <v/>
      </c>
    </row>
    <row r="655">
      <c r="B655" s="8">
        <f>IF(A655="","",IFERROR(DATEVALUE(TEXTBEFORE(A655,"|")),--LEFT(A655,10)))</f>
        <v/>
      </c>
      <c r="C655">
        <f>IF(A655="","",TEXTBEFORE(TEXTAFTER(A655,"|"),"|"))</f>
        <v/>
      </c>
      <c r="D655">
        <f>IF(A655="","",TEXTAFTER(A655,"|",2))</f>
        <v/>
      </c>
      <c r="E655">
        <f>IF(A655="","",SUMIF(Tickets[TripKey],A655,Tickets[TP]))</f>
        <v/>
      </c>
      <c r="F655">
        <f>IF(A655="","",SUMIF(Tickets[TripKey],A655,Tickets[Revenue]))</f>
        <v/>
      </c>
      <c r="G655">
        <f>IF(A655="","",SUMIF(Tickets[TripKey],A655,Tickets[PK]))</f>
        <v/>
      </c>
      <c r="H655">
        <f>IF(A655="","",IFERROR(XLOOKUP(A655,Tickets[TripKey],Tickets[VehClean]),""))</f>
        <v/>
      </c>
      <c r="I655">
        <f>IF(A655="","",IFERROR(XLOOKUP(A655,Tickets[TripKey],Tickets[RouteLen]),0))</f>
        <v/>
      </c>
      <c r="J655">
        <f>IF(A655="","",IFERROR(XLOOKUP(A655,Tickets[TripKey],Tickets[Capacity]),0))</f>
        <v/>
      </c>
      <c r="K655">
        <f>IF(A655="","",I655*J655)</f>
        <v/>
      </c>
      <c r="L655">
        <f>IF(A655="","",IFERROR(MINIFS(Tickets[Trip Start Time],Tickets[TripKey],A655),""))</f>
        <v/>
      </c>
    </row>
    <row r="656">
      <c r="B656" s="8">
        <f>IF(A656="","",IFERROR(DATEVALUE(TEXTBEFORE(A656,"|")),--LEFT(A656,10)))</f>
        <v/>
      </c>
      <c r="C656">
        <f>IF(A656="","",TEXTBEFORE(TEXTAFTER(A656,"|"),"|"))</f>
        <v/>
      </c>
      <c r="D656">
        <f>IF(A656="","",TEXTAFTER(A656,"|",2))</f>
        <v/>
      </c>
      <c r="E656">
        <f>IF(A656="","",SUMIF(Tickets[TripKey],A656,Tickets[TP]))</f>
        <v/>
      </c>
      <c r="F656">
        <f>IF(A656="","",SUMIF(Tickets[TripKey],A656,Tickets[Revenue]))</f>
        <v/>
      </c>
      <c r="G656">
        <f>IF(A656="","",SUMIF(Tickets[TripKey],A656,Tickets[PK]))</f>
        <v/>
      </c>
      <c r="H656">
        <f>IF(A656="","",IFERROR(XLOOKUP(A656,Tickets[TripKey],Tickets[VehClean]),""))</f>
        <v/>
      </c>
      <c r="I656">
        <f>IF(A656="","",IFERROR(XLOOKUP(A656,Tickets[TripKey],Tickets[RouteLen]),0))</f>
        <v/>
      </c>
      <c r="J656">
        <f>IF(A656="","",IFERROR(XLOOKUP(A656,Tickets[TripKey],Tickets[Capacity]),0))</f>
        <v/>
      </c>
      <c r="K656">
        <f>IF(A656="","",I656*J656)</f>
        <v/>
      </c>
      <c r="L656">
        <f>IF(A656="","",IFERROR(MINIFS(Tickets[Trip Start Time],Tickets[TripKey],A656),""))</f>
        <v/>
      </c>
    </row>
    <row r="657">
      <c r="B657" s="8">
        <f>IF(A657="","",IFERROR(DATEVALUE(TEXTBEFORE(A657,"|")),--LEFT(A657,10)))</f>
        <v/>
      </c>
      <c r="C657">
        <f>IF(A657="","",TEXTBEFORE(TEXTAFTER(A657,"|"),"|"))</f>
        <v/>
      </c>
      <c r="D657">
        <f>IF(A657="","",TEXTAFTER(A657,"|",2))</f>
        <v/>
      </c>
      <c r="E657">
        <f>IF(A657="","",SUMIF(Tickets[TripKey],A657,Tickets[TP]))</f>
        <v/>
      </c>
      <c r="F657">
        <f>IF(A657="","",SUMIF(Tickets[TripKey],A657,Tickets[Revenue]))</f>
        <v/>
      </c>
      <c r="G657">
        <f>IF(A657="","",SUMIF(Tickets[TripKey],A657,Tickets[PK]))</f>
        <v/>
      </c>
      <c r="H657">
        <f>IF(A657="","",IFERROR(XLOOKUP(A657,Tickets[TripKey],Tickets[VehClean]),""))</f>
        <v/>
      </c>
      <c r="I657">
        <f>IF(A657="","",IFERROR(XLOOKUP(A657,Tickets[TripKey],Tickets[RouteLen]),0))</f>
        <v/>
      </c>
      <c r="J657">
        <f>IF(A657="","",IFERROR(XLOOKUP(A657,Tickets[TripKey],Tickets[Capacity]),0))</f>
        <v/>
      </c>
      <c r="K657">
        <f>IF(A657="","",I657*J657)</f>
        <v/>
      </c>
      <c r="L657">
        <f>IF(A657="","",IFERROR(MINIFS(Tickets[Trip Start Time],Tickets[TripKey],A657),""))</f>
        <v/>
      </c>
    </row>
    <row r="658">
      <c r="B658" s="8">
        <f>IF(A658="","",IFERROR(DATEVALUE(TEXTBEFORE(A658,"|")),--LEFT(A658,10)))</f>
        <v/>
      </c>
      <c r="C658">
        <f>IF(A658="","",TEXTBEFORE(TEXTAFTER(A658,"|"),"|"))</f>
        <v/>
      </c>
      <c r="D658">
        <f>IF(A658="","",TEXTAFTER(A658,"|",2))</f>
        <v/>
      </c>
      <c r="E658">
        <f>IF(A658="","",SUMIF(Tickets[TripKey],A658,Tickets[TP]))</f>
        <v/>
      </c>
      <c r="F658">
        <f>IF(A658="","",SUMIF(Tickets[TripKey],A658,Tickets[Revenue]))</f>
        <v/>
      </c>
      <c r="G658">
        <f>IF(A658="","",SUMIF(Tickets[TripKey],A658,Tickets[PK]))</f>
        <v/>
      </c>
      <c r="H658">
        <f>IF(A658="","",IFERROR(XLOOKUP(A658,Tickets[TripKey],Tickets[VehClean]),""))</f>
        <v/>
      </c>
      <c r="I658">
        <f>IF(A658="","",IFERROR(XLOOKUP(A658,Tickets[TripKey],Tickets[RouteLen]),0))</f>
        <v/>
      </c>
      <c r="J658">
        <f>IF(A658="","",IFERROR(XLOOKUP(A658,Tickets[TripKey],Tickets[Capacity]),0))</f>
        <v/>
      </c>
      <c r="K658">
        <f>IF(A658="","",I658*J658)</f>
        <v/>
      </c>
      <c r="L658">
        <f>IF(A658="","",IFERROR(MINIFS(Tickets[Trip Start Time],Tickets[TripKey],A658),""))</f>
        <v/>
      </c>
    </row>
    <row r="659">
      <c r="B659" s="8">
        <f>IF(A659="","",IFERROR(DATEVALUE(TEXTBEFORE(A659,"|")),--LEFT(A659,10)))</f>
        <v/>
      </c>
      <c r="C659">
        <f>IF(A659="","",TEXTBEFORE(TEXTAFTER(A659,"|"),"|"))</f>
        <v/>
      </c>
      <c r="D659">
        <f>IF(A659="","",TEXTAFTER(A659,"|",2))</f>
        <v/>
      </c>
      <c r="E659">
        <f>IF(A659="","",SUMIF(Tickets[TripKey],A659,Tickets[TP]))</f>
        <v/>
      </c>
      <c r="F659">
        <f>IF(A659="","",SUMIF(Tickets[TripKey],A659,Tickets[Revenue]))</f>
        <v/>
      </c>
      <c r="G659">
        <f>IF(A659="","",SUMIF(Tickets[TripKey],A659,Tickets[PK]))</f>
        <v/>
      </c>
      <c r="H659">
        <f>IF(A659="","",IFERROR(XLOOKUP(A659,Tickets[TripKey],Tickets[VehClean]),""))</f>
        <v/>
      </c>
      <c r="I659">
        <f>IF(A659="","",IFERROR(XLOOKUP(A659,Tickets[TripKey],Tickets[RouteLen]),0))</f>
        <v/>
      </c>
      <c r="J659">
        <f>IF(A659="","",IFERROR(XLOOKUP(A659,Tickets[TripKey],Tickets[Capacity]),0))</f>
        <v/>
      </c>
      <c r="K659">
        <f>IF(A659="","",I659*J659)</f>
        <v/>
      </c>
      <c r="L659">
        <f>IF(A659="","",IFERROR(MINIFS(Tickets[Trip Start Time],Tickets[TripKey],A659),""))</f>
        <v/>
      </c>
    </row>
    <row r="660">
      <c r="B660" s="8">
        <f>IF(A660="","",IFERROR(DATEVALUE(TEXTBEFORE(A660,"|")),--LEFT(A660,10)))</f>
        <v/>
      </c>
      <c r="C660">
        <f>IF(A660="","",TEXTBEFORE(TEXTAFTER(A660,"|"),"|"))</f>
        <v/>
      </c>
      <c r="D660">
        <f>IF(A660="","",TEXTAFTER(A660,"|",2))</f>
        <v/>
      </c>
      <c r="E660">
        <f>IF(A660="","",SUMIF(Tickets[TripKey],A660,Tickets[TP]))</f>
        <v/>
      </c>
      <c r="F660">
        <f>IF(A660="","",SUMIF(Tickets[TripKey],A660,Tickets[Revenue]))</f>
        <v/>
      </c>
      <c r="G660">
        <f>IF(A660="","",SUMIF(Tickets[TripKey],A660,Tickets[PK]))</f>
        <v/>
      </c>
      <c r="H660">
        <f>IF(A660="","",IFERROR(XLOOKUP(A660,Tickets[TripKey],Tickets[VehClean]),""))</f>
        <v/>
      </c>
      <c r="I660">
        <f>IF(A660="","",IFERROR(XLOOKUP(A660,Tickets[TripKey],Tickets[RouteLen]),0))</f>
        <v/>
      </c>
      <c r="J660">
        <f>IF(A660="","",IFERROR(XLOOKUP(A660,Tickets[TripKey],Tickets[Capacity]),0))</f>
        <v/>
      </c>
      <c r="K660">
        <f>IF(A660="","",I660*J660)</f>
        <v/>
      </c>
      <c r="L660">
        <f>IF(A660="","",IFERROR(MINIFS(Tickets[Trip Start Time],Tickets[TripKey],A660),""))</f>
        <v/>
      </c>
    </row>
    <row r="661">
      <c r="B661" s="8">
        <f>IF(A661="","",IFERROR(DATEVALUE(TEXTBEFORE(A661,"|")),--LEFT(A661,10)))</f>
        <v/>
      </c>
      <c r="C661">
        <f>IF(A661="","",TEXTBEFORE(TEXTAFTER(A661,"|"),"|"))</f>
        <v/>
      </c>
      <c r="D661">
        <f>IF(A661="","",TEXTAFTER(A661,"|",2))</f>
        <v/>
      </c>
      <c r="E661">
        <f>IF(A661="","",SUMIF(Tickets[TripKey],A661,Tickets[TP]))</f>
        <v/>
      </c>
      <c r="F661">
        <f>IF(A661="","",SUMIF(Tickets[TripKey],A661,Tickets[Revenue]))</f>
        <v/>
      </c>
      <c r="G661">
        <f>IF(A661="","",SUMIF(Tickets[TripKey],A661,Tickets[PK]))</f>
        <v/>
      </c>
      <c r="H661">
        <f>IF(A661="","",IFERROR(XLOOKUP(A661,Tickets[TripKey],Tickets[VehClean]),""))</f>
        <v/>
      </c>
      <c r="I661">
        <f>IF(A661="","",IFERROR(XLOOKUP(A661,Tickets[TripKey],Tickets[RouteLen]),0))</f>
        <v/>
      </c>
      <c r="J661">
        <f>IF(A661="","",IFERROR(XLOOKUP(A661,Tickets[TripKey],Tickets[Capacity]),0))</f>
        <v/>
      </c>
      <c r="K661">
        <f>IF(A661="","",I661*J661)</f>
        <v/>
      </c>
      <c r="L661">
        <f>IF(A661="","",IFERROR(MINIFS(Tickets[Trip Start Time],Tickets[TripKey],A661),""))</f>
        <v/>
      </c>
    </row>
    <row r="662">
      <c r="B662" s="8">
        <f>IF(A662="","",IFERROR(DATEVALUE(TEXTBEFORE(A662,"|")),--LEFT(A662,10)))</f>
        <v/>
      </c>
      <c r="C662">
        <f>IF(A662="","",TEXTBEFORE(TEXTAFTER(A662,"|"),"|"))</f>
        <v/>
      </c>
      <c r="D662">
        <f>IF(A662="","",TEXTAFTER(A662,"|",2))</f>
        <v/>
      </c>
      <c r="E662">
        <f>IF(A662="","",SUMIF(Tickets[TripKey],A662,Tickets[TP]))</f>
        <v/>
      </c>
      <c r="F662">
        <f>IF(A662="","",SUMIF(Tickets[TripKey],A662,Tickets[Revenue]))</f>
        <v/>
      </c>
      <c r="G662">
        <f>IF(A662="","",SUMIF(Tickets[TripKey],A662,Tickets[PK]))</f>
        <v/>
      </c>
      <c r="H662">
        <f>IF(A662="","",IFERROR(XLOOKUP(A662,Tickets[TripKey],Tickets[VehClean]),""))</f>
        <v/>
      </c>
      <c r="I662">
        <f>IF(A662="","",IFERROR(XLOOKUP(A662,Tickets[TripKey],Tickets[RouteLen]),0))</f>
        <v/>
      </c>
      <c r="J662">
        <f>IF(A662="","",IFERROR(XLOOKUP(A662,Tickets[TripKey],Tickets[Capacity]),0))</f>
        <v/>
      </c>
      <c r="K662">
        <f>IF(A662="","",I662*J662)</f>
        <v/>
      </c>
      <c r="L662">
        <f>IF(A662="","",IFERROR(MINIFS(Tickets[Trip Start Time],Tickets[TripKey],A662),""))</f>
        <v/>
      </c>
    </row>
    <row r="663">
      <c r="B663" s="8">
        <f>IF(A663="","",IFERROR(DATEVALUE(TEXTBEFORE(A663,"|")),--LEFT(A663,10)))</f>
        <v/>
      </c>
      <c r="C663">
        <f>IF(A663="","",TEXTBEFORE(TEXTAFTER(A663,"|"),"|"))</f>
        <v/>
      </c>
      <c r="D663">
        <f>IF(A663="","",TEXTAFTER(A663,"|",2))</f>
        <v/>
      </c>
      <c r="E663">
        <f>IF(A663="","",SUMIF(Tickets[TripKey],A663,Tickets[TP]))</f>
        <v/>
      </c>
      <c r="F663">
        <f>IF(A663="","",SUMIF(Tickets[TripKey],A663,Tickets[Revenue]))</f>
        <v/>
      </c>
      <c r="G663">
        <f>IF(A663="","",SUMIF(Tickets[TripKey],A663,Tickets[PK]))</f>
        <v/>
      </c>
      <c r="H663">
        <f>IF(A663="","",IFERROR(XLOOKUP(A663,Tickets[TripKey],Tickets[VehClean]),""))</f>
        <v/>
      </c>
      <c r="I663">
        <f>IF(A663="","",IFERROR(XLOOKUP(A663,Tickets[TripKey],Tickets[RouteLen]),0))</f>
        <v/>
      </c>
      <c r="J663">
        <f>IF(A663="","",IFERROR(XLOOKUP(A663,Tickets[TripKey],Tickets[Capacity]),0))</f>
        <v/>
      </c>
      <c r="K663">
        <f>IF(A663="","",I663*J663)</f>
        <v/>
      </c>
      <c r="L663">
        <f>IF(A663="","",IFERROR(MINIFS(Tickets[Trip Start Time],Tickets[TripKey],A663),""))</f>
        <v/>
      </c>
    </row>
    <row r="664">
      <c r="B664" s="8">
        <f>IF(A664="","",IFERROR(DATEVALUE(TEXTBEFORE(A664,"|")),--LEFT(A664,10)))</f>
        <v/>
      </c>
      <c r="C664">
        <f>IF(A664="","",TEXTBEFORE(TEXTAFTER(A664,"|"),"|"))</f>
        <v/>
      </c>
      <c r="D664">
        <f>IF(A664="","",TEXTAFTER(A664,"|",2))</f>
        <v/>
      </c>
      <c r="E664">
        <f>IF(A664="","",SUMIF(Tickets[TripKey],A664,Tickets[TP]))</f>
        <v/>
      </c>
      <c r="F664">
        <f>IF(A664="","",SUMIF(Tickets[TripKey],A664,Tickets[Revenue]))</f>
        <v/>
      </c>
      <c r="G664">
        <f>IF(A664="","",SUMIF(Tickets[TripKey],A664,Tickets[PK]))</f>
        <v/>
      </c>
      <c r="H664">
        <f>IF(A664="","",IFERROR(XLOOKUP(A664,Tickets[TripKey],Tickets[VehClean]),""))</f>
        <v/>
      </c>
      <c r="I664">
        <f>IF(A664="","",IFERROR(XLOOKUP(A664,Tickets[TripKey],Tickets[RouteLen]),0))</f>
        <v/>
      </c>
      <c r="J664">
        <f>IF(A664="","",IFERROR(XLOOKUP(A664,Tickets[TripKey],Tickets[Capacity]),0))</f>
        <v/>
      </c>
      <c r="K664">
        <f>IF(A664="","",I664*J664)</f>
        <v/>
      </c>
      <c r="L664">
        <f>IF(A664="","",IFERROR(MINIFS(Tickets[Trip Start Time],Tickets[TripKey],A664),""))</f>
        <v/>
      </c>
    </row>
    <row r="665">
      <c r="B665" s="8">
        <f>IF(A665="","",IFERROR(DATEVALUE(TEXTBEFORE(A665,"|")),--LEFT(A665,10)))</f>
        <v/>
      </c>
      <c r="C665">
        <f>IF(A665="","",TEXTBEFORE(TEXTAFTER(A665,"|"),"|"))</f>
        <v/>
      </c>
      <c r="D665">
        <f>IF(A665="","",TEXTAFTER(A665,"|",2))</f>
        <v/>
      </c>
      <c r="E665">
        <f>IF(A665="","",SUMIF(Tickets[TripKey],A665,Tickets[TP]))</f>
        <v/>
      </c>
      <c r="F665">
        <f>IF(A665="","",SUMIF(Tickets[TripKey],A665,Tickets[Revenue]))</f>
        <v/>
      </c>
      <c r="G665">
        <f>IF(A665="","",SUMIF(Tickets[TripKey],A665,Tickets[PK]))</f>
        <v/>
      </c>
      <c r="H665">
        <f>IF(A665="","",IFERROR(XLOOKUP(A665,Tickets[TripKey],Tickets[VehClean]),""))</f>
        <v/>
      </c>
      <c r="I665">
        <f>IF(A665="","",IFERROR(XLOOKUP(A665,Tickets[TripKey],Tickets[RouteLen]),0))</f>
        <v/>
      </c>
      <c r="J665">
        <f>IF(A665="","",IFERROR(XLOOKUP(A665,Tickets[TripKey],Tickets[Capacity]),0))</f>
        <v/>
      </c>
      <c r="K665">
        <f>IF(A665="","",I665*J665)</f>
        <v/>
      </c>
      <c r="L665">
        <f>IF(A665="","",IFERROR(MINIFS(Tickets[Trip Start Time],Tickets[TripKey],A665),""))</f>
        <v/>
      </c>
    </row>
    <row r="666">
      <c r="B666" s="8">
        <f>IF(A666="","",IFERROR(DATEVALUE(TEXTBEFORE(A666,"|")),--LEFT(A666,10)))</f>
        <v/>
      </c>
      <c r="C666">
        <f>IF(A666="","",TEXTBEFORE(TEXTAFTER(A666,"|"),"|"))</f>
        <v/>
      </c>
      <c r="D666">
        <f>IF(A666="","",TEXTAFTER(A666,"|",2))</f>
        <v/>
      </c>
      <c r="E666">
        <f>IF(A666="","",SUMIF(Tickets[TripKey],A666,Tickets[TP]))</f>
        <v/>
      </c>
      <c r="F666">
        <f>IF(A666="","",SUMIF(Tickets[TripKey],A666,Tickets[Revenue]))</f>
        <v/>
      </c>
      <c r="G666">
        <f>IF(A666="","",SUMIF(Tickets[TripKey],A666,Tickets[PK]))</f>
        <v/>
      </c>
      <c r="H666">
        <f>IF(A666="","",IFERROR(XLOOKUP(A666,Tickets[TripKey],Tickets[VehClean]),""))</f>
        <v/>
      </c>
      <c r="I666">
        <f>IF(A666="","",IFERROR(XLOOKUP(A666,Tickets[TripKey],Tickets[RouteLen]),0))</f>
        <v/>
      </c>
      <c r="J666">
        <f>IF(A666="","",IFERROR(XLOOKUP(A666,Tickets[TripKey],Tickets[Capacity]),0))</f>
        <v/>
      </c>
      <c r="K666">
        <f>IF(A666="","",I666*J666)</f>
        <v/>
      </c>
      <c r="L666">
        <f>IF(A666="","",IFERROR(MINIFS(Tickets[Trip Start Time],Tickets[TripKey],A666),""))</f>
        <v/>
      </c>
    </row>
    <row r="667">
      <c r="B667" s="8">
        <f>IF(A667="","",IFERROR(DATEVALUE(TEXTBEFORE(A667,"|")),--LEFT(A667,10)))</f>
        <v/>
      </c>
      <c r="C667">
        <f>IF(A667="","",TEXTBEFORE(TEXTAFTER(A667,"|"),"|"))</f>
        <v/>
      </c>
      <c r="D667">
        <f>IF(A667="","",TEXTAFTER(A667,"|",2))</f>
        <v/>
      </c>
      <c r="E667">
        <f>IF(A667="","",SUMIF(Tickets[TripKey],A667,Tickets[TP]))</f>
        <v/>
      </c>
      <c r="F667">
        <f>IF(A667="","",SUMIF(Tickets[TripKey],A667,Tickets[Revenue]))</f>
        <v/>
      </c>
      <c r="G667">
        <f>IF(A667="","",SUMIF(Tickets[TripKey],A667,Tickets[PK]))</f>
        <v/>
      </c>
      <c r="H667">
        <f>IF(A667="","",IFERROR(XLOOKUP(A667,Tickets[TripKey],Tickets[VehClean]),""))</f>
        <v/>
      </c>
      <c r="I667">
        <f>IF(A667="","",IFERROR(XLOOKUP(A667,Tickets[TripKey],Tickets[RouteLen]),0))</f>
        <v/>
      </c>
      <c r="J667">
        <f>IF(A667="","",IFERROR(XLOOKUP(A667,Tickets[TripKey],Tickets[Capacity]),0))</f>
        <v/>
      </c>
      <c r="K667">
        <f>IF(A667="","",I667*J667)</f>
        <v/>
      </c>
      <c r="L667">
        <f>IF(A667="","",IFERROR(MINIFS(Tickets[Trip Start Time],Tickets[TripKey],A667),""))</f>
        <v/>
      </c>
    </row>
    <row r="668">
      <c r="B668" s="8">
        <f>IF(A668="","",IFERROR(DATEVALUE(TEXTBEFORE(A668,"|")),--LEFT(A668,10)))</f>
        <v/>
      </c>
      <c r="C668">
        <f>IF(A668="","",TEXTBEFORE(TEXTAFTER(A668,"|"),"|"))</f>
        <v/>
      </c>
      <c r="D668">
        <f>IF(A668="","",TEXTAFTER(A668,"|",2))</f>
        <v/>
      </c>
      <c r="E668">
        <f>IF(A668="","",SUMIF(Tickets[TripKey],A668,Tickets[TP]))</f>
        <v/>
      </c>
      <c r="F668">
        <f>IF(A668="","",SUMIF(Tickets[TripKey],A668,Tickets[Revenue]))</f>
        <v/>
      </c>
      <c r="G668">
        <f>IF(A668="","",SUMIF(Tickets[TripKey],A668,Tickets[PK]))</f>
        <v/>
      </c>
      <c r="H668">
        <f>IF(A668="","",IFERROR(XLOOKUP(A668,Tickets[TripKey],Tickets[VehClean]),""))</f>
        <v/>
      </c>
      <c r="I668">
        <f>IF(A668="","",IFERROR(XLOOKUP(A668,Tickets[TripKey],Tickets[RouteLen]),0))</f>
        <v/>
      </c>
      <c r="J668">
        <f>IF(A668="","",IFERROR(XLOOKUP(A668,Tickets[TripKey],Tickets[Capacity]),0))</f>
        <v/>
      </c>
      <c r="K668">
        <f>IF(A668="","",I668*J668)</f>
        <v/>
      </c>
      <c r="L668">
        <f>IF(A668="","",IFERROR(MINIFS(Tickets[Trip Start Time],Tickets[TripKey],A668),""))</f>
        <v/>
      </c>
    </row>
    <row r="669">
      <c r="B669" s="8">
        <f>IF(A669="","",IFERROR(DATEVALUE(TEXTBEFORE(A669,"|")),--LEFT(A669,10)))</f>
        <v/>
      </c>
      <c r="C669">
        <f>IF(A669="","",TEXTBEFORE(TEXTAFTER(A669,"|"),"|"))</f>
        <v/>
      </c>
      <c r="D669">
        <f>IF(A669="","",TEXTAFTER(A669,"|",2))</f>
        <v/>
      </c>
      <c r="E669">
        <f>IF(A669="","",SUMIF(Tickets[TripKey],A669,Tickets[TP]))</f>
        <v/>
      </c>
      <c r="F669">
        <f>IF(A669="","",SUMIF(Tickets[TripKey],A669,Tickets[Revenue]))</f>
        <v/>
      </c>
      <c r="G669">
        <f>IF(A669="","",SUMIF(Tickets[TripKey],A669,Tickets[PK]))</f>
        <v/>
      </c>
      <c r="H669">
        <f>IF(A669="","",IFERROR(XLOOKUP(A669,Tickets[TripKey],Tickets[VehClean]),""))</f>
        <v/>
      </c>
      <c r="I669">
        <f>IF(A669="","",IFERROR(XLOOKUP(A669,Tickets[TripKey],Tickets[RouteLen]),0))</f>
        <v/>
      </c>
      <c r="J669">
        <f>IF(A669="","",IFERROR(XLOOKUP(A669,Tickets[TripKey],Tickets[Capacity]),0))</f>
        <v/>
      </c>
      <c r="K669">
        <f>IF(A669="","",I669*J669)</f>
        <v/>
      </c>
      <c r="L669">
        <f>IF(A669="","",IFERROR(MINIFS(Tickets[Trip Start Time],Tickets[TripKey],A669),""))</f>
        <v/>
      </c>
    </row>
    <row r="670">
      <c r="B670" s="8">
        <f>IF(A670="","",IFERROR(DATEVALUE(TEXTBEFORE(A670,"|")),--LEFT(A670,10)))</f>
        <v/>
      </c>
      <c r="C670">
        <f>IF(A670="","",TEXTBEFORE(TEXTAFTER(A670,"|"),"|"))</f>
        <v/>
      </c>
      <c r="D670">
        <f>IF(A670="","",TEXTAFTER(A670,"|",2))</f>
        <v/>
      </c>
      <c r="E670">
        <f>IF(A670="","",SUMIF(Tickets[TripKey],A670,Tickets[TP]))</f>
        <v/>
      </c>
      <c r="F670">
        <f>IF(A670="","",SUMIF(Tickets[TripKey],A670,Tickets[Revenue]))</f>
        <v/>
      </c>
      <c r="G670">
        <f>IF(A670="","",SUMIF(Tickets[TripKey],A670,Tickets[PK]))</f>
        <v/>
      </c>
      <c r="H670">
        <f>IF(A670="","",IFERROR(XLOOKUP(A670,Tickets[TripKey],Tickets[VehClean]),""))</f>
        <v/>
      </c>
      <c r="I670">
        <f>IF(A670="","",IFERROR(XLOOKUP(A670,Tickets[TripKey],Tickets[RouteLen]),0))</f>
        <v/>
      </c>
      <c r="J670">
        <f>IF(A670="","",IFERROR(XLOOKUP(A670,Tickets[TripKey],Tickets[Capacity]),0))</f>
        <v/>
      </c>
      <c r="K670">
        <f>IF(A670="","",I670*J670)</f>
        <v/>
      </c>
      <c r="L670">
        <f>IF(A670="","",IFERROR(MINIFS(Tickets[Trip Start Time],Tickets[TripKey],A670),""))</f>
        <v/>
      </c>
    </row>
    <row r="671">
      <c r="B671" s="8">
        <f>IF(A671="","",IFERROR(DATEVALUE(TEXTBEFORE(A671,"|")),--LEFT(A671,10)))</f>
        <v/>
      </c>
      <c r="C671">
        <f>IF(A671="","",TEXTBEFORE(TEXTAFTER(A671,"|"),"|"))</f>
        <v/>
      </c>
      <c r="D671">
        <f>IF(A671="","",TEXTAFTER(A671,"|",2))</f>
        <v/>
      </c>
      <c r="E671">
        <f>IF(A671="","",SUMIF(Tickets[TripKey],A671,Tickets[TP]))</f>
        <v/>
      </c>
      <c r="F671">
        <f>IF(A671="","",SUMIF(Tickets[TripKey],A671,Tickets[Revenue]))</f>
        <v/>
      </c>
      <c r="G671">
        <f>IF(A671="","",SUMIF(Tickets[TripKey],A671,Tickets[PK]))</f>
        <v/>
      </c>
      <c r="H671">
        <f>IF(A671="","",IFERROR(XLOOKUP(A671,Tickets[TripKey],Tickets[VehClean]),""))</f>
        <v/>
      </c>
      <c r="I671">
        <f>IF(A671="","",IFERROR(XLOOKUP(A671,Tickets[TripKey],Tickets[RouteLen]),0))</f>
        <v/>
      </c>
      <c r="J671">
        <f>IF(A671="","",IFERROR(XLOOKUP(A671,Tickets[TripKey],Tickets[Capacity]),0))</f>
        <v/>
      </c>
      <c r="K671">
        <f>IF(A671="","",I671*J671)</f>
        <v/>
      </c>
      <c r="L671">
        <f>IF(A671="","",IFERROR(MINIFS(Tickets[Trip Start Time],Tickets[TripKey],A671),""))</f>
        <v/>
      </c>
    </row>
    <row r="672">
      <c r="B672" s="8">
        <f>IF(A672="","",IFERROR(DATEVALUE(TEXTBEFORE(A672,"|")),--LEFT(A672,10)))</f>
        <v/>
      </c>
      <c r="C672">
        <f>IF(A672="","",TEXTBEFORE(TEXTAFTER(A672,"|"),"|"))</f>
        <v/>
      </c>
      <c r="D672">
        <f>IF(A672="","",TEXTAFTER(A672,"|",2))</f>
        <v/>
      </c>
      <c r="E672">
        <f>IF(A672="","",SUMIF(Tickets[TripKey],A672,Tickets[TP]))</f>
        <v/>
      </c>
      <c r="F672">
        <f>IF(A672="","",SUMIF(Tickets[TripKey],A672,Tickets[Revenue]))</f>
        <v/>
      </c>
      <c r="G672">
        <f>IF(A672="","",SUMIF(Tickets[TripKey],A672,Tickets[PK]))</f>
        <v/>
      </c>
      <c r="H672">
        <f>IF(A672="","",IFERROR(XLOOKUP(A672,Tickets[TripKey],Tickets[VehClean]),""))</f>
        <v/>
      </c>
      <c r="I672">
        <f>IF(A672="","",IFERROR(XLOOKUP(A672,Tickets[TripKey],Tickets[RouteLen]),0))</f>
        <v/>
      </c>
      <c r="J672">
        <f>IF(A672="","",IFERROR(XLOOKUP(A672,Tickets[TripKey],Tickets[Capacity]),0))</f>
        <v/>
      </c>
      <c r="K672">
        <f>IF(A672="","",I672*J672)</f>
        <v/>
      </c>
      <c r="L672">
        <f>IF(A672="","",IFERROR(MINIFS(Tickets[Trip Start Time],Tickets[TripKey],A672),""))</f>
        <v/>
      </c>
    </row>
    <row r="673">
      <c r="B673" s="8">
        <f>IF(A673="","",IFERROR(DATEVALUE(TEXTBEFORE(A673,"|")),--LEFT(A673,10)))</f>
        <v/>
      </c>
      <c r="C673">
        <f>IF(A673="","",TEXTBEFORE(TEXTAFTER(A673,"|"),"|"))</f>
        <v/>
      </c>
      <c r="D673">
        <f>IF(A673="","",TEXTAFTER(A673,"|",2))</f>
        <v/>
      </c>
      <c r="E673">
        <f>IF(A673="","",SUMIF(Tickets[TripKey],A673,Tickets[TP]))</f>
        <v/>
      </c>
      <c r="F673">
        <f>IF(A673="","",SUMIF(Tickets[TripKey],A673,Tickets[Revenue]))</f>
        <v/>
      </c>
      <c r="G673">
        <f>IF(A673="","",SUMIF(Tickets[TripKey],A673,Tickets[PK]))</f>
        <v/>
      </c>
      <c r="H673">
        <f>IF(A673="","",IFERROR(XLOOKUP(A673,Tickets[TripKey],Tickets[VehClean]),""))</f>
        <v/>
      </c>
      <c r="I673">
        <f>IF(A673="","",IFERROR(XLOOKUP(A673,Tickets[TripKey],Tickets[RouteLen]),0))</f>
        <v/>
      </c>
      <c r="J673">
        <f>IF(A673="","",IFERROR(XLOOKUP(A673,Tickets[TripKey],Tickets[Capacity]),0))</f>
        <v/>
      </c>
      <c r="K673">
        <f>IF(A673="","",I673*J673)</f>
        <v/>
      </c>
      <c r="L673">
        <f>IF(A673="","",IFERROR(MINIFS(Tickets[Trip Start Time],Tickets[TripKey],A673),""))</f>
        <v/>
      </c>
    </row>
    <row r="674">
      <c r="B674" s="8">
        <f>IF(A674="","",IFERROR(DATEVALUE(TEXTBEFORE(A674,"|")),--LEFT(A674,10)))</f>
        <v/>
      </c>
      <c r="C674">
        <f>IF(A674="","",TEXTBEFORE(TEXTAFTER(A674,"|"),"|"))</f>
        <v/>
      </c>
      <c r="D674">
        <f>IF(A674="","",TEXTAFTER(A674,"|",2))</f>
        <v/>
      </c>
      <c r="E674">
        <f>IF(A674="","",SUMIF(Tickets[TripKey],A674,Tickets[TP]))</f>
        <v/>
      </c>
      <c r="F674">
        <f>IF(A674="","",SUMIF(Tickets[TripKey],A674,Tickets[Revenue]))</f>
        <v/>
      </c>
      <c r="G674">
        <f>IF(A674="","",SUMIF(Tickets[TripKey],A674,Tickets[PK]))</f>
        <v/>
      </c>
      <c r="H674">
        <f>IF(A674="","",IFERROR(XLOOKUP(A674,Tickets[TripKey],Tickets[VehClean]),""))</f>
        <v/>
      </c>
      <c r="I674">
        <f>IF(A674="","",IFERROR(XLOOKUP(A674,Tickets[TripKey],Tickets[RouteLen]),0))</f>
        <v/>
      </c>
      <c r="J674">
        <f>IF(A674="","",IFERROR(XLOOKUP(A674,Tickets[TripKey],Tickets[Capacity]),0))</f>
        <v/>
      </c>
      <c r="K674">
        <f>IF(A674="","",I674*J674)</f>
        <v/>
      </c>
      <c r="L674">
        <f>IF(A674="","",IFERROR(MINIFS(Tickets[Trip Start Time],Tickets[TripKey],A674),""))</f>
        <v/>
      </c>
    </row>
    <row r="675">
      <c r="B675" s="8">
        <f>IF(A675="","",IFERROR(DATEVALUE(TEXTBEFORE(A675,"|")),--LEFT(A675,10)))</f>
        <v/>
      </c>
      <c r="C675">
        <f>IF(A675="","",TEXTBEFORE(TEXTAFTER(A675,"|"),"|"))</f>
        <v/>
      </c>
      <c r="D675">
        <f>IF(A675="","",TEXTAFTER(A675,"|",2))</f>
        <v/>
      </c>
      <c r="E675">
        <f>IF(A675="","",SUMIF(Tickets[TripKey],A675,Tickets[TP]))</f>
        <v/>
      </c>
      <c r="F675">
        <f>IF(A675="","",SUMIF(Tickets[TripKey],A675,Tickets[Revenue]))</f>
        <v/>
      </c>
      <c r="G675">
        <f>IF(A675="","",SUMIF(Tickets[TripKey],A675,Tickets[PK]))</f>
        <v/>
      </c>
      <c r="H675">
        <f>IF(A675="","",IFERROR(XLOOKUP(A675,Tickets[TripKey],Tickets[VehClean]),""))</f>
        <v/>
      </c>
      <c r="I675">
        <f>IF(A675="","",IFERROR(XLOOKUP(A675,Tickets[TripKey],Tickets[RouteLen]),0))</f>
        <v/>
      </c>
      <c r="J675">
        <f>IF(A675="","",IFERROR(XLOOKUP(A675,Tickets[TripKey],Tickets[Capacity]),0))</f>
        <v/>
      </c>
      <c r="K675">
        <f>IF(A675="","",I675*J675)</f>
        <v/>
      </c>
      <c r="L675">
        <f>IF(A675="","",IFERROR(MINIFS(Tickets[Trip Start Time],Tickets[TripKey],A675),""))</f>
        <v/>
      </c>
    </row>
    <row r="676">
      <c r="B676" s="8">
        <f>IF(A676="","",IFERROR(DATEVALUE(TEXTBEFORE(A676,"|")),--LEFT(A676,10)))</f>
        <v/>
      </c>
      <c r="C676">
        <f>IF(A676="","",TEXTBEFORE(TEXTAFTER(A676,"|"),"|"))</f>
        <v/>
      </c>
      <c r="D676">
        <f>IF(A676="","",TEXTAFTER(A676,"|",2))</f>
        <v/>
      </c>
      <c r="E676">
        <f>IF(A676="","",SUMIF(Tickets[TripKey],A676,Tickets[TP]))</f>
        <v/>
      </c>
      <c r="F676">
        <f>IF(A676="","",SUMIF(Tickets[TripKey],A676,Tickets[Revenue]))</f>
        <v/>
      </c>
      <c r="G676">
        <f>IF(A676="","",SUMIF(Tickets[TripKey],A676,Tickets[PK]))</f>
        <v/>
      </c>
      <c r="H676">
        <f>IF(A676="","",IFERROR(XLOOKUP(A676,Tickets[TripKey],Tickets[VehClean]),""))</f>
        <v/>
      </c>
      <c r="I676">
        <f>IF(A676="","",IFERROR(XLOOKUP(A676,Tickets[TripKey],Tickets[RouteLen]),0))</f>
        <v/>
      </c>
      <c r="J676">
        <f>IF(A676="","",IFERROR(XLOOKUP(A676,Tickets[TripKey],Tickets[Capacity]),0))</f>
        <v/>
      </c>
      <c r="K676">
        <f>IF(A676="","",I676*J676)</f>
        <v/>
      </c>
      <c r="L676">
        <f>IF(A676="","",IFERROR(MINIFS(Tickets[Trip Start Time],Tickets[TripKey],A676),""))</f>
        <v/>
      </c>
    </row>
    <row r="677">
      <c r="B677" s="8">
        <f>IF(A677="","",IFERROR(DATEVALUE(TEXTBEFORE(A677,"|")),--LEFT(A677,10)))</f>
        <v/>
      </c>
      <c r="C677">
        <f>IF(A677="","",TEXTBEFORE(TEXTAFTER(A677,"|"),"|"))</f>
        <v/>
      </c>
      <c r="D677">
        <f>IF(A677="","",TEXTAFTER(A677,"|",2))</f>
        <v/>
      </c>
      <c r="E677">
        <f>IF(A677="","",SUMIF(Tickets[TripKey],A677,Tickets[TP]))</f>
        <v/>
      </c>
      <c r="F677">
        <f>IF(A677="","",SUMIF(Tickets[TripKey],A677,Tickets[Revenue]))</f>
        <v/>
      </c>
      <c r="G677">
        <f>IF(A677="","",SUMIF(Tickets[TripKey],A677,Tickets[PK]))</f>
        <v/>
      </c>
      <c r="H677">
        <f>IF(A677="","",IFERROR(XLOOKUP(A677,Tickets[TripKey],Tickets[VehClean]),""))</f>
        <v/>
      </c>
      <c r="I677">
        <f>IF(A677="","",IFERROR(XLOOKUP(A677,Tickets[TripKey],Tickets[RouteLen]),0))</f>
        <v/>
      </c>
      <c r="J677">
        <f>IF(A677="","",IFERROR(XLOOKUP(A677,Tickets[TripKey],Tickets[Capacity]),0))</f>
        <v/>
      </c>
      <c r="K677">
        <f>IF(A677="","",I677*J677)</f>
        <v/>
      </c>
      <c r="L677">
        <f>IF(A677="","",IFERROR(MINIFS(Tickets[Trip Start Time],Tickets[TripKey],A677),""))</f>
        <v/>
      </c>
    </row>
    <row r="678">
      <c r="B678" s="8">
        <f>IF(A678="","",IFERROR(DATEVALUE(TEXTBEFORE(A678,"|")),--LEFT(A678,10)))</f>
        <v/>
      </c>
      <c r="C678">
        <f>IF(A678="","",TEXTBEFORE(TEXTAFTER(A678,"|"),"|"))</f>
        <v/>
      </c>
      <c r="D678">
        <f>IF(A678="","",TEXTAFTER(A678,"|",2))</f>
        <v/>
      </c>
      <c r="E678">
        <f>IF(A678="","",SUMIF(Tickets[TripKey],A678,Tickets[TP]))</f>
        <v/>
      </c>
      <c r="F678">
        <f>IF(A678="","",SUMIF(Tickets[TripKey],A678,Tickets[Revenue]))</f>
        <v/>
      </c>
      <c r="G678">
        <f>IF(A678="","",SUMIF(Tickets[TripKey],A678,Tickets[PK]))</f>
        <v/>
      </c>
      <c r="H678">
        <f>IF(A678="","",IFERROR(XLOOKUP(A678,Tickets[TripKey],Tickets[VehClean]),""))</f>
        <v/>
      </c>
      <c r="I678">
        <f>IF(A678="","",IFERROR(XLOOKUP(A678,Tickets[TripKey],Tickets[RouteLen]),0))</f>
        <v/>
      </c>
      <c r="J678">
        <f>IF(A678="","",IFERROR(XLOOKUP(A678,Tickets[TripKey],Tickets[Capacity]),0))</f>
        <v/>
      </c>
      <c r="K678">
        <f>IF(A678="","",I678*J678)</f>
        <v/>
      </c>
      <c r="L678">
        <f>IF(A678="","",IFERROR(MINIFS(Tickets[Trip Start Time],Tickets[TripKey],A678),""))</f>
        <v/>
      </c>
    </row>
    <row r="679">
      <c r="B679" s="8">
        <f>IF(A679="","",IFERROR(DATEVALUE(TEXTBEFORE(A679,"|")),--LEFT(A679,10)))</f>
        <v/>
      </c>
      <c r="C679">
        <f>IF(A679="","",TEXTBEFORE(TEXTAFTER(A679,"|"),"|"))</f>
        <v/>
      </c>
      <c r="D679">
        <f>IF(A679="","",TEXTAFTER(A679,"|",2))</f>
        <v/>
      </c>
      <c r="E679">
        <f>IF(A679="","",SUMIF(Tickets[TripKey],A679,Tickets[TP]))</f>
        <v/>
      </c>
      <c r="F679">
        <f>IF(A679="","",SUMIF(Tickets[TripKey],A679,Tickets[Revenue]))</f>
        <v/>
      </c>
      <c r="G679">
        <f>IF(A679="","",SUMIF(Tickets[TripKey],A679,Tickets[PK]))</f>
        <v/>
      </c>
      <c r="H679">
        <f>IF(A679="","",IFERROR(XLOOKUP(A679,Tickets[TripKey],Tickets[VehClean]),""))</f>
        <v/>
      </c>
      <c r="I679">
        <f>IF(A679="","",IFERROR(XLOOKUP(A679,Tickets[TripKey],Tickets[RouteLen]),0))</f>
        <v/>
      </c>
      <c r="J679">
        <f>IF(A679="","",IFERROR(XLOOKUP(A679,Tickets[TripKey],Tickets[Capacity]),0))</f>
        <v/>
      </c>
      <c r="K679">
        <f>IF(A679="","",I679*J679)</f>
        <v/>
      </c>
      <c r="L679">
        <f>IF(A679="","",IFERROR(MINIFS(Tickets[Trip Start Time],Tickets[TripKey],A679),""))</f>
        <v/>
      </c>
    </row>
    <row r="680">
      <c r="B680" s="8">
        <f>IF(A680="","",IFERROR(DATEVALUE(TEXTBEFORE(A680,"|")),--LEFT(A680,10)))</f>
        <v/>
      </c>
      <c r="C680">
        <f>IF(A680="","",TEXTBEFORE(TEXTAFTER(A680,"|"),"|"))</f>
        <v/>
      </c>
      <c r="D680">
        <f>IF(A680="","",TEXTAFTER(A680,"|",2))</f>
        <v/>
      </c>
      <c r="E680">
        <f>IF(A680="","",SUMIF(Tickets[TripKey],A680,Tickets[TP]))</f>
        <v/>
      </c>
      <c r="F680">
        <f>IF(A680="","",SUMIF(Tickets[TripKey],A680,Tickets[Revenue]))</f>
        <v/>
      </c>
      <c r="G680">
        <f>IF(A680="","",SUMIF(Tickets[TripKey],A680,Tickets[PK]))</f>
        <v/>
      </c>
      <c r="H680">
        <f>IF(A680="","",IFERROR(XLOOKUP(A680,Tickets[TripKey],Tickets[VehClean]),""))</f>
        <v/>
      </c>
      <c r="I680">
        <f>IF(A680="","",IFERROR(XLOOKUP(A680,Tickets[TripKey],Tickets[RouteLen]),0))</f>
        <v/>
      </c>
      <c r="J680">
        <f>IF(A680="","",IFERROR(XLOOKUP(A680,Tickets[TripKey],Tickets[Capacity]),0))</f>
        <v/>
      </c>
      <c r="K680">
        <f>IF(A680="","",I680*J680)</f>
        <v/>
      </c>
      <c r="L680">
        <f>IF(A680="","",IFERROR(MINIFS(Tickets[Trip Start Time],Tickets[TripKey],A680),""))</f>
        <v/>
      </c>
    </row>
    <row r="681">
      <c r="B681" s="8">
        <f>IF(A681="","",IFERROR(DATEVALUE(TEXTBEFORE(A681,"|")),--LEFT(A681,10)))</f>
        <v/>
      </c>
      <c r="C681">
        <f>IF(A681="","",TEXTBEFORE(TEXTAFTER(A681,"|"),"|"))</f>
        <v/>
      </c>
      <c r="D681">
        <f>IF(A681="","",TEXTAFTER(A681,"|",2))</f>
        <v/>
      </c>
      <c r="E681">
        <f>IF(A681="","",SUMIF(Tickets[TripKey],A681,Tickets[TP]))</f>
        <v/>
      </c>
      <c r="F681">
        <f>IF(A681="","",SUMIF(Tickets[TripKey],A681,Tickets[Revenue]))</f>
        <v/>
      </c>
      <c r="G681">
        <f>IF(A681="","",SUMIF(Tickets[TripKey],A681,Tickets[PK]))</f>
        <v/>
      </c>
      <c r="H681">
        <f>IF(A681="","",IFERROR(XLOOKUP(A681,Tickets[TripKey],Tickets[VehClean]),""))</f>
        <v/>
      </c>
      <c r="I681">
        <f>IF(A681="","",IFERROR(XLOOKUP(A681,Tickets[TripKey],Tickets[RouteLen]),0))</f>
        <v/>
      </c>
      <c r="J681">
        <f>IF(A681="","",IFERROR(XLOOKUP(A681,Tickets[TripKey],Tickets[Capacity]),0))</f>
        <v/>
      </c>
      <c r="K681">
        <f>IF(A681="","",I681*J681)</f>
        <v/>
      </c>
      <c r="L681">
        <f>IF(A681="","",IFERROR(MINIFS(Tickets[Trip Start Time],Tickets[TripKey],A681),""))</f>
        <v/>
      </c>
    </row>
    <row r="682">
      <c r="B682" s="8">
        <f>IF(A682="","",IFERROR(DATEVALUE(TEXTBEFORE(A682,"|")),--LEFT(A682,10)))</f>
        <v/>
      </c>
      <c r="C682">
        <f>IF(A682="","",TEXTBEFORE(TEXTAFTER(A682,"|"),"|"))</f>
        <v/>
      </c>
      <c r="D682">
        <f>IF(A682="","",TEXTAFTER(A682,"|",2))</f>
        <v/>
      </c>
      <c r="E682">
        <f>IF(A682="","",SUMIF(Tickets[TripKey],A682,Tickets[TP]))</f>
        <v/>
      </c>
      <c r="F682">
        <f>IF(A682="","",SUMIF(Tickets[TripKey],A682,Tickets[Revenue]))</f>
        <v/>
      </c>
      <c r="G682">
        <f>IF(A682="","",SUMIF(Tickets[TripKey],A682,Tickets[PK]))</f>
        <v/>
      </c>
      <c r="H682">
        <f>IF(A682="","",IFERROR(XLOOKUP(A682,Tickets[TripKey],Tickets[VehClean]),""))</f>
        <v/>
      </c>
      <c r="I682">
        <f>IF(A682="","",IFERROR(XLOOKUP(A682,Tickets[TripKey],Tickets[RouteLen]),0))</f>
        <v/>
      </c>
      <c r="J682">
        <f>IF(A682="","",IFERROR(XLOOKUP(A682,Tickets[TripKey],Tickets[Capacity]),0))</f>
        <v/>
      </c>
      <c r="K682">
        <f>IF(A682="","",I682*J682)</f>
        <v/>
      </c>
      <c r="L682">
        <f>IF(A682="","",IFERROR(MINIFS(Tickets[Trip Start Time],Tickets[TripKey],A682),""))</f>
        <v/>
      </c>
    </row>
    <row r="683">
      <c r="B683" s="8">
        <f>IF(A683="","",IFERROR(DATEVALUE(TEXTBEFORE(A683,"|")),--LEFT(A683,10)))</f>
        <v/>
      </c>
      <c r="C683">
        <f>IF(A683="","",TEXTBEFORE(TEXTAFTER(A683,"|"),"|"))</f>
        <v/>
      </c>
      <c r="D683">
        <f>IF(A683="","",TEXTAFTER(A683,"|",2))</f>
        <v/>
      </c>
      <c r="E683">
        <f>IF(A683="","",SUMIF(Tickets[TripKey],A683,Tickets[TP]))</f>
        <v/>
      </c>
      <c r="F683">
        <f>IF(A683="","",SUMIF(Tickets[TripKey],A683,Tickets[Revenue]))</f>
        <v/>
      </c>
      <c r="G683">
        <f>IF(A683="","",SUMIF(Tickets[TripKey],A683,Tickets[PK]))</f>
        <v/>
      </c>
      <c r="H683">
        <f>IF(A683="","",IFERROR(XLOOKUP(A683,Tickets[TripKey],Tickets[VehClean]),""))</f>
        <v/>
      </c>
      <c r="I683">
        <f>IF(A683="","",IFERROR(XLOOKUP(A683,Tickets[TripKey],Tickets[RouteLen]),0))</f>
        <v/>
      </c>
      <c r="J683">
        <f>IF(A683="","",IFERROR(XLOOKUP(A683,Tickets[TripKey],Tickets[Capacity]),0))</f>
        <v/>
      </c>
      <c r="K683">
        <f>IF(A683="","",I683*J683)</f>
        <v/>
      </c>
      <c r="L683">
        <f>IF(A683="","",IFERROR(MINIFS(Tickets[Trip Start Time],Tickets[TripKey],A683),""))</f>
        <v/>
      </c>
    </row>
    <row r="684">
      <c r="B684" s="8">
        <f>IF(A684="","",IFERROR(DATEVALUE(TEXTBEFORE(A684,"|")),--LEFT(A684,10)))</f>
        <v/>
      </c>
      <c r="C684">
        <f>IF(A684="","",TEXTBEFORE(TEXTAFTER(A684,"|"),"|"))</f>
        <v/>
      </c>
      <c r="D684">
        <f>IF(A684="","",TEXTAFTER(A684,"|",2))</f>
        <v/>
      </c>
      <c r="E684">
        <f>IF(A684="","",SUMIF(Tickets[TripKey],A684,Tickets[TP]))</f>
        <v/>
      </c>
      <c r="F684">
        <f>IF(A684="","",SUMIF(Tickets[TripKey],A684,Tickets[Revenue]))</f>
        <v/>
      </c>
      <c r="G684">
        <f>IF(A684="","",SUMIF(Tickets[TripKey],A684,Tickets[PK]))</f>
        <v/>
      </c>
      <c r="H684">
        <f>IF(A684="","",IFERROR(XLOOKUP(A684,Tickets[TripKey],Tickets[VehClean]),""))</f>
        <v/>
      </c>
      <c r="I684">
        <f>IF(A684="","",IFERROR(XLOOKUP(A684,Tickets[TripKey],Tickets[RouteLen]),0))</f>
        <v/>
      </c>
      <c r="J684">
        <f>IF(A684="","",IFERROR(XLOOKUP(A684,Tickets[TripKey],Tickets[Capacity]),0))</f>
        <v/>
      </c>
      <c r="K684">
        <f>IF(A684="","",I684*J684)</f>
        <v/>
      </c>
      <c r="L684">
        <f>IF(A684="","",IFERROR(MINIFS(Tickets[Trip Start Time],Tickets[TripKey],A684),""))</f>
        <v/>
      </c>
    </row>
    <row r="685">
      <c r="B685" s="8">
        <f>IF(A685="","",IFERROR(DATEVALUE(TEXTBEFORE(A685,"|")),--LEFT(A685,10)))</f>
        <v/>
      </c>
      <c r="C685">
        <f>IF(A685="","",TEXTBEFORE(TEXTAFTER(A685,"|"),"|"))</f>
        <v/>
      </c>
      <c r="D685">
        <f>IF(A685="","",TEXTAFTER(A685,"|",2))</f>
        <v/>
      </c>
      <c r="E685">
        <f>IF(A685="","",SUMIF(Tickets[TripKey],A685,Tickets[TP]))</f>
        <v/>
      </c>
      <c r="F685">
        <f>IF(A685="","",SUMIF(Tickets[TripKey],A685,Tickets[Revenue]))</f>
        <v/>
      </c>
      <c r="G685">
        <f>IF(A685="","",SUMIF(Tickets[TripKey],A685,Tickets[PK]))</f>
        <v/>
      </c>
      <c r="H685">
        <f>IF(A685="","",IFERROR(XLOOKUP(A685,Tickets[TripKey],Tickets[VehClean]),""))</f>
        <v/>
      </c>
      <c r="I685">
        <f>IF(A685="","",IFERROR(XLOOKUP(A685,Tickets[TripKey],Tickets[RouteLen]),0))</f>
        <v/>
      </c>
      <c r="J685">
        <f>IF(A685="","",IFERROR(XLOOKUP(A685,Tickets[TripKey],Tickets[Capacity]),0))</f>
        <v/>
      </c>
      <c r="K685">
        <f>IF(A685="","",I685*J685)</f>
        <v/>
      </c>
      <c r="L685">
        <f>IF(A685="","",IFERROR(MINIFS(Tickets[Trip Start Time],Tickets[TripKey],A685),""))</f>
        <v/>
      </c>
    </row>
    <row r="686">
      <c r="B686" s="8">
        <f>IF(A686="","",IFERROR(DATEVALUE(TEXTBEFORE(A686,"|")),--LEFT(A686,10)))</f>
        <v/>
      </c>
      <c r="C686">
        <f>IF(A686="","",TEXTBEFORE(TEXTAFTER(A686,"|"),"|"))</f>
        <v/>
      </c>
      <c r="D686">
        <f>IF(A686="","",TEXTAFTER(A686,"|",2))</f>
        <v/>
      </c>
      <c r="E686">
        <f>IF(A686="","",SUMIF(Tickets[TripKey],A686,Tickets[TP]))</f>
        <v/>
      </c>
      <c r="F686">
        <f>IF(A686="","",SUMIF(Tickets[TripKey],A686,Tickets[Revenue]))</f>
        <v/>
      </c>
      <c r="G686">
        <f>IF(A686="","",SUMIF(Tickets[TripKey],A686,Tickets[PK]))</f>
        <v/>
      </c>
      <c r="H686">
        <f>IF(A686="","",IFERROR(XLOOKUP(A686,Tickets[TripKey],Tickets[VehClean]),""))</f>
        <v/>
      </c>
      <c r="I686">
        <f>IF(A686="","",IFERROR(XLOOKUP(A686,Tickets[TripKey],Tickets[RouteLen]),0))</f>
        <v/>
      </c>
      <c r="J686">
        <f>IF(A686="","",IFERROR(XLOOKUP(A686,Tickets[TripKey],Tickets[Capacity]),0))</f>
        <v/>
      </c>
      <c r="K686">
        <f>IF(A686="","",I686*J686)</f>
        <v/>
      </c>
      <c r="L686">
        <f>IF(A686="","",IFERROR(MINIFS(Tickets[Trip Start Time],Tickets[TripKey],A686),""))</f>
        <v/>
      </c>
    </row>
    <row r="687">
      <c r="B687" s="8">
        <f>IF(A687="","",IFERROR(DATEVALUE(TEXTBEFORE(A687,"|")),--LEFT(A687,10)))</f>
        <v/>
      </c>
      <c r="C687">
        <f>IF(A687="","",TEXTBEFORE(TEXTAFTER(A687,"|"),"|"))</f>
        <v/>
      </c>
      <c r="D687">
        <f>IF(A687="","",TEXTAFTER(A687,"|",2))</f>
        <v/>
      </c>
      <c r="E687">
        <f>IF(A687="","",SUMIF(Tickets[TripKey],A687,Tickets[TP]))</f>
        <v/>
      </c>
      <c r="F687">
        <f>IF(A687="","",SUMIF(Tickets[TripKey],A687,Tickets[Revenue]))</f>
        <v/>
      </c>
      <c r="G687">
        <f>IF(A687="","",SUMIF(Tickets[TripKey],A687,Tickets[PK]))</f>
        <v/>
      </c>
      <c r="H687">
        <f>IF(A687="","",IFERROR(XLOOKUP(A687,Tickets[TripKey],Tickets[VehClean]),""))</f>
        <v/>
      </c>
      <c r="I687">
        <f>IF(A687="","",IFERROR(XLOOKUP(A687,Tickets[TripKey],Tickets[RouteLen]),0))</f>
        <v/>
      </c>
      <c r="J687">
        <f>IF(A687="","",IFERROR(XLOOKUP(A687,Tickets[TripKey],Tickets[Capacity]),0))</f>
        <v/>
      </c>
      <c r="K687">
        <f>IF(A687="","",I687*J687)</f>
        <v/>
      </c>
      <c r="L687">
        <f>IF(A687="","",IFERROR(MINIFS(Tickets[Trip Start Time],Tickets[TripKey],A687),""))</f>
        <v/>
      </c>
    </row>
    <row r="688">
      <c r="B688" s="8">
        <f>IF(A688="","",IFERROR(DATEVALUE(TEXTBEFORE(A688,"|")),--LEFT(A688,10)))</f>
        <v/>
      </c>
      <c r="C688">
        <f>IF(A688="","",TEXTBEFORE(TEXTAFTER(A688,"|"),"|"))</f>
        <v/>
      </c>
      <c r="D688">
        <f>IF(A688="","",TEXTAFTER(A688,"|",2))</f>
        <v/>
      </c>
      <c r="E688">
        <f>IF(A688="","",SUMIF(Tickets[TripKey],A688,Tickets[TP]))</f>
        <v/>
      </c>
      <c r="F688">
        <f>IF(A688="","",SUMIF(Tickets[TripKey],A688,Tickets[Revenue]))</f>
        <v/>
      </c>
      <c r="G688">
        <f>IF(A688="","",SUMIF(Tickets[TripKey],A688,Tickets[PK]))</f>
        <v/>
      </c>
      <c r="H688">
        <f>IF(A688="","",IFERROR(XLOOKUP(A688,Tickets[TripKey],Tickets[VehClean]),""))</f>
        <v/>
      </c>
      <c r="I688">
        <f>IF(A688="","",IFERROR(XLOOKUP(A688,Tickets[TripKey],Tickets[RouteLen]),0))</f>
        <v/>
      </c>
      <c r="J688">
        <f>IF(A688="","",IFERROR(XLOOKUP(A688,Tickets[TripKey],Tickets[Capacity]),0))</f>
        <v/>
      </c>
      <c r="K688">
        <f>IF(A688="","",I688*J688)</f>
        <v/>
      </c>
      <c r="L688">
        <f>IF(A688="","",IFERROR(MINIFS(Tickets[Trip Start Time],Tickets[TripKey],A688),""))</f>
        <v/>
      </c>
    </row>
    <row r="689">
      <c r="B689" s="8">
        <f>IF(A689="","",IFERROR(DATEVALUE(TEXTBEFORE(A689,"|")),--LEFT(A689,10)))</f>
        <v/>
      </c>
      <c r="C689">
        <f>IF(A689="","",TEXTBEFORE(TEXTAFTER(A689,"|"),"|"))</f>
        <v/>
      </c>
      <c r="D689">
        <f>IF(A689="","",TEXTAFTER(A689,"|",2))</f>
        <v/>
      </c>
      <c r="E689">
        <f>IF(A689="","",SUMIF(Tickets[TripKey],A689,Tickets[TP]))</f>
        <v/>
      </c>
      <c r="F689">
        <f>IF(A689="","",SUMIF(Tickets[TripKey],A689,Tickets[Revenue]))</f>
        <v/>
      </c>
      <c r="G689">
        <f>IF(A689="","",SUMIF(Tickets[TripKey],A689,Tickets[PK]))</f>
        <v/>
      </c>
      <c r="H689">
        <f>IF(A689="","",IFERROR(XLOOKUP(A689,Tickets[TripKey],Tickets[VehClean]),""))</f>
        <v/>
      </c>
      <c r="I689">
        <f>IF(A689="","",IFERROR(XLOOKUP(A689,Tickets[TripKey],Tickets[RouteLen]),0))</f>
        <v/>
      </c>
      <c r="J689">
        <f>IF(A689="","",IFERROR(XLOOKUP(A689,Tickets[TripKey],Tickets[Capacity]),0))</f>
        <v/>
      </c>
      <c r="K689">
        <f>IF(A689="","",I689*J689)</f>
        <v/>
      </c>
      <c r="L689">
        <f>IF(A689="","",IFERROR(MINIFS(Tickets[Trip Start Time],Tickets[TripKey],A689),""))</f>
        <v/>
      </c>
    </row>
    <row r="690">
      <c r="B690" s="8">
        <f>IF(A690="","",IFERROR(DATEVALUE(TEXTBEFORE(A690,"|")),--LEFT(A690,10)))</f>
        <v/>
      </c>
      <c r="C690">
        <f>IF(A690="","",TEXTBEFORE(TEXTAFTER(A690,"|"),"|"))</f>
        <v/>
      </c>
      <c r="D690">
        <f>IF(A690="","",TEXTAFTER(A690,"|",2))</f>
        <v/>
      </c>
      <c r="E690">
        <f>IF(A690="","",SUMIF(Tickets[TripKey],A690,Tickets[TP]))</f>
        <v/>
      </c>
      <c r="F690">
        <f>IF(A690="","",SUMIF(Tickets[TripKey],A690,Tickets[Revenue]))</f>
        <v/>
      </c>
      <c r="G690">
        <f>IF(A690="","",SUMIF(Tickets[TripKey],A690,Tickets[PK]))</f>
        <v/>
      </c>
      <c r="H690">
        <f>IF(A690="","",IFERROR(XLOOKUP(A690,Tickets[TripKey],Tickets[VehClean]),""))</f>
        <v/>
      </c>
      <c r="I690">
        <f>IF(A690="","",IFERROR(XLOOKUP(A690,Tickets[TripKey],Tickets[RouteLen]),0))</f>
        <v/>
      </c>
      <c r="J690">
        <f>IF(A690="","",IFERROR(XLOOKUP(A690,Tickets[TripKey],Tickets[Capacity]),0))</f>
        <v/>
      </c>
      <c r="K690">
        <f>IF(A690="","",I690*J690)</f>
        <v/>
      </c>
      <c r="L690">
        <f>IF(A690="","",IFERROR(MINIFS(Tickets[Trip Start Time],Tickets[TripKey],A690),""))</f>
        <v/>
      </c>
    </row>
    <row r="691">
      <c r="B691" s="8">
        <f>IF(A691="","",IFERROR(DATEVALUE(TEXTBEFORE(A691,"|")),--LEFT(A691,10)))</f>
        <v/>
      </c>
      <c r="C691">
        <f>IF(A691="","",TEXTBEFORE(TEXTAFTER(A691,"|"),"|"))</f>
        <v/>
      </c>
      <c r="D691">
        <f>IF(A691="","",TEXTAFTER(A691,"|",2))</f>
        <v/>
      </c>
      <c r="E691">
        <f>IF(A691="","",SUMIF(Tickets[TripKey],A691,Tickets[TP]))</f>
        <v/>
      </c>
      <c r="F691">
        <f>IF(A691="","",SUMIF(Tickets[TripKey],A691,Tickets[Revenue]))</f>
        <v/>
      </c>
      <c r="G691">
        <f>IF(A691="","",SUMIF(Tickets[TripKey],A691,Tickets[PK]))</f>
        <v/>
      </c>
      <c r="H691">
        <f>IF(A691="","",IFERROR(XLOOKUP(A691,Tickets[TripKey],Tickets[VehClean]),""))</f>
        <v/>
      </c>
      <c r="I691">
        <f>IF(A691="","",IFERROR(XLOOKUP(A691,Tickets[TripKey],Tickets[RouteLen]),0))</f>
        <v/>
      </c>
      <c r="J691">
        <f>IF(A691="","",IFERROR(XLOOKUP(A691,Tickets[TripKey],Tickets[Capacity]),0))</f>
        <v/>
      </c>
      <c r="K691">
        <f>IF(A691="","",I691*J691)</f>
        <v/>
      </c>
      <c r="L691">
        <f>IF(A691="","",IFERROR(MINIFS(Tickets[Trip Start Time],Tickets[TripKey],A691),""))</f>
        <v/>
      </c>
    </row>
    <row r="692">
      <c r="B692" s="8">
        <f>IF(A692="","",IFERROR(DATEVALUE(TEXTBEFORE(A692,"|")),--LEFT(A692,10)))</f>
        <v/>
      </c>
      <c r="C692">
        <f>IF(A692="","",TEXTBEFORE(TEXTAFTER(A692,"|"),"|"))</f>
        <v/>
      </c>
      <c r="D692">
        <f>IF(A692="","",TEXTAFTER(A692,"|",2))</f>
        <v/>
      </c>
      <c r="E692">
        <f>IF(A692="","",SUMIF(Tickets[TripKey],A692,Tickets[TP]))</f>
        <v/>
      </c>
      <c r="F692">
        <f>IF(A692="","",SUMIF(Tickets[TripKey],A692,Tickets[Revenue]))</f>
        <v/>
      </c>
      <c r="G692">
        <f>IF(A692="","",SUMIF(Tickets[TripKey],A692,Tickets[PK]))</f>
        <v/>
      </c>
      <c r="H692">
        <f>IF(A692="","",IFERROR(XLOOKUP(A692,Tickets[TripKey],Tickets[VehClean]),""))</f>
        <v/>
      </c>
      <c r="I692">
        <f>IF(A692="","",IFERROR(XLOOKUP(A692,Tickets[TripKey],Tickets[RouteLen]),0))</f>
        <v/>
      </c>
      <c r="J692">
        <f>IF(A692="","",IFERROR(XLOOKUP(A692,Tickets[TripKey],Tickets[Capacity]),0))</f>
        <v/>
      </c>
      <c r="K692">
        <f>IF(A692="","",I692*J692)</f>
        <v/>
      </c>
      <c r="L692">
        <f>IF(A692="","",IFERROR(MINIFS(Tickets[Trip Start Time],Tickets[TripKey],A692),""))</f>
        <v/>
      </c>
    </row>
    <row r="693">
      <c r="B693" s="8">
        <f>IF(A693="","",IFERROR(DATEVALUE(TEXTBEFORE(A693,"|")),--LEFT(A693,10)))</f>
        <v/>
      </c>
      <c r="C693">
        <f>IF(A693="","",TEXTBEFORE(TEXTAFTER(A693,"|"),"|"))</f>
        <v/>
      </c>
      <c r="D693">
        <f>IF(A693="","",TEXTAFTER(A693,"|",2))</f>
        <v/>
      </c>
      <c r="E693">
        <f>IF(A693="","",SUMIF(Tickets[TripKey],A693,Tickets[TP]))</f>
        <v/>
      </c>
      <c r="F693">
        <f>IF(A693="","",SUMIF(Tickets[TripKey],A693,Tickets[Revenue]))</f>
        <v/>
      </c>
      <c r="G693">
        <f>IF(A693="","",SUMIF(Tickets[TripKey],A693,Tickets[PK]))</f>
        <v/>
      </c>
      <c r="H693">
        <f>IF(A693="","",IFERROR(XLOOKUP(A693,Tickets[TripKey],Tickets[VehClean]),""))</f>
        <v/>
      </c>
      <c r="I693">
        <f>IF(A693="","",IFERROR(XLOOKUP(A693,Tickets[TripKey],Tickets[RouteLen]),0))</f>
        <v/>
      </c>
      <c r="J693">
        <f>IF(A693="","",IFERROR(XLOOKUP(A693,Tickets[TripKey],Tickets[Capacity]),0))</f>
        <v/>
      </c>
      <c r="K693">
        <f>IF(A693="","",I693*J693)</f>
        <v/>
      </c>
      <c r="L693">
        <f>IF(A693="","",IFERROR(MINIFS(Tickets[Trip Start Time],Tickets[TripKey],A693),""))</f>
        <v/>
      </c>
    </row>
    <row r="694">
      <c r="B694" s="8">
        <f>IF(A694="","",IFERROR(DATEVALUE(TEXTBEFORE(A694,"|")),--LEFT(A694,10)))</f>
        <v/>
      </c>
      <c r="C694">
        <f>IF(A694="","",TEXTBEFORE(TEXTAFTER(A694,"|"),"|"))</f>
        <v/>
      </c>
      <c r="D694">
        <f>IF(A694="","",TEXTAFTER(A694,"|",2))</f>
        <v/>
      </c>
      <c r="E694">
        <f>IF(A694="","",SUMIF(Tickets[TripKey],A694,Tickets[TP]))</f>
        <v/>
      </c>
      <c r="F694">
        <f>IF(A694="","",SUMIF(Tickets[TripKey],A694,Tickets[Revenue]))</f>
        <v/>
      </c>
      <c r="G694">
        <f>IF(A694="","",SUMIF(Tickets[TripKey],A694,Tickets[PK]))</f>
        <v/>
      </c>
      <c r="H694">
        <f>IF(A694="","",IFERROR(XLOOKUP(A694,Tickets[TripKey],Tickets[VehClean]),""))</f>
        <v/>
      </c>
      <c r="I694">
        <f>IF(A694="","",IFERROR(XLOOKUP(A694,Tickets[TripKey],Tickets[RouteLen]),0))</f>
        <v/>
      </c>
      <c r="J694">
        <f>IF(A694="","",IFERROR(XLOOKUP(A694,Tickets[TripKey],Tickets[Capacity]),0))</f>
        <v/>
      </c>
      <c r="K694">
        <f>IF(A694="","",I694*J694)</f>
        <v/>
      </c>
      <c r="L694">
        <f>IF(A694="","",IFERROR(MINIFS(Tickets[Trip Start Time],Tickets[TripKey],A694),""))</f>
        <v/>
      </c>
    </row>
    <row r="695">
      <c r="B695" s="8">
        <f>IF(A695="","",IFERROR(DATEVALUE(TEXTBEFORE(A695,"|")),--LEFT(A695,10)))</f>
        <v/>
      </c>
      <c r="C695">
        <f>IF(A695="","",TEXTBEFORE(TEXTAFTER(A695,"|"),"|"))</f>
        <v/>
      </c>
      <c r="D695">
        <f>IF(A695="","",TEXTAFTER(A695,"|",2))</f>
        <v/>
      </c>
      <c r="E695">
        <f>IF(A695="","",SUMIF(Tickets[TripKey],A695,Tickets[TP]))</f>
        <v/>
      </c>
      <c r="F695">
        <f>IF(A695="","",SUMIF(Tickets[TripKey],A695,Tickets[Revenue]))</f>
        <v/>
      </c>
      <c r="G695">
        <f>IF(A695="","",SUMIF(Tickets[TripKey],A695,Tickets[PK]))</f>
        <v/>
      </c>
      <c r="H695">
        <f>IF(A695="","",IFERROR(XLOOKUP(A695,Tickets[TripKey],Tickets[VehClean]),""))</f>
        <v/>
      </c>
      <c r="I695">
        <f>IF(A695="","",IFERROR(XLOOKUP(A695,Tickets[TripKey],Tickets[RouteLen]),0))</f>
        <v/>
      </c>
      <c r="J695">
        <f>IF(A695="","",IFERROR(XLOOKUP(A695,Tickets[TripKey],Tickets[Capacity]),0))</f>
        <v/>
      </c>
      <c r="K695">
        <f>IF(A695="","",I695*J695)</f>
        <v/>
      </c>
      <c r="L695">
        <f>IF(A695="","",IFERROR(MINIFS(Tickets[Trip Start Time],Tickets[TripKey],A695),""))</f>
        <v/>
      </c>
    </row>
    <row r="696">
      <c r="B696" s="8">
        <f>IF(A696="","",IFERROR(DATEVALUE(TEXTBEFORE(A696,"|")),--LEFT(A696,10)))</f>
        <v/>
      </c>
      <c r="C696">
        <f>IF(A696="","",TEXTBEFORE(TEXTAFTER(A696,"|"),"|"))</f>
        <v/>
      </c>
      <c r="D696">
        <f>IF(A696="","",TEXTAFTER(A696,"|",2))</f>
        <v/>
      </c>
      <c r="E696">
        <f>IF(A696="","",SUMIF(Tickets[TripKey],A696,Tickets[TP]))</f>
        <v/>
      </c>
      <c r="F696">
        <f>IF(A696="","",SUMIF(Tickets[TripKey],A696,Tickets[Revenue]))</f>
        <v/>
      </c>
      <c r="G696">
        <f>IF(A696="","",SUMIF(Tickets[TripKey],A696,Tickets[PK]))</f>
        <v/>
      </c>
      <c r="H696">
        <f>IF(A696="","",IFERROR(XLOOKUP(A696,Tickets[TripKey],Tickets[VehClean]),""))</f>
        <v/>
      </c>
      <c r="I696">
        <f>IF(A696="","",IFERROR(XLOOKUP(A696,Tickets[TripKey],Tickets[RouteLen]),0))</f>
        <v/>
      </c>
      <c r="J696">
        <f>IF(A696="","",IFERROR(XLOOKUP(A696,Tickets[TripKey],Tickets[Capacity]),0))</f>
        <v/>
      </c>
      <c r="K696">
        <f>IF(A696="","",I696*J696)</f>
        <v/>
      </c>
      <c r="L696">
        <f>IF(A696="","",IFERROR(MINIFS(Tickets[Trip Start Time],Tickets[TripKey],A696),""))</f>
        <v/>
      </c>
    </row>
    <row r="697">
      <c r="B697" s="8">
        <f>IF(A697="","",IFERROR(DATEVALUE(TEXTBEFORE(A697,"|")),--LEFT(A697,10)))</f>
        <v/>
      </c>
      <c r="C697">
        <f>IF(A697="","",TEXTBEFORE(TEXTAFTER(A697,"|"),"|"))</f>
        <v/>
      </c>
      <c r="D697">
        <f>IF(A697="","",TEXTAFTER(A697,"|",2))</f>
        <v/>
      </c>
      <c r="E697">
        <f>IF(A697="","",SUMIF(Tickets[TripKey],A697,Tickets[TP]))</f>
        <v/>
      </c>
      <c r="F697">
        <f>IF(A697="","",SUMIF(Tickets[TripKey],A697,Tickets[Revenue]))</f>
        <v/>
      </c>
      <c r="G697">
        <f>IF(A697="","",SUMIF(Tickets[TripKey],A697,Tickets[PK]))</f>
        <v/>
      </c>
      <c r="H697">
        <f>IF(A697="","",IFERROR(XLOOKUP(A697,Tickets[TripKey],Tickets[VehClean]),""))</f>
        <v/>
      </c>
      <c r="I697">
        <f>IF(A697="","",IFERROR(XLOOKUP(A697,Tickets[TripKey],Tickets[RouteLen]),0))</f>
        <v/>
      </c>
      <c r="J697">
        <f>IF(A697="","",IFERROR(XLOOKUP(A697,Tickets[TripKey],Tickets[Capacity]),0))</f>
        <v/>
      </c>
      <c r="K697">
        <f>IF(A697="","",I697*J697)</f>
        <v/>
      </c>
      <c r="L697">
        <f>IF(A697="","",IFERROR(MINIFS(Tickets[Trip Start Time],Tickets[TripKey],A697),""))</f>
        <v/>
      </c>
    </row>
    <row r="698">
      <c r="B698" s="8">
        <f>IF(A698="","",IFERROR(DATEVALUE(TEXTBEFORE(A698,"|")),--LEFT(A698,10)))</f>
        <v/>
      </c>
      <c r="C698">
        <f>IF(A698="","",TEXTBEFORE(TEXTAFTER(A698,"|"),"|"))</f>
        <v/>
      </c>
      <c r="D698">
        <f>IF(A698="","",TEXTAFTER(A698,"|",2))</f>
        <v/>
      </c>
      <c r="E698">
        <f>IF(A698="","",SUMIF(Tickets[TripKey],A698,Tickets[TP]))</f>
        <v/>
      </c>
      <c r="F698">
        <f>IF(A698="","",SUMIF(Tickets[TripKey],A698,Tickets[Revenue]))</f>
        <v/>
      </c>
      <c r="G698">
        <f>IF(A698="","",SUMIF(Tickets[TripKey],A698,Tickets[PK]))</f>
        <v/>
      </c>
      <c r="H698">
        <f>IF(A698="","",IFERROR(XLOOKUP(A698,Tickets[TripKey],Tickets[VehClean]),""))</f>
        <v/>
      </c>
      <c r="I698">
        <f>IF(A698="","",IFERROR(XLOOKUP(A698,Tickets[TripKey],Tickets[RouteLen]),0))</f>
        <v/>
      </c>
      <c r="J698">
        <f>IF(A698="","",IFERROR(XLOOKUP(A698,Tickets[TripKey],Tickets[Capacity]),0))</f>
        <v/>
      </c>
      <c r="K698">
        <f>IF(A698="","",I698*J698)</f>
        <v/>
      </c>
      <c r="L698">
        <f>IF(A698="","",IFERROR(MINIFS(Tickets[Trip Start Time],Tickets[TripKey],A698),""))</f>
        <v/>
      </c>
    </row>
    <row r="699">
      <c r="B699" s="8">
        <f>IF(A699="","",IFERROR(DATEVALUE(TEXTBEFORE(A699,"|")),--LEFT(A699,10)))</f>
        <v/>
      </c>
      <c r="C699">
        <f>IF(A699="","",TEXTBEFORE(TEXTAFTER(A699,"|"),"|"))</f>
        <v/>
      </c>
      <c r="D699">
        <f>IF(A699="","",TEXTAFTER(A699,"|",2))</f>
        <v/>
      </c>
      <c r="E699">
        <f>IF(A699="","",SUMIF(Tickets[TripKey],A699,Tickets[TP]))</f>
        <v/>
      </c>
      <c r="F699">
        <f>IF(A699="","",SUMIF(Tickets[TripKey],A699,Tickets[Revenue]))</f>
        <v/>
      </c>
      <c r="G699">
        <f>IF(A699="","",SUMIF(Tickets[TripKey],A699,Tickets[PK]))</f>
        <v/>
      </c>
      <c r="H699">
        <f>IF(A699="","",IFERROR(XLOOKUP(A699,Tickets[TripKey],Tickets[VehClean]),""))</f>
        <v/>
      </c>
      <c r="I699">
        <f>IF(A699="","",IFERROR(XLOOKUP(A699,Tickets[TripKey],Tickets[RouteLen]),0))</f>
        <v/>
      </c>
      <c r="J699">
        <f>IF(A699="","",IFERROR(XLOOKUP(A699,Tickets[TripKey],Tickets[Capacity]),0))</f>
        <v/>
      </c>
      <c r="K699">
        <f>IF(A699="","",I699*J699)</f>
        <v/>
      </c>
      <c r="L699">
        <f>IF(A699="","",IFERROR(MINIFS(Tickets[Trip Start Time],Tickets[TripKey],A699),""))</f>
        <v/>
      </c>
    </row>
    <row r="700">
      <c r="B700" s="8">
        <f>IF(A700="","",IFERROR(DATEVALUE(TEXTBEFORE(A700,"|")),--LEFT(A700,10)))</f>
        <v/>
      </c>
      <c r="C700">
        <f>IF(A700="","",TEXTBEFORE(TEXTAFTER(A700,"|"),"|"))</f>
        <v/>
      </c>
      <c r="D700">
        <f>IF(A700="","",TEXTAFTER(A700,"|",2))</f>
        <v/>
      </c>
      <c r="E700">
        <f>IF(A700="","",SUMIF(Tickets[TripKey],A700,Tickets[TP]))</f>
        <v/>
      </c>
      <c r="F700">
        <f>IF(A700="","",SUMIF(Tickets[TripKey],A700,Tickets[Revenue]))</f>
        <v/>
      </c>
      <c r="G700">
        <f>IF(A700="","",SUMIF(Tickets[TripKey],A700,Tickets[PK]))</f>
        <v/>
      </c>
      <c r="H700">
        <f>IF(A700="","",IFERROR(XLOOKUP(A700,Tickets[TripKey],Tickets[VehClean]),""))</f>
        <v/>
      </c>
      <c r="I700">
        <f>IF(A700="","",IFERROR(XLOOKUP(A700,Tickets[TripKey],Tickets[RouteLen]),0))</f>
        <v/>
      </c>
      <c r="J700">
        <f>IF(A700="","",IFERROR(XLOOKUP(A700,Tickets[TripKey],Tickets[Capacity]),0))</f>
        <v/>
      </c>
      <c r="K700">
        <f>IF(A700="","",I700*J700)</f>
        <v/>
      </c>
      <c r="L700">
        <f>IF(A700="","",IFERROR(MINIFS(Tickets[Trip Start Time],Tickets[TripKey],A700),""))</f>
        <v/>
      </c>
    </row>
    <row r="701">
      <c r="B701" s="8">
        <f>IF(A701="","",IFERROR(DATEVALUE(TEXTBEFORE(A701,"|")),--LEFT(A701,10)))</f>
        <v/>
      </c>
      <c r="C701">
        <f>IF(A701="","",TEXTBEFORE(TEXTAFTER(A701,"|"),"|"))</f>
        <v/>
      </c>
      <c r="D701">
        <f>IF(A701="","",TEXTAFTER(A701,"|",2))</f>
        <v/>
      </c>
      <c r="E701">
        <f>IF(A701="","",SUMIF(Tickets[TripKey],A701,Tickets[TP]))</f>
        <v/>
      </c>
      <c r="F701">
        <f>IF(A701="","",SUMIF(Tickets[TripKey],A701,Tickets[Revenue]))</f>
        <v/>
      </c>
      <c r="G701">
        <f>IF(A701="","",SUMIF(Tickets[TripKey],A701,Tickets[PK]))</f>
        <v/>
      </c>
      <c r="H701">
        <f>IF(A701="","",IFERROR(XLOOKUP(A701,Tickets[TripKey],Tickets[VehClean]),""))</f>
        <v/>
      </c>
      <c r="I701">
        <f>IF(A701="","",IFERROR(XLOOKUP(A701,Tickets[TripKey],Tickets[RouteLen]),0))</f>
        <v/>
      </c>
      <c r="J701">
        <f>IF(A701="","",IFERROR(XLOOKUP(A701,Tickets[TripKey],Tickets[Capacity]),0))</f>
        <v/>
      </c>
      <c r="K701">
        <f>IF(A701="","",I701*J701)</f>
        <v/>
      </c>
      <c r="L701">
        <f>IF(A701="","",IFERROR(MINIFS(Tickets[Trip Start Time],Tickets[TripKey],A701),""))</f>
        <v/>
      </c>
    </row>
    <row r="702">
      <c r="B702" s="8">
        <f>IF(A702="","",IFERROR(DATEVALUE(TEXTBEFORE(A702,"|")),--LEFT(A702,10)))</f>
        <v/>
      </c>
      <c r="C702">
        <f>IF(A702="","",TEXTBEFORE(TEXTAFTER(A702,"|"),"|"))</f>
        <v/>
      </c>
      <c r="D702">
        <f>IF(A702="","",TEXTAFTER(A702,"|",2))</f>
        <v/>
      </c>
      <c r="E702">
        <f>IF(A702="","",SUMIF(Tickets[TripKey],A702,Tickets[TP]))</f>
        <v/>
      </c>
      <c r="F702">
        <f>IF(A702="","",SUMIF(Tickets[TripKey],A702,Tickets[Revenue]))</f>
        <v/>
      </c>
      <c r="G702">
        <f>IF(A702="","",SUMIF(Tickets[TripKey],A702,Tickets[PK]))</f>
        <v/>
      </c>
      <c r="H702">
        <f>IF(A702="","",IFERROR(XLOOKUP(A702,Tickets[TripKey],Tickets[VehClean]),""))</f>
        <v/>
      </c>
      <c r="I702">
        <f>IF(A702="","",IFERROR(XLOOKUP(A702,Tickets[TripKey],Tickets[RouteLen]),0))</f>
        <v/>
      </c>
      <c r="J702">
        <f>IF(A702="","",IFERROR(XLOOKUP(A702,Tickets[TripKey],Tickets[Capacity]),0))</f>
        <v/>
      </c>
      <c r="K702">
        <f>IF(A702="","",I702*J702)</f>
        <v/>
      </c>
      <c r="L702">
        <f>IF(A702="","",IFERROR(MINIFS(Tickets[Trip Start Time],Tickets[TripKey],A702),""))</f>
        <v/>
      </c>
    </row>
    <row r="703">
      <c r="B703" s="8">
        <f>IF(A703="","",IFERROR(DATEVALUE(TEXTBEFORE(A703,"|")),--LEFT(A703,10)))</f>
        <v/>
      </c>
      <c r="C703">
        <f>IF(A703="","",TEXTBEFORE(TEXTAFTER(A703,"|"),"|"))</f>
        <v/>
      </c>
      <c r="D703">
        <f>IF(A703="","",TEXTAFTER(A703,"|",2))</f>
        <v/>
      </c>
      <c r="E703">
        <f>IF(A703="","",SUMIF(Tickets[TripKey],A703,Tickets[TP]))</f>
        <v/>
      </c>
      <c r="F703">
        <f>IF(A703="","",SUMIF(Tickets[TripKey],A703,Tickets[Revenue]))</f>
        <v/>
      </c>
      <c r="G703">
        <f>IF(A703="","",SUMIF(Tickets[TripKey],A703,Tickets[PK]))</f>
        <v/>
      </c>
      <c r="H703">
        <f>IF(A703="","",IFERROR(XLOOKUP(A703,Tickets[TripKey],Tickets[VehClean]),""))</f>
        <v/>
      </c>
      <c r="I703">
        <f>IF(A703="","",IFERROR(XLOOKUP(A703,Tickets[TripKey],Tickets[RouteLen]),0))</f>
        <v/>
      </c>
      <c r="J703">
        <f>IF(A703="","",IFERROR(XLOOKUP(A703,Tickets[TripKey],Tickets[Capacity]),0))</f>
        <v/>
      </c>
      <c r="K703">
        <f>IF(A703="","",I703*J703)</f>
        <v/>
      </c>
      <c r="L703">
        <f>IF(A703="","",IFERROR(MINIFS(Tickets[Trip Start Time],Tickets[TripKey],A703),""))</f>
        <v/>
      </c>
    </row>
    <row r="704">
      <c r="B704" s="8">
        <f>IF(A704="","",IFERROR(DATEVALUE(TEXTBEFORE(A704,"|")),--LEFT(A704,10)))</f>
        <v/>
      </c>
      <c r="C704">
        <f>IF(A704="","",TEXTBEFORE(TEXTAFTER(A704,"|"),"|"))</f>
        <v/>
      </c>
      <c r="D704">
        <f>IF(A704="","",TEXTAFTER(A704,"|",2))</f>
        <v/>
      </c>
      <c r="E704">
        <f>IF(A704="","",SUMIF(Tickets[TripKey],A704,Tickets[TP]))</f>
        <v/>
      </c>
      <c r="F704">
        <f>IF(A704="","",SUMIF(Tickets[TripKey],A704,Tickets[Revenue]))</f>
        <v/>
      </c>
      <c r="G704">
        <f>IF(A704="","",SUMIF(Tickets[TripKey],A704,Tickets[PK]))</f>
        <v/>
      </c>
      <c r="H704">
        <f>IF(A704="","",IFERROR(XLOOKUP(A704,Tickets[TripKey],Tickets[VehClean]),""))</f>
        <v/>
      </c>
      <c r="I704">
        <f>IF(A704="","",IFERROR(XLOOKUP(A704,Tickets[TripKey],Tickets[RouteLen]),0))</f>
        <v/>
      </c>
      <c r="J704">
        <f>IF(A704="","",IFERROR(XLOOKUP(A704,Tickets[TripKey],Tickets[Capacity]),0))</f>
        <v/>
      </c>
      <c r="K704">
        <f>IF(A704="","",I704*J704)</f>
        <v/>
      </c>
      <c r="L704">
        <f>IF(A704="","",IFERROR(MINIFS(Tickets[Trip Start Time],Tickets[TripKey],A704),""))</f>
        <v/>
      </c>
    </row>
    <row r="705">
      <c r="B705" s="8">
        <f>IF(A705="","",IFERROR(DATEVALUE(TEXTBEFORE(A705,"|")),--LEFT(A705,10)))</f>
        <v/>
      </c>
      <c r="C705">
        <f>IF(A705="","",TEXTBEFORE(TEXTAFTER(A705,"|"),"|"))</f>
        <v/>
      </c>
      <c r="D705">
        <f>IF(A705="","",TEXTAFTER(A705,"|",2))</f>
        <v/>
      </c>
      <c r="E705">
        <f>IF(A705="","",SUMIF(Tickets[TripKey],A705,Tickets[TP]))</f>
        <v/>
      </c>
      <c r="F705">
        <f>IF(A705="","",SUMIF(Tickets[TripKey],A705,Tickets[Revenue]))</f>
        <v/>
      </c>
      <c r="G705">
        <f>IF(A705="","",SUMIF(Tickets[TripKey],A705,Tickets[PK]))</f>
        <v/>
      </c>
      <c r="H705">
        <f>IF(A705="","",IFERROR(XLOOKUP(A705,Tickets[TripKey],Tickets[VehClean]),""))</f>
        <v/>
      </c>
      <c r="I705">
        <f>IF(A705="","",IFERROR(XLOOKUP(A705,Tickets[TripKey],Tickets[RouteLen]),0))</f>
        <v/>
      </c>
      <c r="J705">
        <f>IF(A705="","",IFERROR(XLOOKUP(A705,Tickets[TripKey],Tickets[Capacity]),0))</f>
        <v/>
      </c>
      <c r="K705">
        <f>IF(A705="","",I705*J705)</f>
        <v/>
      </c>
      <c r="L705">
        <f>IF(A705="","",IFERROR(MINIFS(Tickets[Trip Start Time],Tickets[TripKey],A705),""))</f>
        <v/>
      </c>
    </row>
    <row r="706">
      <c r="B706" s="8">
        <f>IF(A706="","",IFERROR(DATEVALUE(TEXTBEFORE(A706,"|")),--LEFT(A706,10)))</f>
        <v/>
      </c>
      <c r="C706">
        <f>IF(A706="","",TEXTBEFORE(TEXTAFTER(A706,"|"),"|"))</f>
        <v/>
      </c>
      <c r="D706">
        <f>IF(A706="","",TEXTAFTER(A706,"|",2))</f>
        <v/>
      </c>
      <c r="E706">
        <f>IF(A706="","",SUMIF(Tickets[TripKey],A706,Tickets[TP]))</f>
        <v/>
      </c>
      <c r="F706">
        <f>IF(A706="","",SUMIF(Tickets[TripKey],A706,Tickets[Revenue]))</f>
        <v/>
      </c>
      <c r="G706">
        <f>IF(A706="","",SUMIF(Tickets[TripKey],A706,Tickets[PK]))</f>
        <v/>
      </c>
      <c r="H706">
        <f>IF(A706="","",IFERROR(XLOOKUP(A706,Tickets[TripKey],Tickets[VehClean]),""))</f>
        <v/>
      </c>
      <c r="I706">
        <f>IF(A706="","",IFERROR(XLOOKUP(A706,Tickets[TripKey],Tickets[RouteLen]),0))</f>
        <v/>
      </c>
      <c r="J706">
        <f>IF(A706="","",IFERROR(XLOOKUP(A706,Tickets[TripKey],Tickets[Capacity]),0))</f>
        <v/>
      </c>
      <c r="K706">
        <f>IF(A706="","",I706*J706)</f>
        <v/>
      </c>
      <c r="L706">
        <f>IF(A706="","",IFERROR(MINIFS(Tickets[Trip Start Time],Tickets[TripKey],A706),""))</f>
        <v/>
      </c>
    </row>
    <row r="707">
      <c r="B707" s="8">
        <f>IF(A707="","",IFERROR(DATEVALUE(TEXTBEFORE(A707,"|")),--LEFT(A707,10)))</f>
        <v/>
      </c>
      <c r="C707">
        <f>IF(A707="","",TEXTBEFORE(TEXTAFTER(A707,"|"),"|"))</f>
        <v/>
      </c>
      <c r="D707">
        <f>IF(A707="","",TEXTAFTER(A707,"|",2))</f>
        <v/>
      </c>
      <c r="E707">
        <f>IF(A707="","",SUMIF(Tickets[TripKey],A707,Tickets[TP]))</f>
        <v/>
      </c>
      <c r="F707">
        <f>IF(A707="","",SUMIF(Tickets[TripKey],A707,Tickets[Revenue]))</f>
        <v/>
      </c>
      <c r="G707">
        <f>IF(A707="","",SUMIF(Tickets[TripKey],A707,Tickets[PK]))</f>
        <v/>
      </c>
      <c r="H707">
        <f>IF(A707="","",IFERROR(XLOOKUP(A707,Tickets[TripKey],Tickets[VehClean]),""))</f>
        <v/>
      </c>
      <c r="I707">
        <f>IF(A707="","",IFERROR(XLOOKUP(A707,Tickets[TripKey],Tickets[RouteLen]),0))</f>
        <v/>
      </c>
      <c r="J707">
        <f>IF(A707="","",IFERROR(XLOOKUP(A707,Tickets[TripKey],Tickets[Capacity]),0))</f>
        <v/>
      </c>
      <c r="K707">
        <f>IF(A707="","",I707*J707)</f>
        <v/>
      </c>
      <c r="L707">
        <f>IF(A707="","",IFERROR(MINIFS(Tickets[Trip Start Time],Tickets[TripKey],A707),""))</f>
        <v/>
      </c>
    </row>
    <row r="708">
      <c r="B708" s="8">
        <f>IF(A708="","",IFERROR(DATEVALUE(TEXTBEFORE(A708,"|")),--LEFT(A708,10)))</f>
        <v/>
      </c>
      <c r="C708">
        <f>IF(A708="","",TEXTBEFORE(TEXTAFTER(A708,"|"),"|"))</f>
        <v/>
      </c>
      <c r="D708">
        <f>IF(A708="","",TEXTAFTER(A708,"|",2))</f>
        <v/>
      </c>
      <c r="E708">
        <f>IF(A708="","",SUMIF(Tickets[TripKey],A708,Tickets[TP]))</f>
        <v/>
      </c>
      <c r="F708">
        <f>IF(A708="","",SUMIF(Tickets[TripKey],A708,Tickets[Revenue]))</f>
        <v/>
      </c>
      <c r="G708">
        <f>IF(A708="","",SUMIF(Tickets[TripKey],A708,Tickets[PK]))</f>
        <v/>
      </c>
      <c r="H708">
        <f>IF(A708="","",IFERROR(XLOOKUP(A708,Tickets[TripKey],Tickets[VehClean]),""))</f>
        <v/>
      </c>
      <c r="I708">
        <f>IF(A708="","",IFERROR(XLOOKUP(A708,Tickets[TripKey],Tickets[RouteLen]),0))</f>
        <v/>
      </c>
      <c r="J708">
        <f>IF(A708="","",IFERROR(XLOOKUP(A708,Tickets[TripKey],Tickets[Capacity]),0))</f>
        <v/>
      </c>
      <c r="K708">
        <f>IF(A708="","",I708*J708)</f>
        <v/>
      </c>
      <c r="L708">
        <f>IF(A708="","",IFERROR(MINIFS(Tickets[Trip Start Time],Tickets[TripKey],A708),""))</f>
        <v/>
      </c>
    </row>
    <row r="709">
      <c r="B709" s="8">
        <f>IF(A709="","",IFERROR(DATEVALUE(TEXTBEFORE(A709,"|")),--LEFT(A709,10)))</f>
        <v/>
      </c>
      <c r="C709">
        <f>IF(A709="","",TEXTBEFORE(TEXTAFTER(A709,"|"),"|"))</f>
        <v/>
      </c>
      <c r="D709">
        <f>IF(A709="","",TEXTAFTER(A709,"|",2))</f>
        <v/>
      </c>
      <c r="E709">
        <f>IF(A709="","",SUMIF(Tickets[TripKey],A709,Tickets[TP]))</f>
        <v/>
      </c>
      <c r="F709">
        <f>IF(A709="","",SUMIF(Tickets[TripKey],A709,Tickets[Revenue]))</f>
        <v/>
      </c>
      <c r="G709">
        <f>IF(A709="","",SUMIF(Tickets[TripKey],A709,Tickets[PK]))</f>
        <v/>
      </c>
      <c r="H709">
        <f>IF(A709="","",IFERROR(XLOOKUP(A709,Tickets[TripKey],Tickets[VehClean]),""))</f>
        <v/>
      </c>
      <c r="I709">
        <f>IF(A709="","",IFERROR(XLOOKUP(A709,Tickets[TripKey],Tickets[RouteLen]),0))</f>
        <v/>
      </c>
      <c r="J709">
        <f>IF(A709="","",IFERROR(XLOOKUP(A709,Tickets[TripKey],Tickets[Capacity]),0))</f>
        <v/>
      </c>
      <c r="K709">
        <f>IF(A709="","",I709*J709)</f>
        <v/>
      </c>
      <c r="L709">
        <f>IF(A709="","",IFERROR(MINIFS(Tickets[Trip Start Time],Tickets[TripKey],A709),""))</f>
        <v/>
      </c>
    </row>
    <row r="710">
      <c r="B710" s="8">
        <f>IF(A710="","",IFERROR(DATEVALUE(TEXTBEFORE(A710,"|")),--LEFT(A710,10)))</f>
        <v/>
      </c>
      <c r="C710">
        <f>IF(A710="","",TEXTBEFORE(TEXTAFTER(A710,"|"),"|"))</f>
        <v/>
      </c>
      <c r="D710">
        <f>IF(A710="","",TEXTAFTER(A710,"|",2))</f>
        <v/>
      </c>
      <c r="E710">
        <f>IF(A710="","",SUMIF(Tickets[TripKey],A710,Tickets[TP]))</f>
        <v/>
      </c>
      <c r="F710">
        <f>IF(A710="","",SUMIF(Tickets[TripKey],A710,Tickets[Revenue]))</f>
        <v/>
      </c>
      <c r="G710">
        <f>IF(A710="","",SUMIF(Tickets[TripKey],A710,Tickets[PK]))</f>
        <v/>
      </c>
      <c r="H710">
        <f>IF(A710="","",IFERROR(XLOOKUP(A710,Tickets[TripKey],Tickets[VehClean]),""))</f>
        <v/>
      </c>
      <c r="I710">
        <f>IF(A710="","",IFERROR(XLOOKUP(A710,Tickets[TripKey],Tickets[RouteLen]),0))</f>
        <v/>
      </c>
      <c r="J710">
        <f>IF(A710="","",IFERROR(XLOOKUP(A710,Tickets[TripKey],Tickets[Capacity]),0))</f>
        <v/>
      </c>
      <c r="K710">
        <f>IF(A710="","",I710*J710)</f>
        <v/>
      </c>
      <c r="L710">
        <f>IF(A710="","",IFERROR(MINIFS(Tickets[Trip Start Time],Tickets[TripKey],A710),""))</f>
        <v/>
      </c>
    </row>
    <row r="711">
      <c r="B711" s="8">
        <f>IF(A711="","",IFERROR(DATEVALUE(TEXTBEFORE(A711,"|")),--LEFT(A711,10)))</f>
        <v/>
      </c>
      <c r="C711">
        <f>IF(A711="","",TEXTBEFORE(TEXTAFTER(A711,"|"),"|"))</f>
        <v/>
      </c>
      <c r="D711">
        <f>IF(A711="","",TEXTAFTER(A711,"|",2))</f>
        <v/>
      </c>
      <c r="E711">
        <f>IF(A711="","",SUMIF(Tickets[TripKey],A711,Tickets[TP]))</f>
        <v/>
      </c>
      <c r="F711">
        <f>IF(A711="","",SUMIF(Tickets[TripKey],A711,Tickets[Revenue]))</f>
        <v/>
      </c>
      <c r="G711">
        <f>IF(A711="","",SUMIF(Tickets[TripKey],A711,Tickets[PK]))</f>
        <v/>
      </c>
      <c r="H711">
        <f>IF(A711="","",IFERROR(XLOOKUP(A711,Tickets[TripKey],Tickets[VehClean]),""))</f>
        <v/>
      </c>
      <c r="I711">
        <f>IF(A711="","",IFERROR(XLOOKUP(A711,Tickets[TripKey],Tickets[RouteLen]),0))</f>
        <v/>
      </c>
      <c r="J711">
        <f>IF(A711="","",IFERROR(XLOOKUP(A711,Tickets[TripKey],Tickets[Capacity]),0))</f>
        <v/>
      </c>
      <c r="K711">
        <f>IF(A711="","",I711*J711)</f>
        <v/>
      </c>
      <c r="L711">
        <f>IF(A711="","",IFERROR(MINIFS(Tickets[Trip Start Time],Tickets[TripKey],A711),""))</f>
        <v/>
      </c>
    </row>
    <row r="712">
      <c r="B712" s="8">
        <f>IF(A712="","",IFERROR(DATEVALUE(TEXTBEFORE(A712,"|")),--LEFT(A712,10)))</f>
        <v/>
      </c>
      <c r="C712">
        <f>IF(A712="","",TEXTBEFORE(TEXTAFTER(A712,"|"),"|"))</f>
        <v/>
      </c>
      <c r="D712">
        <f>IF(A712="","",TEXTAFTER(A712,"|",2))</f>
        <v/>
      </c>
      <c r="E712">
        <f>IF(A712="","",SUMIF(Tickets[TripKey],A712,Tickets[TP]))</f>
        <v/>
      </c>
      <c r="F712">
        <f>IF(A712="","",SUMIF(Tickets[TripKey],A712,Tickets[Revenue]))</f>
        <v/>
      </c>
      <c r="G712">
        <f>IF(A712="","",SUMIF(Tickets[TripKey],A712,Tickets[PK]))</f>
        <v/>
      </c>
      <c r="H712">
        <f>IF(A712="","",IFERROR(XLOOKUP(A712,Tickets[TripKey],Tickets[VehClean]),""))</f>
        <v/>
      </c>
      <c r="I712">
        <f>IF(A712="","",IFERROR(XLOOKUP(A712,Tickets[TripKey],Tickets[RouteLen]),0))</f>
        <v/>
      </c>
      <c r="J712">
        <f>IF(A712="","",IFERROR(XLOOKUP(A712,Tickets[TripKey],Tickets[Capacity]),0))</f>
        <v/>
      </c>
      <c r="K712">
        <f>IF(A712="","",I712*J712)</f>
        <v/>
      </c>
      <c r="L712">
        <f>IF(A712="","",IFERROR(MINIFS(Tickets[Trip Start Time],Tickets[TripKey],A712),""))</f>
        <v/>
      </c>
    </row>
    <row r="713">
      <c r="B713" s="8">
        <f>IF(A713="","",IFERROR(DATEVALUE(TEXTBEFORE(A713,"|")),--LEFT(A713,10)))</f>
        <v/>
      </c>
      <c r="C713">
        <f>IF(A713="","",TEXTBEFORE(TEXTAFTER(A713,"|"),"|"))</f>
        <v/>
      </c>
      <c r="D713">
        <f>IF(A713="","",TEXTAFTER(A713,"|",2))</f>
        <v/>
      </c>
      <c r="E713">
        <f>IF(A713="","",SUMIF(Tickets[TripKey],A713,Tickets[TP]))</f>
        <v/>
      </c>
      <c r="F713">
        <f>IF(A713="","",SUMIF(Tickets[TripKey],A713,Tickets[Revenue]))</f>
        <v/>
      </c>
      <c r="G713">
        <f>IF(A713="","",SUMIF(Tickets[TripKey],A713,Tickets[PK]))</f>
        <v/>
      </c>
      <c r="H713">
        <f>IF(A713="","",IFERROR(XLOOKUP(A713,Tickets[TripKey],Tickets[VehClean]),""))</f>
        <v/>
      </c>
      <c r="I713">
        <f>IF(A713="","",IFERROR(XLOOKUP(A713,Tickets[TripKey],Tickets[RouteLen]),0))</f>
        <v/>
      </c>
      <c r="J713">
        <f>IF(A713="","",IFERROR(XLOOKUP(A713,Tickets[TripKey],Tickets[Capacity]),0))</f>
        <v/>
      </c>
      <c r="K713">
        <f>IF(A713="","",I713*J713)</f>
        <v/>
      </c>
      <c r="L713">
        <f>IF(A713="","",IFERROR(MINIFS(Tickets[Trip Start Time],Tickets[TripKey],A713),""))</f>
        <v/>
      </c>
    </row>
    <row r="714">
      <c r="B714" s="8">
        <f>IF(A714="","",IFERROR(DATEVALUE(TEXTBEFORE(A714,"|")),--LEFT(A714,10)))</f>
        <v/>
      </c>
      <c r="C714">
        <f>IF(A714="","",TEXTBEFORE(TEXTAFTER(A714,"|"),"|"))</f>
        <v/>
      </c>
      <c r="D714">
        <f>IF(A714="","",TEXTAFTER(A714,"|",2))</f>
        <v/>
      </c>
      <c r="E714">
        <f>IF(A714="","",SUMIF(Tickets[TripKey],A714,Tickets[TP]))</f>
        <v/>
      </c>
      <c r="F714">
        <f>IF(A714="","",SUMIF(Tickets[TripKey],A714,Tickets[Revenue]))</f>
        <v/>
      </c>
      <c r="G714">
        <f>IF(A714="","",SUMIF(Tickets[TripKey],A714,Tickets[PK]))</f>
        <v/>
      </c>
      <c r="H714">
        <f>IF(A714="","",IFERROR(XLOOKUP(A714,Tickets[TripKey],Tickets[VehClean]),""))</f>
        <v/>
      </c>
      <c r="I714">
        <f>IF(A714="","",IFERROR(XLOOKUP(A714,Tickets[TripKey],Tickets[RouteLen]),0))</f>
        <v/>
      </c>
      <c r="J714">
        <f>IF(A714="","",IFERROR(XLOOKUP(A714,Tickets[TripKey],Tickets[Capacity]),0))</f>
        <v/>
      </c>
      <c r="K714">
        <f>IF(A714="","",I714*J714)</f>
        <v/>
      </c>
      <c r="L714">
        <f>IF(A714="","",IFERROR(MINIFS(Tickets[Trip Start Time],Tickets[TripKey],A714),""))</f>
        <v/>
      </c>
    </row>
    <row r="715">
      <c r="B715" s="8">
        <f>IF(A715="","",IFERROR(DATEVALUE(TEXTBEFORE(A715,"|")),--LEFT(A715,10)))</f>
        <v/>
      </c>
      <c r="C715">
        <f>IF(A715="","",TEXTBEFORE(TEXTAFTER(A715,"|"),"|"))</f>
        <v/>
      </c>
      <c r="D715">
        <f>IF(A715="","",TEXTAFTER(A715,"|",2))</f>
        <v/>
      </c>
      <c r="E715">
        <f>IF(A715="","",SUMIF(Tickets[TripKey],A715,Tickets[TP]))</f>
        <v/>
      </c>
      <c r="F715">
        <f>IF(A715="","",SUMIF(Tickets[TripKey],A715,Tickets[Revenue]))</f>
        <v/>
      </c>
      <c r="G715">
        <f>IF(A715="","",SUMIF(Tickets[TripKey],A715,Tickets[PK]))</f>
        <v/>
      </c>
      <c r="H715">
        <f>IF(A715="","",IFERROR(XLOOKUP(A715,Tickets[TripKey],Tickets[VehClean]),""))</f>
        <v/>
      </c>
      <c r="I715">
        <f>IF(A715="","",IFERROR(XLOOKUP(A715,Tickets[TripKey],Tickets[RouteLen]),0))</f>
        <v/>
      </c>
      <c r="J715">
        <f>IF(A715="","",IFERROR(XLOOKUP(A715,Tickets[TripKey],Tickets[Capacity]),0))</f>
        <v/>
      </c>
      <c r="K715">
        <f>IF(A715="","",I715*J715)</f>
        <v/>
      </c>
      <c r="L715">
        <f>IF(A715="","",IFERROR(MINIFS(Tickets[Trip Start Time],Tickets[TripKey],A715),""))</f>
        <v/>
      </c>
    </row>
    <row r="716">
      <c r="B716" s="8">
        <f>IF(A716="","",IFERROR(DATEVALUE(TEXTBEFORE(A716,"|")),--LEFT(A716,10)))</f>
        <v/>
      </c>
      <c r="C716">
        <f>IF(A716="","",TEXTBEFORE(TEXTAFTER(A716,"|"),"|"))</f>
        <v/>
      </c>
      <c r="D716">
        <f>IF(A716="","",TEXTAFTER(A716,"|",2))</f>
        <v/>
      </c>
      <c r="E716">
        <f>IF(A716="","",SUMIF(Tickets[TripKey],A716,Tickets[TP]))</f>
        <v/>
      </c>
      <c r="F716">
        <f>IF(A716="","",SUMIF(Tickets[TripKey],A716,Tickets[Revenue]))</f>
        <v/>
      </c>
      <c r="G716">
        <f>IF(A716="","",SUMIF(Tickets[TripKey],A716,Tickets[PK]))</f>
        <v/>
      </c>
      <c r="H716">
        <f>IF(A716="","",IFERROR(XLOOKUP(A716,Tickets[TripKey],Tickets[VehClean]),""))</f>
        <v/>
      </c>
      <c r="I716">
        <f>IF(A716="","",IFERROR(XLOOKUP(A716,Tickets[TripKey],Tickets[RouteLen]),0))</f>
        <v/>
      </c>
      <c r="J716">
        <f>IF(A716="","",IFERROR(XLOOKUP(A716,Tickets[TripKey],Tickets[Capacity]),0))</f>
        <v/>
      </c>
      <c r="K716">
        <f>IF(A716="","",I716*J716)</f>
        <v/>
      </c>
      <c r="L716">
        <f>IF(A716="","",IFERROR(MINIFS(Tickets[Trip Start Time],Tickets[TripKey],A716),""))</f>
        <v/>
      </c>
    </row>
    <row r="717">
      <c r="B717" s="8">
        <f>IF(A717="","",IFERROR(DATEVALUE(TEXTBEFORE(A717,"|")),--LEFT(A717,10)))</f>
        <v/>
      </c>
      <c r="C717">
        <f>IF(A717="","",TEXTBEFORE(TEXTAFTER(A717,"|"),"|"))</f>
        <v/>
      </c>
      <c r="D717">
        <f>IF(A717="","",TEXTAFTER(A717,"|",2))</f>
        <v/>
      </c>
      <c r="E717">
        <f>IF(A717="","",SUMIF(Tickets[TripKey],A717,Tickets[TP]))</f>
        <v/>
      </c>
      <c r="F717">
        <f>IF(A717="","",SUMIF(Tickets[TripKey],A717,Tickets[Revenue]))</f>
        <v/>
      </c>
      <c r="G717">
        <f>IF(A717="","",SUMIF(Tickets[TripKey],A717,Tickets[PK]))</f>
        <v/>
      </c>
      <c r="H717">
        <f>IF(A717="","",IFERROR(XLOOKUP(A717,Tickets[TripKey],Tickets[VehClean]),""))</f>
        <v/>
      </c>
      <c r="I717">
        <f>IF(A717="","",IFERROR(XLOOKUP(A717,Tickets[TripKey],Tickets[RouteLen]),0))</f>
        <v/>
      </c>
      <c r="J717">
        <f>IF(A717="","",IFERROR(XLOOKUP(A717,Tickets[TripKey],Tickets[Capacity]),0))</f>
        <v/>
      </c>
      <c r="K717">
        <f>IF(A717="","",I717*J717)</f>
        <v/>
      </c>
      <c r="L717">
        <f>IF(A717="","",IFERROR(MINIFS(Tickets[Trip Start Time],Tickets[TripKey],A717),""))</f>
        <v/>
      </c>
    </row>
    <row r="718">
      <c r="B718" s="8">
        <f>IF(A718="","",IFERROR(DATEVALUE(TEXTBEFORE(A718,"|")),--LEFT(A718,10)))</f>
        <v/>
      </c>
      <c r="C718">
        <f>IF(A718="","",TEXTBEFORE(TEXTAFTER(A718,"|"),"|"))</f>
        <v/>
      </c>
      <c r="D718">
        <f>IF(A718="","",TEXTAFTER(A718,"|",2))</f>
        <v/>
      </c>
      <c r="E718">
        <f>IF(A718="","",SUMIF(Tickets[TripKey],A718,Tickets[TP]))</f>
        <v/>
      </c>
      <c r="F718">
        <f>IF(A718="","",SUMIF(Tickets[TripKey],A718,Tickets[Revenue]))</f>
        <v/>
      </c>
      <c r="G718">
        <f>IF(A718="","",SUMIF(Tickets[TripKey],A718,Tickets[PK]))</f>
        <v/>
      </c>
      <c r="H718">
        <f>IF(A718="","",IFERROR(XLOOKUP(A718,Tickets[TripKey],Tickets[VehClean]),""))</f>
        <v/>
      </c>
      <c r="I718">
        <f>IF(A718="","",IFERROR(XLOOKUP(A718,Tickets[TripKey],Tickets[RouteLen]),0))</f>
        <v/>
      </c>
      <c r="J718">
        <f>IF(A718="","",IFERROR(XLOOKUP(A718,Tickets[TripKey],Tickets[Capacity]),0))</f>
        <v/>
      </c>
      <c r="K718">
        <f>IF(A718="","",I718*J718)</f>
        <v/>
      </c>
      <c r="L718">
        <f>IF(A718="","",IFERROR(MINIFS(Tickets[Trip Start Time],Tickets[TripKey],A718),""))</f>
        <v/>
      </c>
    </row>
    <row r="719">
      <c r="B719" s="8">
        <f>IF(A719="","",IFERROR(DATEVALUE(TEXTBEFORE(A719,"|")),--LEFT(A719,10)))</f>
        <v/>
      </c>
      <c r="C719">
        <f>IF(A719="","",TEXTBEFORE(TEXTAFTER(A719,"|"),"|"))</f>
        <v/>
      </c>
      <c r="D719">
        <f>IF(A719="","",TEXTAFTER(A719,"|",2))</f>
        <v/>
      </c>
      <c r="E719">
        <f>IF(A719="","",SUMIF(Tickets[TripKey],A719,Tickets[TP]))</f>
        <v/>
      </c>
      <c r="F719">
        <f>IF(A719="","",SUMIF(Tickets[TripKey],A719,Tickets[Revenue]))</f>
        <v/>
      </c>
      <c r="G719">
        <f>IF(A719="","",SUMIF(Tickets[TripKey],A719,Tickets[PK]))</f>
        <v/>
      </c>
      <c r="H719">
        <f>IF(A719="","",IFERROR(XLOOKUP(A719,Tickets[TripKey],Tickets[VehClean]),""))</f>
        <v/>
      </c>
      <c r="I719">
        <f>IF(A719="","",IFERROR(XLOOKUP(A719,Tickets[TripKey],Tickets[RouteLen]),0))</f>
        <v/>
      </c>
      <c r="J719">
        <f>IF(A719="","",IFERROR(XLOOKUP(A719,Tickets[TripKey],Tickets[Capacity]),0))</f>
        <v/>
      </c>
      <c r="K719">
        <f>IF(A719="","",I719*J719)</f>
        <v/>
      </c>
      <c r="L719">
        <f>IF(A719="","",IFERROR(MINIFS(Tickets[Trip Start Time],Tickets[TripKey],A719),""))</f>
        <v/>
      </c>
    </row>
    <row r="720">
      <c r="B720" s="8">
        <f>IF(A720="","",IFERROR(DATEVALUE(TEXTBEFORE(A720,"|")),--LEFT(A720,10)))</f>
        <v/>
      </c>
      <c r="C720">
        <f>IF(A720="","",TEXTBEFORE(TEXTAFTER(A720,"|"),"|"))</f>
        <v/>
      </c>
      <c r="D720">
        <f>IF(A720="","",TEXTAFTER(A720,"|",2))</f>
        <v/>
      </c>
      <c r="E720">
        <f>IF(A720="","",SUMIF(Tickets[TripKey],A720,Tickets[TP]))</f>
        <v/>
      </c>
      <c r="F720">
        <f>IF(A720="","",SUMIF(Tickets[TripKey],A720,Tickets[Revenue]))</f>
        <v/>
      </c>
      <c r="G720">
        <f>IF(A720="","",SUMIF(Tickets[TripKey],A720,Tickets[PK]))</f>
        <v/>
      </c>
      <c r="H720">
        <f>IF(A720="","",IFERROR(XLOOKUP(A720,Tickets[TripKey],Tickets[VehClean]),""))</f>
        <v/>
      </c>
      <c r="I720">
        <f>IF(A720="","",IFERROR(XLOOKUP(A720,Tickets[TripKey],Tickets[RouteLen]),0))</f>
        <v/>
      </c>
      <c r="J720">
        <f>IF(A720="","",IFERROR(XLOOKUP(A720,Tickets[TripKey],Tickets[Capacity]),0))</f>
        <v/>
      </c>
      <c r="K720">
        <f>IF(A720="","",I720*J720)</f>
        <v/>
      </c>
      <c r="L720">
        <f>IF(A720="","",IFERROR(MINIFS(Tickets[Trip Start Time],Tickets[TripKey],A720),""))</f>
        <v/>
      </c>
    </row>
    <row r="721">
      <c r="B721" s="8">
        <f>IF(A721="","",IFERROR(DATEVALUE(TEXTBEFORE(A721,"|")),--LEFT(A721,10)))</f>
        <v/>
      </c>
      <c r="C721">
        <f>IF(A721="","",TEXTBEFORE(TEXTAFTER(A721,"|"),"|"))</f>
        <v/>
      </c>
      <c r="D721">
        <f>IF(A721="","",TEXTAFTER(A721,"|",2))</f>
        <v/>
      </c>
      <c r="E721">
        <f>IF(A721="","",SUMIF(Tickets[TripKey],A721,Tickets[TP]))</f>
        <v/>
      </c>
      <c r="F721">
        <f>IF(A721="","",SUMIF(Tickets[TripKey],A721,Tickets[Revenue]))</f>
        <v/>
      </c>
      <c r="G721">
        <f>IF(A721="","",SUMIF(Tickets[TripKey],A721,Tickets[PK]))</f>
        <v/>
      </c>
      <c r="H721">
        <f>IF(A721="","",IFERROR(XLOOKUP(A721,Tickets[TripKey],Tickets[VehClean]),""))</f>
        <v/>
      </c>
      <c r="I721">
        <f>IF(A721="","",IFERROR(XLOOKUP(A721,Tickets[TripKey],Tickets[RouteLen]),0))</f>
        <v/>
      </c>
      <c r="J721">
        <f>IF(A721="","",IFERROR(XLOOKUP(A721,Tickets[TripKey],Tickets[Capacity]),0))</f>
        <v/>
      </c>
      <c r="K721">
        <f>IF(A721="","",I721*J721)</f>
        <v/>
      </c>
      <c r="L721">
        <f>IF(A721="","",IFERROR(MINIFS(Tickets[Trip Start Time],Tickets[TripKey],A721),""))</f>
        <v/>
      </c>
    </row>
    <row r="722">
      <c r="B722" s="8">
        <f>IF(A722="","",IFERROR(DATEVALUE(TEXTBEFORE(A722,"|")),--LEFT(A722,10)))</f>
        <v/>
      </c>
      <c r="C722">
        <f>IF(A722="","",TEXTBEFORE(TEXTAFTER(A722,"|"),"|"))</f>
        <v/>
      </c>
      <c r="D722">
        <f>IF(A722="","",TEXTAFTER(A722,"|",2))</f>
        <v/>
      </c>
      <c r="E722">
        <f>IF(A722="","",SUMIF(Tickets[TripKey],A722,Tickets[TP]))</f>
        <v/>
      </c>
      <c r="F722">
        <f>IF(A722="","",SUMIF(Tickets[TripKey],A722,Tickets[Revenue]))</f>
        <v/>
      </c>
      <c r="G722">
        <f>IF(A722="","",SUMIF(Tickets[TripKey],A722,Tickets[PK]))</f>
        <v/>
      </c>
      <c r="H722">
        <f>IF(A722="","",IFERROR(XLOOKUP(A722,Tickets[TripKey],Tickets[VehClean]),""))</f>
        <v/>
      </c>
      <c r="I722">
        <f>IF(A722="","",IFERROR(XLOOKUP(A722,Tickets[TripKey],Tickets[RouteLen]),0))</f>
        <v/>
      </c>
      <c r="J722">
        <f>IF(A722="","",IFERROR(XLOOKUP(A722,Tickets[TripKey],Tickets[Capacity]),0))</f>
        <v/>
      </c>
      <c r="K722">
        <f>IF(A722="","",I722*J722)</f>
        <v/>
      </c>
      <c r="L722">
        <f>IF(A722="","",IFERROR(MINIFS(Tickets[Trip Start Time],Tickets[TripKey],A722),""))</f>
        <v/>
      </c>
    </row>
    <row r="723">
      <c r="B723" s="8">
        <f>IF(A723="","",IFERROR(DATEVALUE(TEXTBEFORE(A723,"|")),--LEFT(A723,10)))</f>
        <v/>
      </c>
      <c r="C723">
        <f>IF(A723="","",TEXTBEFORE(TEXTAFTER(A723,"|"),"|"))</f>
        <v/>
      </c>
      <c r="D723">
        <f>IF(A723="","",TEXTAFTER(A723,"|",2))</f>
        <v/>
      </c>
      <c r="E723">
        <f>IF(A723="","",SUMIF(Tickets[TripKey],A723,Tickets[TP]))</f>
        <v/>
      </c>
      <c r="F723">
        <f>IF(A723="","",SUMIF(Tickets[TripKey],A723,Tickets[Revenue]))</f>
        <v/>
      </c>
      <c r="G723">
        <f>IF(A723="","",SUMIF(Tickets[TripKey],A723,Tickets[PK]))</f>
        <v/>
      </c>
      <c r="H723">
        <f>IF(A723="","",IFERROR(XLOOKUP(A723,Tickets[TripKey],Tickets[VehClean]),""))</f>
        <v/>
      </c>
      <c r="I723">
        <f>IF(A723="","",IFERROR(XLOOKUP(A723,Tickets[TripKey],Tickets[RouteLen]),0))</f>
        <v/>
      </c>
      <c r="J723">
        <f>IF(A723="","",IFERROR(XLOOKUP(A723,Tickets[TripKey],Tickets[Capacity]),0))</f>
        <v/>
      </c>
      <c r="K723">
        <f>IF(A723="","",I723*J723)</f>
        <v/>
      </c>
      <c r="L723">
        <f>IF(A723="","",IFERROR(MINIFS(Tickets[Trip Start Time],Tickets[TripKey],A723),""))</f>
        <v/>
      </c>
    </row>
    <row r="724">
      <c r="B724" s="8">
        <f>IF(A724="","",IFERROR(DATEVALUE(TEXTBEFORE(A724,"|")),--LEFT(A724,10)))</f>
        <v/>
      </c>
      <c r="C724">
        <f>IF(A724="","",TEXTBEFORE(TEXTAFTER(A724,"|"),"|"))</f>
        <v/>
      </c>
      <c r="D724">
        <f>IF(A724="","",TEXTAFTER(A724,"|",2))</f>
        <v/>
      </c>
      <c r="E724">
        <f>IF(A724="","",SUMIF(Tickets[TripKey],A724,Tickets[TP]))</f>
        <v/>
      </c>
      <c r="F724">
        <f>IF(A724="","",SUMIF(Tickets[TripKey],A724,Tickets[Revenue]))</f>
        <v/>
      </c>
      <c r="G724">
        <f>IF(A724="","",SUMIF(Tickets[TripKey],A724,Tickets[PK]))</f>
        <v/>
      </c>
      <c r="H724">
        <f>IF(A724="","",IFERROR(XLOOKUP(A724,Tickets[TripKey],Tickets[VehClean]),""))</f>
        <v/>
      </c>
      <c r="I724">
        <f>IF(A724="","",IFERROR(XLOOKUP(A724,Tickets[TripKey],Tickets[RouteLen]),0))</f>
        <v/>
      </c>
      <c r="J724">
        <f>IF(A724="","",IFERROR(XLOOKUP(A724,Tickets[TripKey],Tickets[Capacity]),0))</f>
        <v/>
      </c>
      <c r="K724">
        <f>IF(A724="","",I724*J724)</f>
        <v/>
      </c>
      <c r="L724">
        <f>IF(A724="","",IFERROR(MINIFS(Tickets[Trip Start Time],Tickets[TripKey],A724),""))</f>
        <v/>
      </c>
    </row>
    <row r="725">
      <c r="B725" s="8">
        <f>IF(A725="","",IFERROR(DATEVALUE(TEXTBEFORE(A725,"|")),--LEFT(A725,10)))</f>
        <v/>
      </c>
      <c r="C725">
        <f>IF(A725="","",TEXTBEFORE(TEXTAFTER(A725,"|"),"|"))</f>
        <v/>
      </c>
      <c r="D725">
        <f>IF(A725="","",TEXTAFTER(A725,"|",2))</f>
        <v/>
      </c>
      <c r="E725">
        <f>IF(A725="","",SUMIF(Tickets[TripKey],A725,Tickets[TP]))</f>
        <v/>
      </c>
      <c r="F725">
        <f>IF(A725="","",SUMIF(Tickets[TripKey],A725,Tickets[Revenue]))</f>
        <v/>
      </c>
      <c r="G725">
        <f>IF(A725="","",SUMIF(Tickets[TripKey],A725,Tickets[PK]))</f>
        <v/>
      </c>
      <c r="H725">
        <f>IF(A725="","",IFERROR(XLOOKUP(A725,Tickets[TripKey],Tickets[VehClean]),""))</f>
        <v/>
      </c>
      <c r="I725">
        <f>IF(A725="","",IFERROR(XLOOKUP(A725,Tickets[TripKey],Tickets[RouteLen]),0))</f>
        <v/>
      </c>
      <c r="J725">
        <f>IF(A725="","",IFERROR(XLOOKUP(A725,Tickets[TripKey],Tickets[Capacity]),0))</f>
        <v/>
      </c>
      <c r="K725">
        <f>IF(A725="","",I725*J725)</f>
        <v/>
      </c>
      <c r="L725">
        <f>IF(A725="","",IFERROR(MINIFS(Tickets[Trip Start Time],Tickets[TripKey],A725),""))</f>
        <v/>
      </c>
    </row>
    <row r="726">
      <c r="B726" s="8">
        <f>IF(A726="","",IFERROR(DATEVALUE(TEXTBEFORE(A726,"|")),--LEFT(A726,10)))</f>
        <v/>
      </c>
      <c r="C726">
        <f>IF(A726="","",TEXTBEFORE(TEXTAFTER(A726,"|"),"|"))</f>
        <v/>
      </c>
      <c r="D726">
        <f>IF(A726="","",TEXTAFTER(A726,"|",2))</f>
        <v/>
      </c>
      <c r="E726">
        <f>IF(A726="","",SUMIF(Tickets[TripKey],A726,Tickets[TP]))</f>
        <v/>
      </c>
      <c r="F726">
        <f>IF(A726="","",SUMIF(Tickets[TripKey],A726,Tickets[Revenue]))</f>
        <v/>
      </c>
      <c r="G726">
        <f>IF(A726="","",SUMIF(Tickets[TripKey],A726,Tickets[PK]))</f>
        <v/>
      </c>
      <c r="H726">
        <f>IF(A726="","",IFERROR(XLOOKUP(A726,Tickets[TripKey],Tickets[VehClean]),""))</f>
        <v/>
      </c>
      <c r="I726">
        <f>IF(A726="","",IFERROR(XLOOKUP(A726,Tickets[TripKey],Tickets[RouteLen]),0))</f>
        <v/>
      </c>
      <c r="J726">
        <f>IF(A726="","",IFERROR(XLOOKUP(A726,Tickets[TripKey],Tickets[Capacity]),0))</f>
        <v/>
      </c>
      <c r="K726">
        <f>IF(A726="","",I726*J726)</f>
        <v/>
      </c>
      <c r="L726">
        <f>IF(A726="","",IFERROR(MINIFS(Tickets[Trip Start Time],Tickets[TripKey],A726),""))</f>
        <v/>
      </c>
    </row>
    <row r="727">
      <c r="B727" s="8">
        <f>IF(A727="","",IFERROR(DATEVALUE(TEXTBEFORE(A727,"|")),--LEFT(A727,10)))</f>
        <v/>
      </c>
      <c r="C727">
        <f>IF(A727="","",TEXTBEFORE(TEXTAFTER(A727,"|"),"|"))</f>
        <v/>
      </c>
      <c r="D727">
        <f>IF(A727="","",TEXTAFTER(A727,"|",2))</f>
        <v/>
      </c>
      <c r="E727">
        <f>IF(A727="","",SUMIF(Tickets[TripKey],A727,Tickets[TP]))</f>
        <v/>
      </c>
      <c r="F727">
        <f>IF(A727="","",SUMIF(Tickets[TripKey],A727,Tickets[Revenue]))</f>
        <v/>
      </c>
      <c r="G727">
        <f>IF(A727="","",SUMIF(Tickets[TripKey],A727,Tickets[PK]))</f>
        <v/>
      </c>
      <c r="H727">
        <f>IF(A727="","",IFERROR(XLOOKUP(A727,Tickets[TripKey],Tickets[VehClean]),""))</f>
        <v/>
      </c>
      <c r="I727">
        <f>IF(A727="","",IFERROR(XLOOKUP(A727,Tickets[TripKey],Tickets[RouteLen]),0))</f>
        <v/>
      </c>
      <c r="J727">
        <f>IF(A727="","",IFERROR(XLOOKUP(A727,Tickets[TripKey],Tickets[Capacity]),0))</f>
        <v/>
      </c>
      <c r="K727">
        <f>IF(A727="","",I727*J727)</f>
        <v/>
      </c>
      <c r="L727">
        <f>IF(A727="","",IFERROR(MINIFS(Tickets[Trip Start Time],Tickets[TripKey],A727),""))</f>
        <v/>
      </c>
    </row>
    <row r="728">
      <c r="B728" s="8">
        <f>IF(A728="","",IFERROR(DATEVALUE(TEXTBEFORE(A728,"|")),--LEFT(A728,10)))</f>
        <v/>
      </c>
      <c r="C728">
        <f>IF(A728="","",TEXTBEFORE(TEXTAFTER(A728,"|"),"|"))</f>
        <v/>
      </c>
      <c r="D728">
        <f>IF(A728="","",TEXTAFTER(A728,"|",2))</f>
        <v/>
      </c>
      <c r="E728">
        <f>IF(A728="","",SUMIF(Tickets[TripKey],A728,Tickets[TP]))</f>
        <v/>
      </c>
      <c r="F728">
        <f>IF(A728="","",SUMIF(Tickets[TripKey],A728,Tickets[Revenue]))</f>
        <v/>
      </c>
      <c r="G728">
        <f>IF(A728="","",SUMIF(Tickets[TripKey],A728,Tickets[PK]))</f>
        <v/>
      </c>
      <c r="H728">
        <f>IF(A728="","",IFERROR(XLOOKUP(A728,Tickets[TripKey],Tickets[VehClean]),""))</f>
        <v/>
      </c>
      <c r="I728">
        <f>IF(A728="","",IFERROR(XLOOKUP(A728,Tickets[TripKey],Tickets[RouteLen]),0))</f>
        <v/>
      </c>
      <c r="J728">
        <f>IF(A728="","",IFERROR(XLOOKUP(A728,Tickets[TripKey],Tickets[Capacity]),0))</f>
        <v/>
      </c>
      <c r="K728">
        <f>IF(A728="","",I728*J728)</f>
        <v/>
      </c>
      <c r="L728">
        <f>IF(A728="","",IFERROR(MINIFS(Tickets[Trip Start Time],Tickets[TripKey],A728),""))</f>
        <v/>
      </c>
    </row>
    <row r="729">
      <c r="B729" s="8">
        <f>IF(A729="","",IFERROR(DATEVALUE(TEXTBEFORE(A729,"|")),--LEFT(A729,10)))</f>
        <v/>
      </c>
      <c r="C729">
        <f>IF(A729="","",TEXTBEFORE(TEXTAFTER(A729,"|"),"|"))</f>
        <v/>
      </c>
      <c r="D729">
        <f>IF(A729="","",TEXTAFTER(A729,"|",2))</f>
        <v/>
      </c>
      <c r="E729">
        <f>IF(A729="","",SUMIF(Tickets[TripKey],A729,Tickets[TP]))</f>
        <v/>
      </c>
      <c r="F729">
        <f>IF(A729="","",SUMIF(Tickets[TripKey],A729,Tickets[Revenue]))</f>
        <v/>
      </c>
      <c r="G729">
        <f>IF(A729="","",SUMIF(Tickets[TripKey],A729,Tickets[PK]))</f>
        <v/>
      </c>
      <c r="H729">
        <f>IF(A729="","",IFERROR(XLOOKUP(A729,Tickets[TripKey],Tickets[VehClean]),""))</f>
        <v/>
      </c>
      <c r="I729">
        <f>IF(A729="","",IFERROR(XLOOKUP(A729,Tickets[TripKey],Tickets[RouteLen]),0))</f>
        <v/>
      </c>
      <c r="J729">
        <f>IF(A729="","",IFERROR(XLOOKUP(A729,Tickets[TripKey],Tickets[Capacity]),0))</f>
        <v/>
      </c>
      <c r="K729">
        <f>IF(A729="","",I729*J729)</f>
        <v/>
      </c>
      <c r="L729">
        <f>IF(A729="","",IFERROR(MINIFS(Tickets[Trip Start Time],Tickets[TripKey],A729),""))</f>
        <v/>
      </c>
    </row>
    <row r="730">
      <c r="B730" s="8">
        <f>IF(A730="","",IFERROR(DATEVALUE(TEXTBEFORE(A730,"|")),--LEFT(A730,10)))</f>
        <v/>
      </c>
      <c r="C730">
        <f>IF(A730="","",TEXTBEFORE(TEXTAFTER(A730,"|"),"|"))</f>
        <v/>
      </c>
      <c r="D730">
        <f>IF(A730="","",TEXTAFTER(A730,"|",2))</f>
        <v/>
      </c>
      <c r="E730">
        <f>IF(A730="","",SUMIF(Tickets[TripKey],A730,Tickets[TP]))</f>
        <v/>
      </c>
      <c r="F730">
        <f>IF(A730="","",SUMIF(Tickets[TripKey],A730,Tickets[Revenue]))</f>
        <v/>
      </c>
      <c r="G730">
        <f>IF(A730="","",SUMIF(Tickets[TripKey],A730,Tickets[PK]))</f>
        <v/>
      </c>
      <c r="H730">
        <f>IF(A730="","",IFERROR(XLOOKUP(A730,Tickets[TripKey],Tickets[VehClean]),""))</f>
        <v/>
      </c>
      <c r="I730">
        <f>IF(A730="","",IFERROR(XLOOKUP(A730,Tickets[TripKey],Tickets[RouteLen]),0))</f>
        <v/>
      </c>
      <c r="J730">
        <f>IF(A730="","",IFERROR(XLOOKUP(A730,Tickets[TripKey],Tickets[Capacity]),0))</f>
        <v/>
      </c>
      <c r="K730">
        <f>IF(A730="","",I730*J730)</f>
        <v/>
      </c>
      <c r="L730">
        <f>IF(A730="","",IFERROR(MINIFS(Tickets[Trip Start Time],Tickets[TripKey],A730),""))</f>
        <v/>
      </c>
    </row>
    <row r="731">
      <c r="B731" s="8">
        <f>IF(A731="","",IFERROR(DATEVALUE(TEXTBEFORE(A731,"|")),--LEFT(A731,10)))</f>
        <v/>
      </c>
      <c r="C731">
        <f>IF(A731="","",TEXTBEFORE(TEXTAFTER(A731,"|"),"|"))</f>
        <v/>
      </c>
      <c r="D731">
        <f>IF(A731="","",TEXTAFTER(A731,"|",2))</f>
        <v/>
      </c>
      <c r="E731">
        <f>IF(A731="","",SUMIF(Tickets[TripKey],A731,Tickets[TP]))</f>
        <v/>
      </c>
      <c r="F731">
        <f>IF(A731="","",SUMIF(Tickets[TripKey],A731,Tickets[Revenue]))</f>
        <v/>
      </c>
      <c r="G731">
        <f>IF(A731="","",SUMIF(Tickets[TripKey],A731,Tickets[PK]))</f>
        <v/>
      </c>
      <c r="H731">
        <f>IF(A731="","",IFERROR(XLOOKUP(A731,Tickets[TripKey],Tickets[VehClean]),""))</f>
        <v/>
      </c>
      <c r="I731">
        <f>IF(A731="","",IFERROR(XLOOKUP(A731,Tickets[TripKey],Tickets[RouteLen]),0))</f>
        <v/>
      </c>
      <c r="J731">
        <f>IF(A731="","",IFERROR(XLOOKUP(A731,Tickets[TripKey],Tickets[Capacity]),0))</f>
        <v/>
      </c>
      <c r="K731">
        <f>IF(A731="","",I731*J731)</f>
        <v/>
      </c>
      <c r="L731">
        <f>IF(A731="","",IFERROR(MINIFS(Tickets[Trip Start Time],Tickets[TripKey],A731),""))</f>
        <v/>
      </c>
    </row>
    <row r="732">
      <c r="B732" s="8">
        <f>IF(A732="","",IFERROR(DATEVALUE(TEXTBEFORE(A732,"|")),--LEFT(A732,10)))</f>
        <v/>
      </c>
      <c r="C732">
        <f>IF(A732="","",TEXTBEFORE(TEXTAFTER(A732,"|"),"|"))</f>
        <v/>
      </c>
      <c r="D732">
        <f>IF(A732="","",TEXTAFTER(A732,"|",2))</f>
        <v/>
      </c>
      <c r="E732">
        <f>IF(A732="","",SUMIF(Tickets[TripKey],A732,Tickets[TP]))</f>
        <v/>
      </c>
      <c r="F732">
        <f>IF(A732="","",SUMIF(Tickets[TripKey],A732,Tickets[Revenue]))</f>
        <v/>
      </c>
      <c r="G732">
        <f>IF(A732="","",SUMIF(Tickets[TripKey],A732,Tickets[PK]))</f>
        <v/>
      </c>
      <c r="H732">
        <f>IF(A732="","",IFERROR(XLOOKUP(A732,Tickets[TripKey],Tickets[VehClean]),""))</f>
        <v/>
      </c>
      <c r="I732">
        <f>IF(A732="","",IFERROR(XLOOKUP(A732,Tickets[TripKey],Tickets[RouteLen]),0))</f>
        <v/>
      </c>
      <c r="J732">
        <f>IF(A732="","",IFERROR(XLOOKUP(A732,Tickets[TripKey],Tickets[Capacity]),0))</f>
        <v/>
      </c>
      <c r="K732">
        <f>IF(A732="","",I732*J732)</f>
        <v/>
      </c>
      <c r="L732">
        <f>IF(A732="","",IFERROR(MINIFS(Tickets[Trip Start Time],Tickets[TripKey],A732),""))</f>
        <v/>
      </c>
    </row>
    <row r="733">
      <c r="B733" s="8">
        <f>IF(A733="","",IFERROR(DATEVALUE(TEXTBEFORE(A733,"|")),--LEFT(A733,10)))</f>
        <v/>
      </c>
      <c r="C733">
        <f>IF(A733="","",TEXTBEFORE(TEXTAFTER(A733,"|"),"|"))</f>
        <v/>
      </c>
      <c r="D733">
        <f>IF(A733="","",TEXTAFTER(A733,"|",2))</f>
        <v/>
      </c>
      <c r="E733">
        <f>IF(A733="","",SUMIF(Tickets[TripKey],A733,Tickets[TP]))</f>
        <v/>
      </c>
      <c r="F733">
        <f>IF(A733="","",SUMIF(Tickets[TripKey],A733,Tickets[Revenue]))</f>
        <v/>
      </c>
      <c r="G733">
        <f>IF(A733="","",SUMIF(Tickets[TripKey],A733,Tickets[PK]))</f>
        <v/>
      </c>
      <c r="H733">
        <f>IF(A733="","",IFERROR(XLOOKUP(A733,Tickets[TripKey],Tickets[VehClean]),""))</f>
        <v/>
      </c>
      <c r="I733">
        <f>IF(A733="","",IFERROR(XLOOKUP(A733,Tickets[TripKey],Tickets[RouteLen]),0))</f>
        <v/>
      </c>
      <c r="J733">
        <f>IF(A733="","",IFERROR(XLOOKUP(A733,Tickets[TripKey],Tickets[Capacity]),0))</f>
        <v/>
      </c>
      <c r="K733">
        <f>IF(A733="","",I733*J733)</f>
        <v/>
      </c>
      <c r="L733">
        <f>IF(A733="","",IFERROR(MINIFS(Tickets[Trip Start Time],Tickets[TripKey],A733),""))</f>
        <v/>
      </c>
    </row>
    <row r="734">
      <c r="B734" s="8">
        <f>IF(A734="","",IFERROR(DATEVALUE(TEXTBEFORE(A734,"|")),--LEFT(A734,10)))</f>
        <v/>
      </c>
      <c r="C734">
        <f>IF(A734="","",TEXTBEFORE(TEXTAFTER(A734,"|"),"|"))</f>
        <v/>
      </c>
      <c r="D734">
        <f>IF(A734="","",TEXTAFTER(A734,"|",2))</f>
        <v/>
      </c>
      <c r="E734">
        <f>IF(A734="","",SUMIF(Tickets[TripKey],A734,Tickets[TP]))</f>
        <v/>
      </c>
      <c r="F734">
        <f>IF(A734="","",SUMIF(Tickets[TripKey],A734,Tickets[Revenue]))</f>
        <v/>
      </c>
      <c r="G734">
        <f>IF(A734="","",SUMIF(Tickets[TripKey],A734,Tickets[PK]))</f>
        <v/>
      </c>
      <c r="H734">
        <f>IF(A734="","",IFERROR(XLOOKUP(A734,Tickets[TripKey],Tickets[VehClean]),""))</f>
        <v/>
      </c>
      <c r="I734">
        <f>IF(A734="","",IFERROR(XLOOKUP(A734,Tickets[TripKey],Tickets[RouteLen]),0))</f>
        <v/>
      </c>
      <c r="J734">
        <f>IF(A734="","",IFERROR(XLOOKUP(A734,Tickets[TripKey],Tickets[Capacity]),0))</f>
        <v/>
      </c>
      <c r="K734">
        <f>IF(A734="","",I734*J734)</f>
        <v/>
      </c>
      <c r="L734">
        <f>IF(A734="","",IFERROR(MINIFS(Tickets[Trip Start Time],Tickets[TripKey],A734),""))</f>
        <v/>
      </c>
    </row>
    <row r="735">
      <c r="B735" s="8">
        <f>IF(A735="","",IFERROR(DATEVALUE(TEXTBEFORE(A735,"|")),--LEFT(A735,10)))</f>
        <v/>
      </c>
      <c r="C735">
        <f>IF(A735="","",TEXTBEFORE(TEXTAFTER(A735,"|"),"|"))</f>
        <v/>
      </c>
      <c r="D735">
        <f>IF(A735="","",TEXTAFTER(A735,"|",2))</f>
        <v/>
      </c>
      <c r="E735">
        <f>IF(A735="","",SUMIF(Tickets[TripKey],A735,Tickets[TP]))</f>
        <v/>
      </c>
      <c r="F735">
        <f>IF(A735="","",SUMIF(Tickets[TripKey],A735,Tickets[Revenue]))</f>
        <v/>
      </c>
      <c r="G735">
        <f>IF(A735="","",SUMIF(Tickets[TripKey],A735,Tickets[PK]))</f>
        <v/>
      </c>
      <c r="H735">
        <f>IF(A735="","",IFERROR(XLOOKUP(A735,Tickets[TripKey],Tickets[VehClean]),""))</f>
        <v/>
      </c>
      <c r="I735">
        <f>IF(A735="","",IFERROR(XLOOKUP(A735,Tickets[TripKey],Tickets[RouteLen]),0))</f>
        <v/>
      </c>
      <c r="J735">
        <f>IF(A735="","",IFERROR(XLOOKUP(A735,Tickets[TripKey],Tickets[Capacity]),0))</f>
        <v/>
      </c>
      <c r="K735">
        <f>IF(A735="","",I735*J735)</f>
        <v/>
      </c>
      <c r="L735">
        <f>IF(A735="","",IFERROR(MINIFS(Tickets[Trip Start Time],Tickets[TripKey],A735),""))</f>
        <v/>
      </c>
    </row>
    <row r="736">
      <c r="B736" s="8">
        <f>IF(A736="","",IFERROR(DATEVALUE(TEXTBEFORE(A736,"|")),--LEFT(A736,10)))</f>
        <v/>
      </c>
      <c r="C736">
        <f>IF(A736="","",TEXTBEFORE(TEXTAFTER(A736,"|"),"|"))</f>
        <v/>
      </c>
      <c r="D736">
        <f>IF(A736="","",TEXTAFTER(A736,"|",2))</f>
        <v/>
      </c>
      <c r="E736">
        <f>IF(A736="","",SUMIF(Tickets[TripKey],A736,Tickets[TP]))</f>
        <v/>
      </c>
      <c r="F736">
        <f>IF(A736="","",SUMIF(Tickets[TripKey],A736,Tickets[Revenue]))</f>
        <v/>
      </c>
      <c r="G736">
        <f>IF(A736="","",SUMIF(Tickets[TripKey],A736,Tickets[PK]))</f>
        <v/>
      </c>
      <c r="H736">
        <f>IF(A736="","",IFERROR(XLOOKUP(A736,Tickets[TripKey],Tickets[VehClean]),""))</f>
        <v/>
      </c>
      <c r="I736">
        <f>IF(A736="","",IFERROR(XLOOKUP(A736,Tickets[TripKey],Tickets[RouteLen]),0))</f>
        <v/>
      </c>
      <c r="J736">
        <f>IF(A736="","",IFERROR(XLOOKUP(A736,Tickets[TripKey],Tickets[Capacity]),0))</f>
        <v/>
      </c>
      <c r="K736">
        <f>IF(A736="","",I736*J736)</f>
        <v/>
      </c>
      <c r="L736">
        <f>IF(A736="","",IFERROR(MINIFS(Tickets[Trip Start Time],Tickets[TripKey],A736),""))</f>
        <v/>
      </c>
    </row>
    <row r="737">
      <c r="B737" s="8">
        <f>IF(A737="","",IFERROR(DATEVALUE(TEXTBEFORE(A737,"|")),--LEFT(A737,10)))</f>
        <v/>
      </c>
      <c r="C737">
        <f>IF(A737="","",TEXTBEFORE(TEXTAFTER(A737,"|"),"|"))</f>
        <v/>
      </c>
      <c r="D737">
        <f>IF(A737="","",TEXTAFTER(A737,"|",2))</f>
        <v/>
      </c>
      <c r="E737">
        <f>IF(A737="","",SUMIF(Tickets[TripKey],A737,Tickets[TP]))</f>
        <v/>
      </c>
      <c r="F737">
        <f>IF(A737="","",SUMIF(Tickets[TripKey],A737,Tickets[Revenue]))</f>
        <v/>
      </c>
      <c r="G737">
        <f>IF(A737="","",SUMIF(Tickets[TripKey],A737,Tickets[PK]))</f>
        <v/>
      </c>
      <c r="H737">
        <f>IF(A737="","",IFERROR(XLOOKUP(A737,Tickets[TripKey],Tickets[VehClean]),""))</f>
        <v/>
      </c>
      <c r="I737">
        <f>IF(A737="","",IFERROR(XLOOKUP(A737,Tickets[TripKey],Tickets[RouteLen]),0))</f>
        <v/>
      </c>
      <c r="J737">
        <f>IF(A737="","",IFERROR(XLOOKUP(A737,Tickets[TripKey],Tickets[Capacity]),0))</f>
        <v/>
      </c>
      <c r="K737">
        <f>IF(A737="","",I737*J737)</f>
        <v/>
      </c>
      <c r="L737">
        <f>IF(A737="","",IFERROR(MINIFS(Tickets[Trip Start Time],Tickets[TripKey],A737),""))</f>
        <v/>
      </c>
    </row>
    <row r="738">
      <c r="B738" s="8">
        <f>IF(A738="","",IFERROR(DATEVALUE(TEXTBEFORE(A738,"|")),--LEFT(A738,10)))</f>
        <v/>
      </c>
      <c r="C738">
        <f>IF(A738="","",TEXTBEFORE(TEXTAFTER(A738,"|"),"|"))</f>
        <v/>
      </c>
      <c r="D738">
        <f>IF(A738="","",TEXTAFTER(A738,"|",2))</f>
        <v/>
      </c>
      <c r="E738">
        <f>IF(A738="","",SUMIF(Tickets[TripKey],A738,Tickets[TP]))</f>
        <v/>
      </c>
      <c r="F738">
        <f>IF(A738="","",SUMIF(Tickets[TripKey],A738,Tickets[Revenue]))</f>
        <v/>
      </c>
      <c r="G738">
        <f>IF(A738="","",SUMIF(Tickets[TripKey],A738,Tickets[PK]))</f>
        <v/>
      </c>
      <c r="H738">
        <f>IF(A738="","",IFERROR(XLOOKUP(A738,Tickets[TripKey],Tickets[VehClean]),""))</f>
        <v/>
      </c>
      <c r="I738">
        <f>IF(A738="","",IFERROR(XLOOKUP(A738,Tickets[TripKey],Tickets[RouteLen]),0))</f>
        <v/>
      </c>
      <c r="J738">
        <f>IF(A738="","",IFERROR(XLOOKUP(A738,Tickets[TripKey],Tickets[Capacity]),0))</f>
        <v/>
      </c>
      <c r="K738">
        <f>IF(A738="","",I738*J738)</f>
        <v/>
      </c>
      <c r="L738">
        <f>IF(A738="","",IFERROR(MINIFS(Tickets[Trip Start Time],Tickets[TripKey],A738),""))</f>
        <v/>
      </c>
    </row>
    <row r="739">
      <c r="B739" s="8">
        <f>IF(A739="","",IFERROR(DATEVALUE(TEXTBEFORE(A739,"|")),--LEFT(A739,10)))</f>
        <v/>
      </c>
      <c r="C739">
        <f>IF(A739="","",TEXTBEFORE(TEXTAFTER(A739,"|"),"|"))</f>
        <v/>
      </c>
      <c r="D739">
        <f>IF(A739="","",TEXTAFTER(A739,"|",2))</f>
        <v/>
      </c>
      <c r="E739">
        <f>IF(A739="","",SUMIF(Tickets[TripKey],A739,Tickets[TP]))</f>
        <v/>
      </c>
      <c r="F739">
        <f>IF(A739="","",SUMIF(Tickets[TripKey],A739,Tickets[Revenue]))</f>
        <v/>
      </c>
      <c r="G739">
        <f>IF(A739="","",SUMIF(Tickets[TripKey],A739,Tickets[PK]))</f>
        <v/>
      </c>
      <c r="H739">
        <f>IF(A739="","",IFERROR(XLOOKUP(A739,Tickets[TripKey],Tickets[VehClean]),""))</f>
        <v/>
      </c>
      <c r="I739">
        <f>IF(A739="","",IFERROR(XLOOKUP(A739,Tickets[TripKey],Tickets[RouteLen]),0))</f>
        <v/>
      </c>
      <c r="J739">
        <f>IF(A739="","",IFERROR(XLOOKUP(A739,Tickets[TripKey],Tickets[Capacity]),0))</f>
        <v/>
      </c>
      <c r="K739">
        <f>IF(A739="","",I739*J739)</f>
        <v/>
      </c>
      <c r="L739">
        <f>IF(A739="","",IFERROR(MINIFS(Tickets[Trip Start Time],Tickets[TripKey],A739),""))</f>
        <v/>
      </c>
    </row>
    <row r="740">
      <c r="B740" s="8">
        <f>IF(A740="","",IFERROR(DATEVALUE(TEXTBEFORE(A740,"|")),--LEFT(A740,10)))</f>
        <v/>
      </c>
      <c r="C740">
        <f>IF(A740="","",TEXTBEFORE(TEXTAFTER(A740,"|"),"|"))</f>
        <v/>
      </c>
      <c r="D740">
        <f>IF(A740="","",TEXTAFTER(A740,"|",2))</f>
        <v/>
      </c>
      <c r="E740">
        <f>IF(A740="","",SUMIF(Tickets[TripKey],A740,Tickets[TP]))</f>
        <v/>
      </c>
      <c r="F740">
        <f>IF(A740="","",SUMIF(Tickets[TripKey],A740,Tickets[Revenue]))</f>
        <v/>
      </c>
      <c r="G740">
        <f>IF(A740="","",SUMIF(Tickets[TripKey],A740,Tickets[PK]))</f>
        <v/>
      </c>
      <c r="H740">
        <f>IF(A740="","",IFERROR(XLOOKUP(A740,Tickets[TripKey],Tickets[VehClean]),""))</f>
        <v/>
      </c>
      <c r="I740">
        <f>IF(A740="","",IFERROR(XLOOKUP(A740,Tickets[TripKey],Tickets[RouteLen]),0))</f>
        <v/>
      </c>
      <c r="J740">
        <f>IF(A740="","",IFERROR(XLOOKUP(A740,Tickets[TripKey],Tickets[Capacity]),0))</f>
        <v/>
      </c>
      <c r="K740">
        <f>IF(A740="","",I740*J740)</f>
        <v/>
      </c>
      <c r="L740">
        <f>IF(A740="","",IFERROR(MINIFS(Tickets[Trip Start Time],Tickets[TripKey],A740),""))</f>
        <v/>
      </c>
    </row>
    <row r="741">
      <c r="B741" s="8">
        <f>IF(A741="","",IFERROR(DATEVALUE(TEXTBEFORE(A741,"|")),--LEFT(A741,10)))</f>
        <v/>
      </c>
      <c r="C741">
        <f>IF(A741="","",TEXTBEFORE(TEXTAFTER(A741,"|"),"|"))</f>
        <v/>
      </c>
      <c r="D741">
        <f>IF(A741="","",TEXTAFTER(A741,"|",2))</f>
        <v/>
      </c>
      <c r="E741">
        <f>IF(A741="","",SUMIF(Tickets[TripKey],A741,Tickets[TP]))</f>
        <v/>
      </c>
      <c r="F741">
        <f>IF(A741="","",SUMIF(Tickets[TripKey],A741,Tickets[Revenue]))</f>
        <v/>
      </c>
      <c r="G741">
        <f>IF(A741="","",SUMIF(Tickets[TripKey],A741,Tickets[PK]))</f>
        <v/>
      </c>
      <c r="H741">
        <f>IF(A741="","",IFERROR(XLOOKUP(A741,Tickets[TripKey],Tickets[VehClean]),""))</f>
        <v/>
      </c>
      <c r="I741">
        <f>IF(A741="","",IFERROR(XLOOKUP(A741,Tickets[TripKey],Tickets[RouteLen]),0))</f>
        <v/>
      </c>
      <c r="J741">
        <f>IF(A741="","",IFERROR(XLOOKUP(A741,Tickets[TripKey],Tickets[Capacity]),0))</f>
        <v/>
      </c>
      <c r="K741">
        <f>IF(A741="","",I741*J741)</f>
        <v/>
      </c>
      <c r="L741">
        <f>IF(A741="","",IFERROR(MINIFS(Tickets[Trip Start Time],Tickets[TripKey],A741),""))</f>
        <v/>
      </c>
    </row>
    <row r="742">
      <c r="B742" s="8">
        <f>IF(A742="","",IFERROR(DATEVALUE(TEXTBEFORE(A742,"|")),--LEFT(A742,10)))</f>
        <v/>
      </c>
      <c r="C742">
        <f>IF(A742="","",TEXTBEFORE(TEXTAFTER(A742,"|"),"|"))</f>
        <v/>
      </c>
      <c r="D742">
        <f>IF(A742="","",TEXTAFTER(A742,"|",2))</f>
        <v/>
      </c>
      <c r="E742">
        <f>IF(A742="","",SUMIF(Tickets[TripKey],A742,Tickets[TP]))</f>
        <v/>
      </c>
      <c r="F742">
        <f>IF(A742="","",SUMIF(Tickets[TripKey],A742,Tickets[Revenue]))</f>
        <v/>
      </c>
      <c r="G742">
        <f>IF(A742="","",SUMIF(Tickets[TripKey],A742,Tickets[PK]))</f>
        <v/>
      </c>
      <c r="H742">
        <f>IF(A742="","",IFERROR(XLOOKUP(A742,Tickets[TripKey],Tickets[VehClean]),""))</f>
        <v/>
      </c>
      <c r="I742">
        <f>IF(A742="","",IFERROR(XLOOKUP(A742,Tickets[TripKey],Tickets[RouteLen]),0))</f>
        <v/>
      </c>
      <c r="J742">
        <f>IF(A742="","",IFERROR(XLOOKUP(A742,Tickets[TripKey],Tickets[Capacity]),0))</f>
        <v/>
      </c>
      <c r="K742">
        <f>IF(A742="","",I742*J742)</f>
        <v/>
      </c>
      <c r="L742">
        <f>IF(A742="","",IFERROR(MINIFS(Tickets[Trip Start Time],Tickets[TripKey],A742),""))</f>
        <v/>
      </c>
    </row>
    <row r="743">
      <c r="B743" s="8">
        <f>IF(A743="","",IFERROR(DATEVALUE(TEXTBEFORE(A743,"|")),--LEFT(A743,10)))</f>
        <v/>
      </c>
      <c r="C743">
        <f>IF(A743="","",TEXTBEFORE(TEXTAFTER(A743,"|"),"|"))</f>
        <v/>
      </c>
      <c r="D743">
        <f>IF(A743="","",TEXTAFTER(A743,"|",2))</f>
        <v/>
      </c>
      <c r="E743">
        <f>IF(A743="","",SUMIF(Tickets[TripKey],A743,Tickets[TP]))</f>
        <v/>
      </c>
      <c r="F743">
        <f>IF(A743="","",SUMIF(Tickets[TripKey],A743,Tickets[Revenue]))</f>
        <v/>
      </c>
      <c r="G743">
        <f>IF(A743="","",SUMIF(Tickets[TripKey],A743,Tickets[PK]))</f>
        <v/>
      </c>
      <c r="H743">
        <f>IF(A743="","",IFERROR(XLOOKUP(A743,Tickets[TripKey],Tickets[VehClean]),""))</f>
        <v/>
      </c>
      <c r="I743">
        <f>IF(A743="","",IFERROR(XLOOKUP(A743,Tickets[TripKey],Tickets[RouteLen]),0))</f>
        <v/>
      </c>
      <c r="J743">
        <f>IF(A743="","",IFERROR(XLOOKUP(A743,Tickets[TripKey],Tickets[Capacity]),0))</f>
        <v/>
      </c>
      <c r="K743">
        <f>IF(A743="","",I743*J743)</f>
        <v/>
      </c>
      <c r="L743">
        <f>IF(A743="","",IFERROR(MINIFS(Tickets[Trip Start Time],Tickets[TripKey],A743),""))</f>
        <v/>
      </c>
    </row>
    <row r="744">
      <c r="B744" s="8">
        <f>IF(A744="","",IFERROR(DATEVALUE(TEXTBEFORE(A744,"|")),--LEFT(A744,10)))</f>
        <v/>
      </c>
      <c r="C744">
        <f>IF(A744="","",TEXTBEFORE(TEXTAFTER(A744,"|"),"|"))</f>
        <v/>
      </c>
      <c r="D744">
        <f>IF(A744="","",TEXTAFTER(A744,"|",2))</f>
        <v/>
      </c>
      <c r="E744">
        <f>IF(A744="","",SUMIF(Tickets[TripKey],A744,Tickets[TP]))</f>
        <v/>
      </c>
      <c r="F744">
        <f>IF(A744="","",SUMIF(Tickets[TripKey],A744,Tickets[Revenue]))</f>
        <v/>
      </c>
      <c r="G744">
        <f>IF(A744="","",SUMIF(Tickets[TripKey],A744,Tickets[PK]))</f>
        <v/>
      </c>
      <c r="H744">
        <f>IF(A744="","",IFERROR(XLOOKUP(A744,Tickets[TripKey],Tickets[VehClean]),""))</f>
        <v/>
      </c>
      <c r="I744">
        <f>IF(A744="","",IFERROR(XLOOKUP(A744,Tickets[TripKey],Tickets[RouteLen]),0))</f>
        <v/>
      </c>
      <c r="J744">
        <f>IF(A744="","",IFERROR(XLOOKUP(A744,Tickets[TripKey],Tickets[Capacity]),0))</f>
        <v/>
      </c>
      <c r="K744">
        <f>IF(A744="","",I744*J744)</f>
        <v/>
      </c>
      <c r="L744">
        <f>IF(A744="","",IFERROR(MINIFS(Tickets[Trip Start Time],Tickets[TripKey],A744),""))</f>
        <v/>
      </c>
    </row>
    <row r="745">
      <c r="B745" s="8">
        <f>IF(A745="","",IFERROR(DATEVALUE(TEXTBEFORE(A745,"|")),--LEFT(A745,10)))</f>
        <v/>
      </c>
      <c r="C745">
        <f>IF(A745="","",TEXTBEFORE(TEXTAFTER(A745,"|"),"|"))</f>
        <v/>
      </c>
      <c r="D745">
        <f>IF(A745="","",TEXTAFTER(A745,"|",2))</f>
        <v/>
      </c>
      <c r="E745">
        <f>IF(A745="","",SUMIF(Tickets[TripKey],A745,Tickets[TP]))</f>
        <v/>
      </c>
      <c r="F745">
        <f>IF(A745="","",SUMIF(Tickets[TripKey],A745,Tickets[Revenue]))</f>
        <v/>
      </c>
      <c r="G745">
        <f>IF(A745="","",SUMIF(Tickets[TripKey],A745,Tickets[PK]))</f>
        <v/>
      </c>
      <c r="H745">
        <f>IF(A745="","",IFERROR(XLOOKUP(A745,Tickets[TripKey],Tickets[VehClean]),""))</f>
        <v/>
      </c>
      <c r="I745">
        <f>IF(A745="","",IFERROR(XLOOKUP(A745,Tickets[TripKey],Tickets[RouteLen]),0))</f>
        <v/>
      </c>
      <c r="J745">
        <f>IF(A745="","",IFERROR(XLOOKUP(A745,Tickets[TripKey],Tickets[Capacity]),0))</f>
        <v/>
      </c>
      <c r="K745">
        <f>IF(A745="","",I745*J745)</f>
        <v/>
      </c>
      <c r="L745">
        <f>IF(A745="","",IFERROR(MINIFS(Tickets[Trip Start Time],Tickets[TripKey],A745),""))</f>
        <v/>
      </c>
    </row>
    <row r="746">
      <c r="B746" s="8">
        <f>IF(A746="","",IFERROR(DATEVALUE(TEXTBEFORE(A746,"|")),--LEFT(A746,10)))</f>
        <v/>
      </c>
      <c r="C746">
        <f>IF(A746="","",TEXTBEFORE(TEXTAFTER(A746,"|"),"|"))</f>
        <v/>
      </c>
      <c r="D746">
        <f>IF(A746="","",TEXTAFTER(A746,"|",2))</f>
        <v/>
      </c>
      <c r="E746">
        <f>IF(A746="","",SUMIF(Tickets[TripKey],A746,Tickets[TP]))</f>
        <v/>
      </c>
      <c r="F746">
        <f>IF(A746="","",SUMIF(Tickets[TripKey],A746,Tickets[Revenue]))</f>
        <v/>
      </c>
      <c r="G746">
        <f>IF(A746="","",SUMIF(Tickets[TripKey],A746,Tickets[PK]))</f>
        <v/>
      </c>
      <c r="H746">
        <f>IF(A746="","",IFERROR(XLOOKUP(A746,Tickets[TripKey],Tickets[VehClean]),""))</f>
        <v/>
      </c>
      <c r="I746">
        <f>IF(A746="","",IFERROR(XLOOKUP(A746,Tickets[TripKey],Tickets[RouteLen]),0))</f>
        <v/>
      </c>
      <c r="J746">
        <f>IF(A746="","",IFERROR(XLOOKUP(A746,Tickets[TripKey],Tickets[Capacity]),0))</f>
        <v/>
      </c>
      <c r="K746">
        <f>IF(A746="","",I746*J746)</f>
        <v/>
      </c>
      <c r="L746">
        <f>IF(A746="","",IFERROR(MINIFS(Tickets[Trip Start Time],Tickets[TripKey],A746),""))</f>
        <v/>
      </c>
    </row>
    <row r="747">
      <c r="B747" s="8">
        <f>IF(A747="","",IFERROR(DATEVALUE(TEXTBEFORE(A747,"|")),--LEFT(A747,10)))</f>
        <v/>
      </c>
      <c r="C747">
        <f>IF(A747="","",TEXTBEFORE(TEXTAFTER(A747,"|"),"|"))</f>
        <v/>
      </c>
      <c r="D747">
        <f>IF(A747="","",TEXTAFTER(A747,"|",2))</f>
        <v/>
      </c>
      <c r="E747">
        <f>IF(A747="","",SUMIF(Tickets[TripKey],A747,Tickets[TP]))</f>
        <v/>
      </c>
      <c r="F747">
        <f>IF(A747="","",SUMIF(Tickets[TripKey],A747,Tickets[Revenue]))</f>
        <v/>
      </c>
      <c r="G747">
        <f>IF(A747="","",SUMIF(Tickets[TripKey],A747,Tickets[PK]))</f>
        <v/>
      </c>
      <c r="H747">
        <f>IF(A747="","",IFERROR(XLOOKUP(A747,Tickets[TripKey],Tickets[VehClean]),""))</f>
        <v/>
      </c>
      <c r="I747">
        <f>IF(A747="","",IFERROR(XLOOKUP(A747,Tickets[TripKey],Tickets[RouteLen]),0))</f>
        <v/>
      </c>
      <c r="J747">
        <f>IF(A747="","",IFERROR(XLOOKUP(A747,Tickets[TripKey],Tickets[Capacity]),0))</f>
        <v/>
      </c>
      <c r="K747">
        <f>IF(A747="","",I747*J747)</f>
        <v/>
      </c>
      <c r="L747">
        <f>IF(A747="","",IFERROR(MINIFS(Tickets[Trip Start Time],Tickets[TripKey],A747),""))</f>
        <v/>
      </c>
    </row>
    <row r="748">
      <c r="B748" s="8">
        <f>IF(A748="","",IFERROR(DATEVALUE(TEXTBEFORE(A748,"|")),--LEFT(A748,10)))</f>
        <v/>
      </c>
      <c r="C748">
        <f>IF(A748="","",TEXTBEFORE(TEXTAFTER(A748,"|"),"|"))</f>
        <v/>
      </c>
      <c r="D748">
        <f>IF(A748="","",TEXTAFTER(A748,"|",2))</f>
        <v/>
      </c>
      <c r="E748">
        <f>IF(A748="","",SUMIF(Tickets[TripKey],A748,Tickets[TP]))</f>
        <v/>
      </c>
      <c r="F748">
        <f>IF(A748="","",SUMIF(Tickets[TripKey],A748,Tickets[Revenue]))</f>
        <v/>
      </c>
      <c r="G748">
        <f>IF(A748="","",SUMIF(Tickets[TripKey],A748,Tickets[PK]))</f>
        <v/>
      </c>
      <c r="H748">
        <f>IF(A748="","",IFERROR(XLOOKUP(A748,Tickets[TripKey],Tickets[VehClean]),""))</f>
        <v/>
      </c>
      <c r="I748">
        <f>IF(A748="","",IFERROR(XLOOKUP(A748,Tickets[TripKey],Tickets[RouteLen]),0))</f>
        <v/>
      </c>
      <c r="J748">
        <f>IF(A748="","",IFERROR(XLOOKUP(A748,Tickets[TripKey],Tickets[Capacity]),0))</f>
        <v/>
      </c>
      <c r="K748">
        <f>IF(A748="","",I748*J748)</f>
        <v/>
      </c>
      <c r="L748">
        <f>IF(A748="","",IFERROR(MINIFS(Tickets[Trip Start Time],Tickets[TripKey],A748),""))</f>
        <v/>
      </c>
    </row>
    <row r="749">
      <c r="B749" s="8">
        <f>IF(A749="","",IFERROR(DATEVALUE(TEXTBEFORE(A749,"|")),--LEFT(A749,10)))</f>
        <v/>
      </c>
      <c r="C749">
        <f>IF(A749="","",TEXTBEFORE(TEXTAFTER(A749,"|"),"|"))</f>
        <v/>
      </c>
      <c r="D749">
        <f>IF(A749="","",TEXTAFTER(A749,"|",2))</f>
        <v/>
      </c>
      <c r="E749">
        <f>IF(A749="","",SUMIF(Tickets[TripKey],A749,Tickets[TP]))</f>
        <v/>
      </c>
      <c r="F749">
        <f>IF(A749="","",SUMIF(Tickets[TripKey],A749,Tickets[Revenue]))</f>
        <v/>
      </c>
      <c r="G749">
        <f>IF(A749="","",SUMIF(Tickets[TripKey],A749,Tickets[PK]))</f>
        <v/>
      </c>
      <c r="H749">
        <f>IF(A749="","",IFERROR(XLOOKUP(A749,Tickets[TripKey],Tickets[VehClean]),""))</f>
        <v/>
      </c>
      <c r="I749">
        <f>IF(A749="","",IFERROR(XLOOKUP(A749,Tickets[TripKey],Tickets[RouteLen]),0))</f>
        <v/>
      </c>
      <c r="J749">
        <f>IF(A749="","",IFERROR(XLOOKUP(A749,Tickets[TripKey],Tickets[Capacity]),0))</f>
        <v/>
      </c>
      <c r="K749">
        <f>IF(A749="","",I749*J749)</f>
        <v/>
      </c>
      <c r="L749">
        <f>IF(A749="","",IFERROR(MINIFS(Tickets[Trip Start Time],Tickets[TripKey],A749),""))</f>
        <v/>
      </c>
    </row>
    <row r="750">
      <c r="B750" s="8">
        <f>IF(A750="","",IFERROR(DATEVALUE(TEXTBEFORE(A750,"|")),--LEFT(A750,10)))</f>
        <v/>
      </c>
      <c r="C750">
        <f>IF(A750="","",TEXTBEFORE(TEXTAFTER(A750,"|"),"|"))</f>
        <v/>
      </c>
      <c r="D750">
        <f>IF(A750="","",TEXTAFTER(A750,"|",2))</f>
        <v/>
      </c>
      <c r="E750">
        <f>IF(A750="","",SUMIF(Tickets[TripKey],A750,Tickets[TP]))</f>
        <v/>
      </c>
      <c r="F750">
        <f>IF(A750="","",SUMIF(Tickets[TripKey],A750,Tickets[Revenue]))</f>
        <v/>
      </c>
      <c r="G750">
        <f>IF(A750="","",SUMIF(Tickets[TripKey],A750,Tickets[PK]))</f>
        <v/>
      </c>
      <c r="H750">
        <f>IF(A750="","",IFERROR(XLOOKUP(A750,Tickets[TripKey],Tickets[VehClean]),""))</f>
        <v/>
      </c>
      <c r="I750">
        <f>IF(A750="","",IFERROR(XLOOKUP(A750,Tickets[TripKey],Tickets[RouteLen]),0))</f>
        <v/>
      </c>
      <c r="J750">
        <f>IF(A750="","",IFERROR(XLOOKUP(A750,Tickets[TripKey],Tickets[Capacity]),0))</f>
        <v/>
      </c>
      <c r="K750">
        <f>IF(A750="","",I750*J750)</f>
        <v/>
      </c>
      <c r="L750">
        <f>IF(A750="","",IFERROR(MINIFS(Tickets[Trip Start Time],Tickets[TripKey],A750),""))</f>
        <v/>
      </c>
    </row>
    <row r="751">
      <c r="B751" s="8">
        <f>IF(A751="","",IFERROR(DATEVALUE(TEXTBEFORE(A751,"|")),--LEFT(A751,10)))</f>
        <v/>
      </c>
      <c r="C751">
        <f>IF(A751="","",TEXTBEFORE(TEXTAFTER(A751,"|"),"|"))</f>
        <v/>
      </c>
      <c r="D751">
        <f>IF(A751="","",TEXTAFTER(A751,"|",2))</f>
        <v/>
      </c>
      <c r="E751">
        <f>IF(A751="","",SUMIF(Tickets[TripKey],A751,Tickets[TP]))</f>
        <v/>
      </c>
      <c r="F751">
        <f>IF(A751="","",SUMIF(Tickets[TripKey],A751,Tickets[Revenue]))</f>
        <v/>
      </c>
      <c r="G751">
        <f>IF(A751="","",SUMIF(Tickets[TripKey],A751,Tickets[PK]))</f>
        <v/>
      </c>
      <c r="H751">
        <f>IF(A751="","",IFERROR(XLOOKUP(A751,Tickets[TripKey],Tickets[VehClean]),""))</f>
        <v/>
      </c>
      <c r="I751">
        <f>IF(A751="","",IFERROR(XLOOKUP(A751,Tickets[TripKey],Tickets[RouteLen]),0))</f>
        <v/>
      </c>
      <c r="J751">
        <f>IF(A751="","",IFERROR(XLOOKUP(A751,Tickets[TripKey],Tickets[Capacity]),0))</f>
        <v/>
      </c>
      <c r="K751">
        <f>IF(A751="","",I751*J751)</f>
        <v/>
      </c>
      <c r="L751">
        <f>IF(A751="","",IFERROR(MINIFS(Tickets[Trip Start Time],Tickets[TripKey],A751),""))</f>
        <v/>
      </c>
    </row>
    <row r="752">
      <c r="B752" s="8">
        <f>IF(A752="","",IFERROR(DATEVALUE(TEXTBEFORE(A752,"|")),--LEFT(A752,10)))</f>
        <v/>
      </c>
      <c r="C752">
        <f>IF(A752="","",TEXTBEFORE(TEXTAFTER(A752,"|"),"|"))</f>
        <v/>
      </c>
      <c r="D752">
        <f>IF(A752="","",TEXTAFTER(A752,"|",2))</f>
        <v/>
      </c>
      <c r="E752">
        <f>IF(A752="","",SUMIF(Tickets[TripKey],A752,Tickets[TP]))</f>
        <v/>
      </c>
      <c r="F752">
        <f>IF(A752="","",SUMIF(Tickets[TripKey],A752,Tickets[Revenue]))</f>
        <v/>
      </c>
      <c r="G752">
        <f>IF(A752="","",SUMIF(Tickets[TripKey],A752,Tickets[PK]))</f>
        <v/>
      </c>
      <c r="H752">
        <f>IF(A752="","",IFERROR(XLOOKUP(A752,Tickets[TripKey],Tickets[VehClean]),""))</f>
        <v/>
      </c>
      <c r="I752">
        <f>IF(A752="","",IFERROR(XLOOKUP(A752,Tickets[TripKey],Tickets[RouteLen]),0))</f>
        <v/>
      </c>
      <c r="J752">
        <f>IF(A752="","",IFERROR(XLOOKUP(A752,Tickets[TripKey],Tickets[Capacity]),0))</f>
        <v/>
      </c>
      <c r="K752">
        <f>IF(A752="","",I752*J752)</f>
        <v/>
      </c>
      <c r="L752">
        <f>IF(A752="","",IFERROR(MINIFS(Tickets[Trip Start Time],Tickets[TripKey],A752),""))</f>
        <v/>
      </c>
    </row>
    <row r="753">
      <c r="B753" s="8">
        <f>IF(A753="","",IFERROR(DATEVALUE(TEXTBEFORE(A753,"|")),--LEFT(A753,10)))</f>
        <v/>
      </c>
      <c r="C753">
        <f>IF(A753="","",TEXTBEFORE(TEXTAFTER(A753,"|"),"|"))</f>
        <v/>
      </c>
      <c r="D753">
        <f>IF(A753="","",TEXTAFTER(A753,"|",2))</f>
        <v/>
      </c>
      <c r="E753">
        <f>IF(A753="","",SUMIF(Tickets[TripKey],A753,Tickets[TP]))</f>
        <v/>
      </c>
      <c r="F753">
        <f>IF(A753="","",SUMIF(Tickets[TripKey],A753,Tickets[Revenue]))</f>
        <v/>
      </c>
      <c r="G753">
        <f>IF(A753="","",SUMIF(Tickets[TripKey],A753,Tickets[PK]))</f>
        <v/>
      </c>
      <c r="H753">
        <f>IF(A753="","",IFERROR(XLOOKUP(A753,Tickets[TripKey],Tickets[VehClean]),""))</f>
        <v/>
      </c>
      <c r="I753">
        <f>IF(A753="","",IFERROR(XLOOKUP(A753,Tickets[TripKey],Tickets[RouteLen]),0))</f>
        <v/>
      </c>
      <c r="J753">
        <f>IF(A753="","",IFERROR(XLOOKUP(A753,Tickets[TripKey],Tickets[Capacity]),0))</f>
        <v/>
      </c>
      <c r="K753">
        <f>IF(A753="","",I753*J753)</f>
        <v/>
      </c>
      <c r="L753">
        <f>IF(A753="","",IFERROR(MINIFS(Tickets[Trip Start Time],Tickets[TripKey],A753),""))</f>
        <v/>
      </c>
    </row>
    <row r="754">
      <c r="B754" s="8">
        <f>IF(A754="","",IFERROR(DATEVALUE(TEXTBEFORE(A754,"|")),--LEFT(A754,10)))</f>
        <v/>
      </c>
      <c r="C754">
        <f>IF(A754="","",TEXTBEFORE(TEXTAFTER(A754,"|"),"|"))</f>
        <v/>
      </c>
      <c r="D754">
        <f>IF(A754="","",TEXTAFTER(A754,"|",2))</f>
        <v/>
      </c>
      <c r="E754">
        <f>IF(A754="","",SUMIF(Tickets[TripKey],A754,Tickets[TP]))</f>
        <v/>
      </c>
      <c r="F754">
        <f>IF(A754="","",SUMIF(Tickets[TripKey],A754,Tickets[Revenue]))</f>
        <v/>
      </c>
      <c r="G754">
        <f>IF(A754="","",SUMIF(Tickets[TripKey],A754,Tickets[PK]))</f>
        <v/>
      </c>
      <c r="H754">
        <f>IF(A754="","",IFERROR(XLOOKUP(A754,Tickets[TripKey],Tickets[VehClean]),""))</f>
        <v/>
      </c>
      <c r="I754">
        <f>IF(A754="","",IFERROR(XLOOKUP(A754,Tickets[TripKey],Tickets[RouteLen]),0))</f>
        <v/>
      </c>
      <c r="J754">
        <f>IF(A754="","",IFERROR(XLOOKUP(A754,Tickets[TripKey],Tickets[Capacity]),0))</f>
        <v/>
      </c>
      <c r="K754">
        <f>IF(A754="","",I754*J754)</f>
        <v/>
      </c>
      <c r="L754">
        <f>IF(A754="","",IFERROR(MINIFS(Tickets[Trip Start Time],Tickets[TripKey],A754),""))</f>
        <v/>
      </c>
    </row>
    <row r="755">
      <c r="B755" s="8">
        <f>IF(A755="","",IFERROR(DATEVALUE(TEXTBEFORE(A755,"|")),--LEFT(A755,10)))</f>
        <v/>
      </c>
      <c r="C755">
        <f>IF(A755="","",TEXTBEFORE(TEXTAFTER(A755,"|"),"|"))</f>
        <v/>
      </c>
      <c r="D755">
        <f>IF(A755="","",TEXTAFTER(A755,"|",2))</f>
        <v/>
      </c>
      <c r="E755">
        <f>IF(A755="","",SUMIF(Tickets[TripKey],A755,Tickets[TP]))</f>
        <v/>
      </c>
      <c r="F755">
        <f>IF(A755="","",SUMIF(Tickets[TripKey],A755,Tickets[Revenue]))</f>
        <v/>
      </c>
      <c r="G755">
        <f>IF(A755="","",SUMIF(Tickets[TripKey],A755,Tickets[PK]))</f>
        <v/>
      </c>
      <c r="H755">
        <f>IF(A755="","",IFERROR(XLOOKUP(A755,Tickets[TripKey],Tickets[VehClean]),""))</f>
        <v/>
      </c>
      <c r="I755">
        <f>IF(A755="","",IFERROR(XLOOKUP(A755,Tickets[TripKey],Tickets[RouteLen]),0))</f>
        <v/>
      </c>
      <c r="J755">
        <f>IF(A755="","",IFERROR(XLOOKUP(A755,Tickets[TripKey],Tickets[Capacity]),0))</f>
        <v/>
      </c>
      <c r="K755">
        <f>IF(A755="","",I755*J755)</f>
        <v/>
      </c>
      <c r="L755">
        <f>IF(A755="","",IFERROR(MINIFS(Tickets[Trip Start Time],Tickets[TripKey],A755),""))</f>
        <v/>
      </c>
    </row>
    <row r="756">
      <c r="B756" s="8">
        <f>IF(A756="","",IFERROR(DATEVALUE(TEXTBEFORE(A756,"|")),--LEFT(A756,10)))</f>
        <v/>
      </c>
      <c r="C756">
        <f>IF(A756="","",TEXTBEFORE(TEXTAFTER(A756,"|"),"|"))</f>
        <v/>
      </c>
      <c r="D756">
        <f>IF(A756="","",TEXTAFTER(A756,"|",2))</f>
        <v/>
      </c>
      <c r="E756">
        <f>IF(A756="","",SUMIF(Tickets[TripKey],A756,Tickets[TP]))</f>
        <v/>
      </c>
      <c r="F756">
        <f>IF(A756="","",SUMIF(Tickets[TripKey],A756,Tickets[Revenue]))</f>
        <v/>
      </c>
      <c r="G756">
        <f>IF(A756="","",SUMIF(Tickets[TripKey],A756,Tickets[PK]))</f>
        <v/>
      </c>
      <c r="H756">
        <f>IF(A756="","",IFERROR(XLOOKUP(A756,Tickets[TripKey],Tickets[VehClean]),""))</f>
        <v/>
      </c>
      <c r="I756">
        <f>IF(A756="","",IFERROR(XLOOKUP(A756,Tickets[TripKey],Tickets[RouteLen]),0))</f>
        <v/>
      </c>
      <c r="J756">
        <f>IF(A756="","",IFERROR(XLOOKUP(A756,Tickets[TripKey],Tickets[Capacity]),0))</f>
        <v/>
      </c>
      <c r="K756">
        <f>IF(A756="","",I756*J756)</f>
        <v/>
      </c>
      <c r="L756">
        <f>IF(A756="","",IFERROR(MINIFS(Tickets[Trip Start Time],Tickets[TripKey],A756),""))</f>
        <v/>
      </c>
    </row>
    <row r="757">
      <c r="B757" s="8">
        <f>IF(A757="","",IFERROR(DATEVALUE(TEXTBEFORE(A757,"|")),--LEFT(A757,10)))</f>
        <v/>
      </c>
      <c r="C757">
        <f>IF(A757="","",TEXTBEFORE(TEXTAFTER(A757,"|"),"|"))</f>
        <v/>
      </c>
      <c r="D757">
        <f>IF(A757="","",TEXTAFTER(A757,"|",2))</f>
        <v/>
      </c>
      <c r="E757">
        <f>IF(A757="","",SUMIF(Tickets[TripKey],A757,Tickets[TP]))</f>
        <v/>
      </c>
      <c r="F757">
        <f>IF(A757="","",SUMIF(Tickets[TripKey],A757,Tickets[Revenue]))</f>
        <v/>
      </c>
      <c r="G757">
        <f>IF(A757="","",SUMIF(Tickets[TripKey],A757,Tickets[PK]))</f>
        <v/>
      </c>
      <c r="H757">
        <f>IF(A757="","",IFERROR(XLOOKUP(A757,Tickets[TripKey],Tickets[VehClean]),""))</f>
        <v/>
      </c>
      <c r="I757">
        <f>IF(A757="","",IFERROR(XLOOKUP(A757,Tickets[TripKey],Tickets[RouteLen]),0))</f>
        <v/>
      </c>
      <c r="J757">
        <f>IF(A757="","",IFERROR(XLOOKUP(A757,Tickets[TripKey],Tickets[Capacity]),0))</f>
        <v/>
      </c>
      <c r="K757">
        <f>IF(A757="","",I757*J757)</f>
        <v/>
      </c>
      <c r="L757">
        <f>IF(A757="","",IFERROR(MINIFS(Tickets[Trip Start Time],Tickets[TripKey],A757),""))</f>
        <v/>
      </c>
    </row>
    <row r="758">
      <c r="B758" s="8">
        <f>IF(A758="","",IFERROR(DATEVALUE(TEXTBEFORE(A758,"|")),--LEFT(A758,10)))</f>
        <v/>
      </c>
      <c r="C758">
        <f>IF(A758="","",TEXTBEFORE(TEXTAFTER(A758,"|"),"|"))</f>
        <v/>
      </c>
      <c r="D758">
        <f>IF(A758="","",TEXTAFTER(A758,"|",2))</f>
        <v/>
      </c>
      <c r="E758">
        <f>IF(A758="","",SUMIF(Tickets[TripKey],A758,Tickets[TP]))</f>
        <v/>
      </c>
      <c r="F758">
        <f>IF(A758="","",SUMIF(Tickets[TripKey],A758,Tickets[Revenue]))</f>
        <v/>
      </c>
      <c r="G758">
        <f>IF(A758="","",SUMIF(Tickets[TripKey],A758,Tickets[PK]))</f>
        <v/>
      </c>
      <c r="H758">
        <f>IF(A758="","",IFERROR(XLOOKUP(A758,Tickets[TripKey],Tickets[VehClean]),""))</f>
        <v/>
      </c>
      <c r="I758">
        <f>IF(A758="","",IFERROR(XLOOKUP(A758,Tickets[TripKey],Tickets[RouteLen]),0))</f>
        <v/>
      </c>
      <c r="J758">
        <f>IF(A758="","",IFERROR(XLOOKUP(A758,Tickets[TripKey],Tickets[Capacity]),0))</f>
        <v/>
      </c>
      <c r="K758">
        <f>IF(A758="","",I758*J758)</f>
        <v/>
      </c>
      <c r="L758">
        <f>IF(A758="","",IFERROR(MINIFS(Tickets[Trip Start Time],Tickets[TripKey],A758),""))</f>
        <v/>
      </c>
    </row>
    <row r="759">
      <c r="B759" s="8">
        <f>IF(A759="","",IFERROR(DATEVALUE(TEXTBEFORE(A759,"|")),--LEFT(A759,10)))</f>
        <v/>
      </c>
      <c r="C759">
        <f>IF(A759="","",TEXTBEFORE(TEXTAFTER(A759,"|"),"|"))</f>
        <v/>
      </c>
      <c r="D759">
        <f>IF(A759="","",TEXTAFTER(A759,"|",2))</f>
        <v/>
      </c>
      <c r="E759">
        <f>IF(A759="","",SUMIF(Tickets[TripKey],A759,Tickets[TP]))</f>
        <v/>
      </c>
      <c r="F759">
        <f>IF(A759="","",SUMIF(Tickets[TripKey],A759,Tickets[Revenue]))</f>
        <v/>
      </c>
      <c r="G759">
        <f>IF(A759="","",SUMIF(Tickets[TripKey],A759,Tickets[PK]))</f>
        <v/>
      </c>
      <c r="H759">
        <f>IF(A759="","",IFERROR(XLOOKUP(A759,Tickets[TripKey],Tickets[VehClean]),""))</f>
        <v/>
      </c>
      <c r="I759">
        <f>IF(A759="","",IFERROR(XLOOKUP(A759,Tickets[TripKey],Tickets[RouteLen]),0))</f>
        <v/>
      </c>
      <c r="J759">
        <f>IF(A759="","",IFERROR(XLOOKUP(A759,Tickets[TripKey],Tickets[Capacity]),0))</f>
        <v/>
      </c>
      <c r="K759">
        <f>IF(A759="","",I759*J759)</f>
        <v/>
      </c>
      <c r="L759">
        <f>IF(A759="","",IFERROR(MINIFS(Tickets[Trip Start Time],Tickets[TripKey],A759),""))</f>
        <v/>
      </c>
    </row>
    <row r="760">
      <c r="B760" s="8">
        <f>IF(A760="","",IFERROR(DATEVALUE(TEXTBEFORE(A760,"|")),--LEFT(A760,10)))</f>
        <v/>
      </c>
      <c r="C760">
        <f>IF(A760="","",TEXTBEFORE(TEXTAFTER(A760,"|"),"|"))</f>
        <v/>
      </c>
      <c r="D760">
        <f>IF(A760="","",TEXTAFTER(A760,"|",2))</f>
        <v/>
      </c>
      <c r="E760">
        <f>IF(A760="","",SUMIF(Tickets[TripKey],A760,Tickets[TP]))</f>
        <v/>
      </c>
      <c r="F760">
        <f>IF(A760="","",SUMIF(Tickets[TripKey],A760,Tickets[Revenue]))</f>
        <v/>
      </c>
      <c r="G760">
        <f>IF(A760="","",SUMIF(Tickets[TripKey],A760,Tickets[PK]))</f>
        <v/>
      </c>
      <c r="H760">
        <f>IF(A760="","",IFERROR(XLOOKUP(A760,Tickets[TripKey],Tickets[VehClean]),""))</f>
        <v/>
      </c>
      <c r="I760">
        <f>IF(A760="","",IFERROR(XLOOKUP(A760,Tickets[TripKey],Tickets[RouteLen]),0))</f>
        <v/>
      </c>
      <c r="J760">
        <f>IF(A760="","",IFERROR(XLOOKUP(A760,Tickets[TripKey],Tickets[Capacity]),0))</f>
        <v/>
      </c>
      <c r="K760">
        <f>IF(A760="","",I760*J760)</f>
        <v/>
      </c>
      <c r="L760">
        <f>IF(A760="","",IFERROR(MINIFS(Tickets[Trip Start Time],Tickets[TripKey],A760),""))</f>
        <v/>
      </c>
    </row>
    <row r="761">
      <c r="B761" s="8">
        <f>IF(A761="","",IFERROR(DATEVALUE(TEXTBEFORE(A761,"|")),--LEFT(A761,10)))</f>
        <v/>
      </c>
      <c r="C761">
        <f>IF(A761="","",TEXTBEFORE(TEXTAFTER(A761,"|"),"|"))</f>
        <v/>
      </c>
      <c r="D761">
        <f>IF(A761="","",TEXTAFTER(A761,"|",2))</f>
        <v/>
      </c>
      <c r="E761">
        <f>IF(A761="","",SUMIF(Tickets[TripKey],A761,Tickets[TP]))</f>
        <v/>
      </c>
      <c r="F761">
        <f>IF(A761="","",SUMIF(Tickets[TripKey],A761,Tickets[Revenue]))</f>
        <v/>
      </c>
      <c r="G761">
        <f>IF(A761="","",SUMIF(Tickets[TripKey],A761,Tickets[PK]))</f>
        <v/>
      </c>
      <c r="H761">
        <f>IF(A761="","",IFERROR(XLOOKUP(A761,Tickets[TripKey],Tickets[VehClean]),""))</f>
        <v/>
      </c>
      <c r="I761">
        <f>IF(A761="","",IFERROR(XLOOKUP(A761,Tickets[TripKey],Tickets[RouteLen]),0))</f>
        <v/>
      </c>
      <c r="J761">
        <f>IF(A761="","",IFERROR(XLOOKUP(A761,Tickets[TripKey],Tickets[Capacity]),0))</f>
        <v/>
      </c>
      <c r="K761">
        <f>IF(A761="","",I761*J761)</f>
        <v/>
      </c>
      <c r="L761">
        <f>IF(A761="","",IFERROR(MINIFS(Tickets[Trip Start Time],Tickets[TripKey],A761),""))</f>
        <v/>
      </c>
    </row>
    <row r="762">
      <c r="B762" s="8">
        <f>IF(A762="","",IFERROR(DATEVALUE(TEXTBEFORE(A762,"|")),--LEFT(A762,10)))</f>
        <v/>
      </c>
      <c r="C762">
        <f>IF(A762="","",TEXTBEFORE(TEXTAFTER(A762,"|"),"|"))</f>
        <v/>
      </c>
      <c r="D762">
        <f>IF(A762="","",TEXTAFTER(A762,"|",2))</f>
        <v/>
      </c>
      <c r="E762">
        <f>IF(A762="","",SUMIF(Tickets[TripKey],A762,Tickets[TP]))</f>
        <v/>
      </c>
      <c r="F762">
        <f>IF(A762="","",SUMIF(Tickets[TripKey],A762,Tickets[Revenue]))</f>
        <v/>
      </c>
      <c r="G762">
        <f>IF(A762="","",SUMIF(Tickets[TripKey],A762,Tickets[PK]))</f>
        <v/>
      </c>
      <c r="H762">
        <f>IF(A762="","",IFERROR(XLOOKUP(A762,Tickets[TripKey],Tickets[VehClean]),""))</f>
        <v/>
      </c>
      <c r="I762">
        <f>IF(A762="","",IFERROR(XLOOKUP(A762,Tickets[TripKey],Tickets[RouteLen]),0))</f>
        <v/>
      </c>
      <c r="J762">
        <f>IF(A762="","",IFERROR(XLOOKUP(A762,Tickets[TripKey],Tickets[Capacity]),0))</f>
        <v/>
      </c>
      <c r="K762">
        <f>IF(A762="","",I762*J762)</f>
        <v/>
      </c>
      <c r="L762">
        <f>IF(A762="","",IFERROR(MINIFS(Tickets[Trip Start Time],Tickets[TripKey],A762),""))</f>
        <v/>
      </c>
    </row>
    <row r="763">
      <c r="B763" s="8">
        <f>IF(A763="","",IFERROR(DATEVALUE(TEXTBEFORE(A763,"|")),--LEFT(A763,10)))</f>
        <v/>
      </c>
      <c r="C763">
        <f>IF(A763="","",TEXTBEFORE(TEXTAFTER(A763,"|"),"|"))</f>
        <v/>
      </c>
      <c r="D763">
        <f>IF(A763="","",TEXTAFTER(A763,"|",2))</f>
        <v/>
      </c>
      <c r="E763">
        <f>IF(A763="","",SUMIF(Tickets[TripKey],A763,Tickets[TP]))</f>
        <v/>
      </c>
      <c r="F763">
        <f>IF(A763="","",SUMIF(Tickets[TripKey],A763,Tickets[Revenue]))</f>
        <v/>
      </c>
      <c r="G763">
        <f>IF(A763="","",SUMIF(Tickets[TripKey],A763,Tickets[PK]))</f>
        <v/>
      </c>
      <c r="H763">
        <f>IF(A763="","",IFERROR(XLOOKUP(A763,Tickets[TripKey],Tickets[VehClean]),""))</f>
        <v/>
      </c>
      <c r="I763">
        <f>IF(A763="","",IFERROR(XLOOKUP(A763,Tickets[TripKey],Tickets[RouteLen]),0))</f>
        <v/>
      </c>
      <c r="J763">
        <f>IF(A763="","",IFERROR(XLOOKUP(A763,Tickets[TripKey],Tickets[Capacity]),0))</f>
        <v/>
      </c>
      <c r="K763">
        <f>IF(A763="","",I763*J763)</f>
        <v/>
      </c>
      <c r="L763">
        <f>IF(A763="","",IFERROR(MINIFS(Tickets[Trip Start Time],Tickets[TripKey],A763),""))</f>
        <v/>
      </c>
    </row>
    <row r="764">
      <c r="B764" s="8">
        <f>IF(A764="","",IFERROR(DATEVALUE(TEXTBEFORE(A764,"|")),--LEFT(A764,10)))</f>
        <v/>
      </c>
      <c r="C764">
        <f>IF(A764="","",TEXTBEFORE(TEXTAFTER(A764,"|"),"|"))</f>
        <v/>
      </c>
      <c r="D764">
        <f>IF(A764="","",TEXTAFTER(A764,"|",2))</f>
        <v/>
      </c>
      <c r="E764">
        <f>IF(A764="","",SUMIF(Tickets[TripKey],A764,Tickets[TP]))</f>
        <v/>
      </c>
      <c r="F764">
        <f>IF(A764="","",SUMIF(Tickets[TripKey],A764,Tickets[Revenue]))</f>
        <v/>
      </c>
      <c r="G764">
        <f>IF(A764="","",SUMIF(Tickets[TripKey],A764,Tickets[PK]))</f>
        <v/>
      </c>
      <c r="H764">
        <f>IF(A764="","",IFERROR(XLOOKUP(A764,Tickets[TripKey],Tickets[VehClean]),""))</f>
        <v/>
      </c>
      <c r="I764">
        <f>IF(A764="","",IFERROR(XLOOKUP(A764,Tickets[TripKey],Tickets[RouteLen]),0))</f>
        <v/>
      </c>
      <c r="J764">
        <f>IF(A764="","",IFERROR(XLOOKUP(A764,Tickets[TripKey],Tickets[Capacity]),0))</f>
        <v/>
      </c>
      <c r="K764">
        <f>IF(A764="","",I764*J764)</f>
        <v/>
      </c>
      <c r="L764">
        <f>IF(A764="","",IFERROR(MINIFS(Tickets[Trip Start Time],Tickets[TripKey],A764),""))</f>
        <v/>
      </c>
    </row>
    <row r="765">
      <c r="B765" s="8">
        <f>IF(A765="","",IFERROR(DATEVALUE(TEXTBEFORE(A765,"|")),--LEFT(A765,10)))</f>
        <v/>
      </c>
      <c r="C765">
        <f>IF(A765="","",TEXTBEFORE(TEXTAFTER(A765,"|"),"|"))</f>
        <v/>
      </c>
      <c r="D765">
        <f>IF(A765="","",TEXTAFTER(A765,"|",2))</f>
        <v/>
      </c>
      <c r="E765">
        <f>IF(A765="","",SUMIF(Tickets[TripKey],A765,Tickets[TP]))</f>
        <v/>
      </c>
      <c r="F765">
        <f>IF(A765="","",SUMIF(Tickets[TripKey],A765,Tickets[Revenue]))</f>
        <v/>
      </c>
      <c r="G765">
        <f>IF(A765="","",SUMIF(Tickets[TripKey],A765,Tickets[PK]))</f>
        <v/>
      </c>
      <c r="H765">
        <f>IF(A765="","",IFERROR(XLOOKUP(A765,Tickets[TripKey],Tickets[VehClean]),""))</f>
        <v/>
      </c>
      <c r="I765">
        <f>IF(A765="","",IFERROR(XLOOKUP(A765,Tickets[TripKey],Tickets[RouteLen]),0))</f>
        <v/>
      </c>
      <c r="J765">
        <f>IF(A765="","",IFERROR(XLOOKUP(A765,Tickets[TripKey],Tickets[Capacity]),0))</f>
        <v/>
      </c>
      <c r="K765">
        <f>IF(A765="","",I765*J765)</f>
        <v/>
      </c>
      <c r="L765">
        <f>IF(A765="","",IFERROR(MINIFS(Tickets[Trip Start Time],Tickets[TripKey],A765),""))</f>
        <v/>
      </c>
    </row>
    <row r="766">
      <c r="B766" s="8">
        <f>IF(A766="","",IFERROR(DATEVALUE(TEXTBEFORE(A766,"|")),--LEFT(A766,10)))</f>
        <v/>
      </c>
      <c r="C766">
        <f>IF(A766="","",TEXTBEFORE(TEXTAFTER(A766,"|"),"|"))</f>
        <v/>
      </c>
      <c r="D766">
        <f>IF(A766="","",TEXTAFTER(A766,"|",2))</f>
        <v/>
      </c>
      <c r="E766">
        <f>IF(A766="","",SUMIF(Tickets[TripKey],A766,Tickets[TP]))</f>
        <v/>
      </c>
      <c r="F766">
        <f>IF(A766="","",SUMIF(Tickets[TripKey],A766,Tickets[Revenue]))</f>
        <v/>
      </c>
      <c r="G766">
        <f>IF(A766="","",SUMIF(Tickets[TripKey],A766,Tickets[PK]))</f>
        <v/>
      </c>
      <c r="H766">
        <f>IF(A766="","",IFERROR(XLOOKUP(A766,Tickets[TripKey],Tickets[VehClean]),""))</f>
        <v/>
      </c>
      <c r="I766">
        <f>IF(A766="","",IFERROR(XLOOKUP(A766,Tickets[TripKey],Tickets[RouteLen]),0))</f>
        <v/>
      </c>
      <c r="J766">
        <f>IF(A766="","",IFERROR(XLOOKUP(A766,Tickets[TripKey],Tickets[Capacity]),0))</f>
        <v/>
      </c>
      <c r="K766">
        <f>IF(A766="","",I766*J766)</f>
        <v/>
      </c>
      <c r="L766">
        <f>IF(A766="","",IFERROR(MINIFS(Tickets[Trip Start Time],Tickets[TripKey],A766),""))</f>
        <v/>
      </c>
    </row>
    <row r="767">
      <c r="B767" s="8">
        <f>IF(A767="","",IFERROR(DATEVALUE(TEXTBEFORE(A767,"|")),--LEFT(A767,10)))</f>
        <v/>
      </c>
      <c r="C767">
        <f>IF(A767="","",TEXTBEFORE(TEXTAFTER(A767,"|"),"|"))</f>
        <v/>
      </c>
      <c r="D767">
        <f>IF(A767="","",TEXTAFTER(A767,"|",2))</f>
        <v/>
      </c>
      <c r="E767">
        <f>IF(A767="","",SUMIF(Tickets[TripKey],A767,Tickets[TP]))</f>
        <v/>
      </c>
      <c r="F767">
        <f>IF(A767="","",SUMIF(Tickets[TripKey],A767,Tickets[Revenue]))</f>
        <v/>
      </c>
      <c r="G767">
        <f>IF(A767="","",SUMIF(Tickets[TripKey],A767,Tickets[PK]))</f>
        <v/>
      </c>
      <c r="H767">
        <f>IF(A767="","",IFERROR(XLOOKUP(A767,Tickets[TripKey],Tickets[VehClean]),""))</f>
        <v/>
      </c>
      <c r="I767">
        <f>IF(A767="","",IFERROR(XLOOKUP(A767,Tickets[TripKey],Tickets[RouteLen]),0))</f>
        <v/>
      </c>
      <c r="J767">
        <f>IF(A767="","",IFERROR(XLOOKUP(A767,Tickets[TripKey],Tickets[Capacity]),0))</f>
        <v/>
      </c>
      <c r="K767">
        <f>IF(A767="","",I767*J767)</f>
        <v/>
      </c>
      <c r="L767">
        <f>IF(A767="","",IFERROR(MINIFS(Tickets[Trip Start Time],Tickets[TripKey],A767),""))</f>
        <v/>
      </c>
    </row>
    <row r="768">
      <c r="B768" s="8">
        <f>IF(A768="","",IFERROR(DATEVALUE(TEXTBEFORE(A768,"|")),--LEFT(A768,10)))</f>
        <v/>
      </c>
      <c r="C768">
        <f>IF(A768="","",TEXTBEFORE(TEXTAFTER(A768,"|"),"|"))</f>
        <v/>
      </c>
      <c r="D768">
        <f>IF(A768="","",TEXTAFTER(A768,"|",2))</f>
        <v/>
      </c>
      <c r="E768">
        <f>IF(A768="","",SUMIF(Tickets[TripKey],A768,Tickets[TP]))</f>
        <v/>
      </c>
      <c r="F768">
        <f>IF(A768="","",SUMIF(Tickets[TripKey],A768,Tickets[Revenue]))</f>
        <v/>
      </c>
      <c r="G768">
        <f>IF(A768="","",SUMIF(Tickets[TripKey],A768,Tickets[PK]))</f>
        <v/>
      </c>
      <c r="H768">
        <f>IF(A768="","",IFERROR(XLOOKUP(A768,Tickets[TripKey],Tickets[VehClean]),""))</f>
        <v/>
      </c>
      <c r="I768">
        <f>IF(A768="","",IFERROR(XLOOKUP(A768,Tickets[TripKey],Tickets[RouteLen]),0))</f>
        <v/>
      </c>
      <c r="J768">
        <f>IF(A768="","",IFERROR(XLOOKUP(A768,Tickets[TripKey],Tickets[Capacity]),0))</f>
        <v/>
      </c>
      <c r="K768">
        <f>IF(A768="","",I768*J768)</f>
        <v/>
      </c>
      <c r="L768">
        <f>IF(A768="","",IFERROR(MINIFS(Tickets[Trip Start Time],Tickets[TripKey],A768),""))</f>
        <v/>
      </c>
    </row>
    <row r="769">
      <c r="B769" s="8">
        <f>IF(A769="","",IFERROR(DATEVALUE(TEXTBEFORE(A769,"|")),--LEFT(A769,10)))</f>
        <v/>
      </c>
      <c r="C769">
        <f>IF(A769="","",TEXTBEFORE(TEXTAFTER(A769,"|"),"|"))</f>
        <v/>
      </c>
      <c r="D769">
        <f>IF(A769="","",TEXTAFTER(A769,"|",2))</f>
        <v/>
      </c>
      <c r="E769">
        <f>IF(A769="","",SUMIF(Tickets[TripKey],A769,Tickets[TP]))</f>
        <v/>
      </c>
      <c r="F769">
        <f>IF(A769="","",SUMIF(Tickets[TripKey],A769,Tickets[Revenue]))</f>
        <v/>
      </c>
      <c r="G769">
        <f>IF(A769="","",SUMIF(Tickets[TripKey],A769,Tickets[PK]))</f>
        <v/>
      </c>
      <c r="H769">
        <f>IF(A769="","",IFERROR(XLOOKUP(A769,Tickets[TripKey],Tickets[VehClean]),""))</f>
        <v/>
      </c>
      <c r="I769">
        <f>IF(A769="","",IFERROR(XLOOKUP(A769,Tickets[TripKey],Tickets[RouteLen]),0))</f>
        <v/>
      </c>
      <c r="J769">
        <f>IF(A769="","",IFERROR(XLOOKUP(A769,Tickets[TripKey],Tickets[Capacity]),0))</f>
        <v/>
      </c>
      <c r="K769">
        <f>IF(A769="","",I769*J769)</f>
        <v/>
      </c>
      <c r="L769">
        <f>IF(A769="","",IFERROR(MINIFS(Tickets[Trip Start Time],Tickets[TripKey],A769),""))</f>
        <v/>
      </c>
    </row>
    <row r="770">
      <c r="B770" s="8">
        <f>IF(A770="","",IFERROR(DATEVALUE(TEXTBEFORE(A770,"|")),--LEFT(A770,10)))</f>
        <v/>
      </c>
      <c r="C770">
        <f>IF(A770="","",TEXTBEFORE(TEXTAFTER(A770,"|"),"|"))</f>
        <v/>
      </c>
      <c r="D770">
        <f>IF(A770="","",TEXTAFTER(A770,"|",2))</f>
        <v/>
      </c>
      <c r="E770">
        <f>IF(A770="","",SUMIF(Tickets[TripKey],A770,Tickets[TP]))</f>
        <v/>
      </c>
      <c r="F770">
        <f>IF(A770="","",SUMIF(Tickets[TripKey],A770,Tickets[Revenue]))</f>
        <v/>
      </c>
      <c r="G770">
        <f>IF(A770="","",SUMIF(Tickets[TripKey],A770,Tickets[PK]))</f>
        <v/>
      </c>
      <c r="H770">
        <f>IF(A770="","",IFERROR(XLOOKUP(A770,Tickets[TripKey],Tickets[VehClean]),""))</f>
        <v/>
      </c>
      <c r="I770">
        <f>IF(A770="","",IFERROR(XLOOKUP(A770,Tickets[TripKey],Tickets[RouteLen]),0))</f>
        <v/>
      </c>
      <c r="J770">
        <f>IF(A770="","",IFERROR(XLOOKUP(A770,Tickets[TripKey],Tickets[Capacity]),0))</f>
        <v/>
      </c>
      <c r="K770">
        <f>IF(A770="","",I770*J770)</f>
        <v/>
      </c>
      <c r="L770">
        <f>IF(A770="","",IFERROR(MINIFS(Tickets[Trip Start Time],Tickets[TripKey],A770),""))</f>
        <v/>
      </c>
    </row>
    <row r="771">
      <c r="B771" s="8">
        <f>IF(A771="","",IFERROR(DATEVALUE(TEXTBEFORE(A771,"|")),--LEFT(A771,10)))</f>
        <v/>
      </c>
      <c r="C771">
        <f>IF(A771="","",TEXTBEFORE(TEXTAFTER(A771,"|"),"|"))</f>
        <v/>
      </c>
      <c r="D771">
        <f>IF(A771="","",TEXTAFTER(A771,"|",2))</f>
        <v/>
      </c>
      <c r="E771">
        <f>IF(A771="","",SUMIF(Tickets[TripKey],A771,Tickets[TP]))</f>
        <v/>
      </c>
      <c r="F771">
        <f>IF(A771="","",SUMIF(Tickets[TripKey],A771,Tickets[Revenue]))</f>
        <v/>
      </c>
      <c r="G771">
        <f>IF(A771="","",SUMIF(Tickets[TripKey],A771,Tickets[PK]))</f>
        <v/>
      </c>
      <c r="H771">
        <f>IF(A771="","",IFERROR(XLOOKUP(A771,Tickets[TripKey],Tickets[VehClean]),""))</f>
        <v/>
      </c>
      <c r="I771">
        <f>IF(A771="","",IFERROR(XLOOKUP(A771,Tickets[TripKey],Tickets[RouteLen]),0))</f>
        <v/>
      </c>
      <c r="J771">
        <f>IF(A771="","",IFERROR(XLOOKUP(A771,Tickets[TripKey],Tickets[Capacity]),0))</f>
        <v/>
      </c>
      <c r="K771">
        <f>IF(A771="","",I771*J771)</f>
        <v/>
      </c>
      <c r="L771">
        <f>IF(A771="","",IFERROR(MINIFS(Tickets[Trip Start Time],Tickets[TripKey],A771),""))</f>
        <v/>
      </c>
    </row>
    <row r="772">
      <c r="B772" s="8">
        <f>IF(A772="","",IFERROR(DATEVALUE(TEXTBEFORE(A772,"|")),--LEFT(A772,10)))</f>
        <v/>
      </c>
      <c r="C772">
        <f>IF(A772="","",TEXTBEFORE(TEXTAFTER(A772,"|"),"|"))</f>
        <v/>
      </c>
      <c r="D772">
        <f>IF(A772="","",TEXTAFTER(A772,"|",2))</f>
        <v/>
      </c>
      <c r="E772">
        <f>IF(A772="","",SUMIF(Tickets[TripKey],A772,Tickets[TP]))</f>
        <v/>
      </c>
      <c r="F772">
        <f>IF(A772="","",SUMIF(Tickets[TripKey],A772,Tickets[Revenue]))</f>
        <v/>
      </c>
      <c r="G772">
        <f>IF(A772="","",SUMIF(Tickets[TripKey],A772,Tickets[PK]))</f>
        <v/>
      </c>
      <c r="H772">
        <f>IF(A772="","",IFERROR(XLOOKUP(A772,Tickets[TripKey],Tickets[VehClean]),""))</f>
        <v/>
      </c>
      <c r="I772">
        <f>IF(A772="","",IFERROR(XLOOKUP(A772,Tickets[TripKey],Tickets[RouteLen]),0))</f>
        <v/>
      </c>
      <c r="J772">
        <f>IF(A772="","",IFERROR(XLOOKUP(A772,Tickets[TripKey],Tickets[Capacity]),0))</f>
        <v/>
      </c>
      <c r="K772">
        <f>IF(A772="","",I772*J772)</f>
        <v/>
      </c>
      <c r="L772">
        <f>IF(A772="","",IFERROR(MINIFS(Tickets[Trip Start Time],Tickets[TripKey],A772),""))</f>
        <v/>
      </c>
    </row>
    <row r="773">
      <c r="B773" s="8">
        <f>IF(A773="","",IFERROR(DATEVALUE(TEXTBEFORE(A773,"|")),--LEFT(A773,10)))</f>
        <v/>
      </c>
      <c r="C773">
        <f>IF(A773="","",TEXTBEFORE(TEXTAFTER(A773,"|"),"|"))</f>
        <v/>
      </c>
      <c r="D773">
        <f>IF(A773="","",TEXTAFTER(A773,"|",2))</f>
        <v/>
      </c>
      <c r="E773">
        <f>IF(A773="","",SUMIF(Tickets[TripKey],A773,Tickets[TP]))</f>
        <v/>
      </c>
      <c r="F773">
        <f>IF(A773="","",SUMIF(Tickets[TripKey],A773,Tickets[Revenue]))</f>
        <v/>
      </c>
      <c r="G773">
        <f>IF(A773="","",SUMIF(Tickets[TripKey],A773,Tickets[PK]))</f>
        <v/>
      </c>
      <c r="H773">
        <f>IF(A773="","",IFERROR(XLOOKUP(A773,Tickets[TripKey],Tickets[VehClean]),""))</f>
        <v/>
      </c>
      <c r="I773">
        <f>IF(A773="","",IFERROR(XLOOKUP(A773,Tickets[TripKey],Tickets[RouteLen]),0))</f>
        <v/>
      </c>
      <c r="J773">
        <f>IF(A773="","",IFERROR(XLOOKUP(A773,Tickets[TripKey],Tickets[Capacity]),0))</f>
        <v/>
      </c>
      <c r="K773">
        <f>IF(A773="","",I773*J773)</f>
        <v/>
      </c>
      <c r="L773">
        <f>IF(A773="","",IFERROR(MINIFS(Tickets[Trip Start Time],Tickets[TripKey],A773),""))</f>
        <v/>
      </c>
    </row>
    <row r="774">
      <c r="B774" s="8">
        <f>IF(A774="","",IFERROR(DATEVALUE(TEXTBEFORE(A774,"|")),--LEFT(A774,10)))</f>
        <v/>
      </c>
      <c r="C774">
        <f>IF(A774="","",TEXTBEFORE(TEXTAFTER(A774,"|"),"|"))</f>
        <v/>
      </c>
      <c r="D774">
        <f>IF(A774="","",TEXTAFTER(A774,"|",2))</f>
        <v/>
      </c>
      <c r="E774">
        <f>IF(A774="","",SUMIF(Tickets[TripKey],A774,Tickets[TP]))</f>
        <v/>
      </c>
      <c r="F774">
        <f>IF(A774="","",SUMIF(Tickets[TripKey],A774,Tickets[Revenue]))</f>
        <v/>
      </c>
      <c r="G774">
        <f>IF(A774="","",SUMIF(Tickets[TripKey],A774,Tickets[PK]))</f>
        <v/>
      </c>
      <c r="H774">
        <f>IF(A774="","",IFERROR(XLOOKUP(A774,Tickets[TripKey],Tickets[VehClean]),""))</f>
        <v/>
      </c>
      <c r="I774">
        <f>IF(A774="","",IFERROR(XLOOKUP(A774,Tickets[TripKey],Tickets[RouteLen]),0))</f>
        <v/>
      </c>
      <c r="J774">
        <f>IF(A774="","",IFERROR(XLOOKUP(A774,Tickets[TripKey],Tickets[Capacity]),0))</f>
        <v/>
      </c>
      <c r="K774">
        <f>IF(A774="","",I774*J774)</f>
        <v/>
      </c>
      <c r="L774">
        <f>IF(A774="","",IFERROR(MINIFS(Tickets[Trip Start Time],Tickets[TripKey],A774),""))</f>
        <v/>
      </c>
    </row>
    <row r="775">
      <c r="B775" s="8">
        <f>IF(A775="","",IFERROR(DATEVALUE(TEXTBEFORE(A775,"|")),--LEFT(A775,10)))</f>
        <v/>
      </c>
      <c r="C775">
        <f>IF(A775="","",TEXTBEFORE(TEXTAFTER(A775,"|"),"|"))</f>
        <v/>
      </c>
      <c r="D775">
        <f>IF(A775="","",TEXTAFTER(A775,"|",2))</f>
        <v/>
      </c>
      <c r="E775">
        <f>IF(A775="","",SUMIF(Tickets[TripKey],A775,Tickets[TP]))</f>
        <v/>
      </c>
      <c r="F775">
        <f>IF(A775="","",SUMIF(Tickets[TripKey],A775,Tickets[Revenue]))</f>
        <v/>
      </c>
      <c r="G775">
        <f>IF(A775="","",SUMIF(Tickets[TripKey],A775,Tickets[PK]))</f>
        <v/>
      </c>
      <c r="H775">
        <f>IF(A775="","",IFERROR(XLOOKUP(A775,Tickets[TripKey],Tickets[VehClean]),""))</f>
        <v/>
      </c>
      <c r="I775">
        <f>IF(A775="","",IFERROR(XLOOKUP(A775,Tickets[TripKey],Tickets[RouteLen]),0))</f>
        <v/>
      </c>
      <c r="J775">
        <f>IF(A775="","",IFERROR(XLOOKUP(A775,Tickets[TripKey],Tickets[Capacity]),0))</f>
        <v/>
      </c>
      <c r="K775">
        <f>IF(A775="","",I775*J775)</f>
        <v/>
      </c>
      <c r="L775">
        <f>IF(A775="","",IFERROR(MINIFS(Tickets[Trip Start Time],Tickets[TripKey],A775),""))</f>
        <v/>
      </c>
    </row>
    <row r="776">
      <c r="B776" s="8">
        <f>IF(A776="","",IFERROR(DATEVALUE(TEXTBEFORE(A776,"|")),--LEFT(A776,10)))</f>
        <v/>
      </c>
      <c r="C776">
        <f>IF(A776="","",TEXTBEFORE(TEXTAFTER(A776,"|"),"|"))</f>
        <v/>
      </c>
      <c r="D776">
        <f>IF(A776="","",TEXTAFTER(A776,"|",2))</f>
        <v/>
      </c>
      <c r="E776">
        <f>IF(A776="","",SUMIF(Tickets[TripKey],A776,Tickets[TP]))</f>
        <v/>
      </c>
      <c r="F776">
        <f>IF(A776="","",SUMIF(Tickets[TripKey],A776,Tickets[Revenue]))</f>
        <v/>
      </c>
      <c r="G776">
        <f>IF(A776="","",SUMIF(Tickets[TripKey],A776,Tickets[PK]))</f>
        <v/>
      </c>
      <c r="H776">
        <f>IF(A776="","",IFERROR(XLOOKUP(A776,Tickets[TripKey],Tickets[VehClean]),""))</f>
        <v/>
      </c>
      <c r="I776">
        <f>IF(A776="","",IFERROR(XLOOKUP(A776,Tickets[TripKey],Tickets[RouteLen]),0))</f>
        <v/>
      </c>
      <c r="J776">
        <f>IF(A776="","",IFERROR(XLOOKUP(A776,Tickets[TripKey],Tickets[Capacity]),0))</f>
        <v/>
      </c>
      <c r="K776">
        <f>IF(A776="","",I776*J776)</f>
        <v/>
      </c>
      <c r="L776">
        <f>IF(A776="","",IFERROR(MINIFS(Tickets[Trip Start Time],Tickets[TripKey],A776),""))</f>
        <v/>
      </c>
    </row>
    <row r="777">
      <c r="B777" s="8">
        <f>IF(A777="","",IFERROR(DATEVALUE(TEXTBEFORE(A777,"|")),--LEFT(A777,10)))</f>
        <v/>
      </c>
      <c r="C777">
        <f>IF(A777="","",TEXTBEFORE(TEXTAFTER(A777,"|"),"|"))</f>
        <v/>
      </c>
      <c r="D777">
        <f>IF(A777="","",TEXTAFTER(A777,"|",2))</f>
        <v/>
      </c>
      <c r="E777">
        <f>IF(A777="","",SUMIF(Tickets[TripKey],A777,Tickets[TP]))</f>
        <v/>
      </c>
      <c r="F777">
        <f>IF(A777="","",SUMIF(Tickets[TripKey],A777,Tickets[Revenue]))</f>
        <v/>
      </c>
      <c r="G777">
        <f>IF(A777="","",SUMIF(Tickets[TripKey],A777,Tickets[PK]))</f>
        <v/>
      </c>
      <c r="H777">
        <f>IF(A777="","",IFERROR(XLOOKUP(A777,Tickets[TripKey],Tickets[VehClean]),""))</f>
        <v/>
      </c>
      <c r="I777">
        <f>IF(A777="","",IFERROR(XLOOKUP(A777,Tickets[TripKey],Tickets[RouteLen]),0))</f>
        <v/>
      </c>
      <c r="J777">
        <f>IF(A777="","",IFERROR(XLOOKUP(A777,Tickets[TripKey],Tickets[Capacity]),0))</f>
        <v/>
      </c>
      <c r="K777">
        <f>IF(A777="","",I777*J777)</f>
        <v/>
      </c>
      <c r="L777">
        <f>IF(A777="","",IFERROR(MINIFS(Tickets[Trip Start Time],Tickets[TripKey],A777),""))</f>
        <v/>
      </c>
    </row>
    <row r="778">
      <c r="B778" s="8">
        <f>IF(A778="","",IFERROR(DATEVALUE(TEXTBEFORE(A778,"|")),--LEFT(A778,10)))</f>
        <v/>
      </c>
      <c r="C778">
        <f>IF(A778="","",TEXTBEFORE(TEXTAFTER(A778,"|"),"|"))</f>
        <v/>
      </c>
      <c r="D778">
        <f>IF(A778="","",TEXTAFTER(A778,"|",2))</f>
        <v/>
      </c>
      <c r="E778">
        <f>IF(A778="","",SUMIF(Tickets[TripKey],A778,Tickets[TP]))</f>
        <v/>
      </c>
      <c r="F778">
        <f>IF(A778="","",SUMIF(Tickets[TripKey],A778,Tickets[Revenue]))</f>
        <v/>
      </c>
      <c r="G778">
        <f>IF(A778="","",SUMIF(Tickets[TripKey],A778,Tickets[PK]))</f>
        <v/>
      </c>
      <c r="H778">
        <f>IF(A778="","",IFERROR(XLOOKUP(A778,Tickets[TripKey],Tickets[VehClean]),""))</f>
        <v/>
      </c>
      <c r="I778">
        <f>IF(A778="","",IFERROR(XLOOKUP(A778,Tickets[TripKey],Tickets[RouteLen]),0))</f>
        <v/>
      </c>
      <c r="J778">
        <f>IF(A778="","",IFERROR(XLOOKUP(A778,Tickets[TripKey],Tickets[Capacity]),0))</f>
        <v/>
      </c>
      <c r="K778">
        <f>IF(A778="","",I778*J778)</f>
        <v/>
      </c>
      <c r="L778">
        <f>IF(A778="","",IFERROR(MINIFS(Tickets[Trip Start Time],Tickets[TripKey],A778),""))</f>
        <v/>
      </c>
    </row>
    <row r="779">
      <c r="B779" s="8">
        <f>IF(A779="","",IFERROR(DATEVALUE(TEXTBEFORE(A779,"|")),--LEFT(A779,10)))</f>
        <v/>
      </c>
      <c r="C779">
        <f>IF(A779="","",TEXTBEFORE(TEXTAFTER(A779,"|"),"|"))</f>
        <v/>
      </c>
      <c r="D779">
        <f>IF(A779="","",TEXTAFTER(A779,"|",2))</f>
        <v/>
      </c>
      <c r="E779">
        <f>IF(A779="","",SUMIF(Tickets[TripKey],A779,Tickets[TP]))</f>
        <v/>
      </c>
      <c r="F779">
        <f>IF(A779="","",SUMIF(Tickets[TripKey],A779,Tickets[Revenue]))</f>
        <v/>
      </c>
      <c r="G779">
        <f>IF(A779="","",SUMIF(Tickets[TripKey],A779,Tickets[PK]))</f>
        <v/>
      </c>
      <c r="H779">
        <f>IF(A779="","",IFERROR(XLOOKUP(A779,Tickets[TripKey],Tickets[VehClean]),""))</f>
        <v/>
      </c>
      <c r="I779">
        <f>IF(A779="","",IFERROR(XLOOKUP(A779,Tickets[TripKey],Tickets[RouteLen]),0))</f>
        <v/>
      </c>
      <c r="J779">
        <f>IF(A779="","",IFERROR(XLOOKUP(A779,Tickets[TripKey],Tickets[Capacity]),0))</f>
        <v/>
      </c>
      <c r="K779">
        <f>IF(A779="","",I779*J779)</f>
        <v/>
      </c>
      <c r="L779">
        <f>IF(A779="","",IFERROR(MINIFS(Tickets[Trip Start Time],Tickets[TripKey],A779),""))</f>
        <v/>
      </c>
    </row>
    <row r="780">
      <c r="B780" s="8">
        <f>IF(A780="","",IFERROR(DATEVALUE(TEXTBEFORE(A780,"|")),--LEFT(A780,10)))</f>
        <v/>
      </c>
      <c r="C780">
        <f>IF(A780="","",TEXTBEFORE(TEXTAFTER(A780,"|"),"|"))</f>
        <v/>
      </c>
      <c r="D780">
        <f>IF(A780="","",TEXTAFTER(A780,"|",2))</f>
        <v/>
      </c>
      <c r="E780">
        <f>IF(A780="","",SUMIF(Tickets[TripKey],A780,Tickets[TP]))</f>
        <v/>
      </c>
      <c r="F780">
        <f>IF(A780="","",SUMIF(Tickets[TripKey],A780,Tickets[Revenue]))</f>
        <v/>
      </c>
      <c r="G780">
        <f>IF(A780="","",SUMIF(Tickets[TripKey],A780,Tickets[PK]))</f>
        <v/>
      </c>
      <c r="H780">
        <f>IF(A780="","",IFERROR(XLOOKUP(A780,Tickets[TripKey],Tickets[VehClean]),""))</f>
        <v/>
      </c>
      <c r="I780">
        <f>IF(A780="","",IFERROR(XLOOKUP(A780,Tickets[TripKey],Tickets[RouteLen]),0))</f>
        <v/>
      </c>
      <c r="J780">
        <f>IF(A780="","",IFERROR(XLOOKUP(A780,Tickets[TripKey],Tickets[Capacity]),0))</f>
        <v/>
      </c>
      <c r="K780">
        <f>IF(A780="","",I780*J780)</f>
        <v/>
      </c>
      <c r="L780">
        <f>IF(A780="","",IFERROR(MINIFS(Tickets[Trip Start Time],Tickets[TripKey],A780),""))</f>
        <v/>
      </c>
    </row>
    <row r="781">
      <c r="B781" s="8">
        <f>IF(A781="","",IFERROR(DATEVALUE(TEXTBEFORE(A781,"|")),--LEFT(A781,10)))</f>
        <v/>
      </c>
      <c r="C781">
        <f>IF(A781="","",TEXTBEFORE(TEXTAFTER(A781,"|"),"|"))</f>
        <v/>
      </c>
      <c r="D781">
        <f>IF(A781="","",TEXTAFTER(A781,"|",2))</f>
        <v/>
      </c>
      <c r="E781">
        <f>IF(A781="","",SUMIF(Tickets[TripKey],A781,Tickets[TP]))</f>
        <v/>
      </c>
      <c r="F781">
        <f>IF(A781="","",SUMIF(Tickets[TripKey],A781,Tickets[Revenue]))</f>
        <v/>
      </c>
      <c r="G781">
        <f>IF(A781="","",SUMIF(Tickets[TripKey],A781,Tickets[PK]))</f>
        <v/>
      </c>
      <c r="H781">
        <f>IF(A781="","",IFERROR(XLOOKUP(A781,Tickets[TripKey],Tickets[VehClean]),""))</f>
        <v/>
      </c>
      <c r="I781">
        <f>IF(A781="","",IFERROR(XLOOKUP(A781,Tickets[TripKey],Tickets[RouteLen]),0))</f>
        <v/>
      </c>
      <c r="J781">
        <f>IF(A781="","",IFERROR(XLOOKUP(A781,Tickets[TripKey],Tickets[Capacity]),0))</f>
        <v/>
      </c>
      <c r="K781">
        <f>IF(A781="","",I781*J781)</f>
        <v/>
      </c>
      <c r="L781">
        <f>IF(A781="","",IFERROR(MINIFS(Tickets[Trip Start Time],Tickets[TripKey],A781),""))</f>
        <v/>
      </c>
    </row>
    <row r="782">
      <c r="B782" s="8">
        <f>IF(A782="","",IFERROR(DATEVALUE(TEXTBEFORE(A782,"|")),--LEFT(A782,10)))</f>
        <v/>
      </c>
      <c r="C782">
        <f>IF(A782="","",TEXTBEFORE(TEXTAFTER(A782,"|"),"|"))</f>
        <v/>
      </c>
      <c r="D782">
        <f>IF(A782="","",TEXTAFTER(A782,"|",2))</f>
        <v/>
      </c>
      <c r="E782">
        <f>IF(A782="","",SUMIF(Tickets[TripKey],A782,Tickets[TP]))</f>
        <v/>
      </c>
      <c r="F782">
        <f>IF(A782="","",SUMIF(Tickets[TripKey],A782,Tickets[Revenue]))</f>
        <v/>
      </c>
      <c r="G782">
        <f>IF(A782="","",SUMIF(Tickets[TripKey],A782,Tickets[PK]))</f>
        <v/>
      </c>
      <c r="H782">
        <f>IF(A782="","",IFERROR(XLOOKUP(A782,Tickets[TripKey],Tickets[VehClean]),""))</f>
        <v/>
      </c>
      <c r="I782">
        <f>IF(A782="","",IFERROR(XLOOKUP(A782,Tickets[TripKey],Tickets[RouteLen]),0))</f>
        <v/>
      </c>
      <c r="J782">
        <f>IF(A782="","",IFERROR(XLOOKUP(A782,Tickets[TripKey],Tickets[Capacity]),0))</f>
        <v/>
      </c>
      <c r="K782">
        <f>IF(A782="","",I782*J782)</f>
        <v/>
      </c>
      <c r="L782">
        <f>IF(A782="","",IFERROR(MINIFS(Tickets[Trip Start Time],Tickets[TripKey],A782),""))</f>
        <v/>
      </c>
    </row>
    <row r="783">
      <c r="B783" s="8">
        <f>IF(A783="","",IFERROR(DATEVALUE(TEXTBEFORE(A783,"|")),--LEFT(A783,10)))</f>
        <v/>
      </c>
      <c r="C783">
        <f>IF(A783="","",TEXTBEFORE(TEXTAFTER(A783,"|"),"|"))</f>
        <v/>
      </c>
      <c r="D783">
        <f>IF(A783="","",TEXTAFTER(A783,"|",2))</f>
        <v/>
      </c>
      <c r="E783">
        <f>IF(A783="","",SUMIF(Tickets[TripKey],A783,Tickets[TP]))</f>
        <v/>
      </c>
      <c r="F783">
        <f>IF(A783="","",SUMIF(Tickets[TripKey],A783,Tickets[Revenue]))</f>
        <v/>
      </c>
      <c r="G783">
        <f>IF(A783="","",SUMIF(Tickets[TripKey],A783,Tickets[PK]))</f>
        <v/>
      </c>
      <c r="H783">
        <f>IF(A783="","",IFERROR(XLOOKUP(A783,Tickets[TripKey],Tickets[VehClean]),""))</f>
        <v/>
      </c>
      <c r="I783">
        <f>IF(A783="","",IFERROR(XLOOKUP(A783,Tickets[TripKey],Tickets[RouteLen]),0))</f>
        <v/>
      </c>
      <c r="J783">
        <f>IF(A783="","",IFERROR(XLOOKUP(A783,Tickets[TripKey],Tickets[Capacity]),0))</f>
        <v/>
      </c>
      <c r="K783">
        <f>IF(A783="","",I783*J783)</f>
        <v/>
      </c>
      <c r="L783">
        <f>IF(A783="","",IFERROR(MINIFS(Tickets[Trip Start Time],Tickets[TripKey],A783),""))</f>
        <v/>
      </c>
    </row>
    <row r="784">
      <c r="B784" s="8">
        <f>IF(A784="","",IFERROR(DATEVALUE(TEXTBEFORE(A784,"|")),--LEFT(A784,10)))</f>
        <v/>
      </c>
      <c r="C784">
        <f>IF(A784="","",TEXTBEFORE(TEXTAFTER(A784,"|"),"|"))</f>
        <v/>
      </c>
      <c r="D784">
        <f>IF(A784="","",TEXTAFTER(A784,"|",2))</f>
        <v/>
      </c>
      <c r="E784">
        <f>IF(A784="","",SUMIF(Tickets[TripKey],A784,Tickets[TP]))</f>
        <v/>
      </c>
      <c r="F784">
        <f>IF(A784="","",SUMIF(Tickets[TripKey],A784,Tickets[Revenue]))</f>
        <v/>
      </c>
      <c r="G784">
        <f>IF(A784="","",SUMIF(Tickets[TripKey],A784,Tickets[PK]))</f>
        <v/>
      </c>
      <c r="H784">
        <f>IF(A784="","",IFERROR(XLOOKUP(A784,Tickets[TripKey],Tickets[VehClean]),""))</f>
        <v/>
      </c>
      <c r="I784">
        <f>IF(A784="","",IFERROR(XLOOKUP(A784,Tickets[TripKey],Tickets[RouteLen]),0))</f>
        <v/>
      </c>
      <c r="J784">
        <f>IF(A784="","",IFERROR(XLOOKUP(A784,Tickets[TripKey],Tickets[Capacity]),0))</f>
        <v/>
      </c>
      <c r="K784">
        <f>IF(A784="","",I784*J784)</f>
        <v/>
      </c>
      <c r="L784">
        <f>IF(A784="","",IFERROR(MINIFS(Tickets[Trip Start Time],Tickets[TripKey],A784),""))</f>
        <v/>
      </c>
    </row>
    <row r="785">
      <c r="B785" s="8">
        <f>IF(A785="","",IFERROR(DATEVALUE(TEXTBEFORE(A785,"|")),--LEFT(A785,10)))</f>
        <v/>
      </c>
      <c r="C785">
        <f>IF(A785="","",TEXTBEFORE(TEXTAFTER(A785,"|"),"|"))</f>
        <v/>
      </c>
      <c r="D785">
        <f>IF(A785="","",TEXTAFTER(A785,"|",2))</f>
        <v/>
      </c>
      <c r="E785">
        <f>IF(A785="","",SUMIF(Tickets[TripKey],A785,Tickets[TP]))</f>
        <v/>
      </c>
      <c r="F785">
        <f>IF(A785="","",SUMIF(Tickets[TripKey],A785,Tickets[Revenue]))</f>
        <v/>
      </c>
      <c r="G785">
        <f>IF(A785="","",SUMIF(Tickets[TripKey],A785,Tickets[PK]))</f>
        <v/>
      </c>
      <c r="H785">
        <f>IF(A785="","",IFERROR(XLOOKUP(A785,Tickets[TripKey],Tickets[VehClean]),""))</f>
        <v/>
      </c>
      <c r="I785">
        <f>IF(A785="","",IFERROR(XLOOKUP(A785,Tickets[TripKey],Tickets[RouteLen]),0))</f>
        <v/>
      </c>
      <c r="J785">
        <f>IF(A785="","",IFERROR(XLOOKUP(A785,Tickets[TripKey],Tickets[Capacity]),0))</f>
        <v/>
      </c>
      <c r="K785">
        <f>IF(A785="","",I785*J785)</f>
        <v/>
      </c>
      <c r="L785">
        <f>IF(A785="","",IFERROR(MINIFS(Tickets[Trip Start Time],Tickets[TripKey],A785),""))</f>
        <v/>
      </c>
    </row>
    <row r="786">
      <c r="B786" s="8">
        <f>IF(A786="","",IFERROR(DATEVALUE(TEXTBEFORE(A786,"|")),--LEFT(A786,10)))</f>
        <v/>
      </c>
      <c r="C786">
        <f>IF(A786="","",TEXTBEFORE(TEXTAFTER(A786,"|"),"|"))</f>
        <v/>
      </c>
      <c r="D786">
        <f>IF(A786="","",TEXTAFTER(A786,"|",2))</f>
        <v/>
      </c>
      <c r="E786">
        <f>IF(A786="","",SUMIF(Tickets[TripKey],A786,Tickets[TP]))</f>
        <v/>
      </c>
      <c r="F786">
        <f>IF(A786="","",SUMIF(Tickets[TripKey],A786,Tickets[Revenue]))</f>
        <v/>
      </c>
      <c r="G786">
        <f>IF(A786="","",SUMIF(Tickets[TripKey],A786,Tickets[PK]))</f>
        <v/>
      </c>
      <c r="H786">
        <f>IF(A786="","",IFERROR(XLOOKUP(A786,Tickets[TripKey],Tickets[VehClean]),""))</f>
        <v/>
      </c>
      <c r="I786">
        <f>IF(A786="","",IFERROR(XLOOKUP(A786,Tickets[TripKey],Tickets[RouteLen]),0))</f>
        <v/>
      </c>
      <c r="J786">
        <f>IF(A786="","",IFERROR(XLOOKUP(A786,Tickets[TripKey],Tickets[Capacity]),0))</f>
        <v/>
      </c>
      <c r="K786">
        <f>IF(A786="","",I786*J786)</f>
        <v/>
      </c>
      <c r="L786">
        <f>IF(A786="","",IFERROR(MINIFS(Tickets[Trip Start Time],Tickets[TripKey],A786),""))</f>
        <v/>
      </c>
    </row>
    <row r="787">
      <c r="B787" s="8">
        <f>IF(A787="","",IFERROR(DATEVALUE(TEXTBEFORE(A787,"|")),--LEFT(A787,10)))</f>
        <v/>
      </c>
      <c r="C787">
        <f>IF(A787="","",TEXTBEFORE(TEXTAFTER(A787,"|"),"|"))</f>
        <v/>
      </c>
      <c r="D787">
        <f>IF(A787="","",TEXTAFTER(A787,"|",2))</f>
        <v/>
      </c>
      <c r="E787">
        <f>IF(A787="","",SUMIF(Tickets[TripKey],A787,Tickets[TP]))</f>
        <v/>
      </c>
      <c r="F787">
        <f>IF(A787="","",SUMIF(Tickets[TripKey],A787,Tickets[Revenue]))</f>
        <v/>
      </c>
      <c r="G787">
        <f>IF(A787="","",SUMIF(Tickets[TripKey],A787,Tickets[PK]))</f>
        <v/>
      </c>
      <c r="H787">
        <f>IF(A787="","",IFERROR(XLOOKUP(A787,Tickets[TripKey],Tickets[VehClean]),""))</f>
        <v/>
      </c>
      <c r="I787">
        <f>IF(A787="","",IFERROR(XLOOKUP(A787,Tickets[TripKey],Tickets[RouteLen]),0))</f>
        <v/>
      </c>
      <c r="J787">
        <f>IF(A787="","",IFERROR(XLOOKUP(A787,Tickets[TripKey],Tickets[Capacity]),0))</f>
        <v/>
      </c>
      <c r="K787">
        <f>IF(A787="","",I787*J787)</f>
        <v/>
      </c>
      <c r="L787">
        <f>IF(A787="","",IFERROR(MINIFS(Tickets[Trip Start Time],Tickets[TripKey],A787),""))</f>
        <v/>
      </c>
    </row>
    <row r="788">
      <c r="B788" s="8">
        <f>IF(A788="","",IFERROR(DATEVALUE(TEXTBEFORE(A788,"|")),--LEFT(A788,10)))</f>
        <v/>
      </c>
      <c r="C788">
        <f>IF(A788="","",TEXTBEFORE(TEXTAFTER(A788,"|"),"|"))</f>
        <v/>
      </c>
      <c r="D788">
        <f>IF(A788="","",TEXTAFTER(A788,"|",2))</f>
        <v/>
      </c>
      <c r="E788">
        <f>IF(A788="","",SUMIF(Tickets[TripKey],A788,Tickets[TP]))</f>
        <v/>
      </c>
      <c r="F788">
        <f>IF(A788="","",SUMIF(Tickets[TripKey],A788,Tickets[Revenue]))</f>
        <v/>
      </c>
      <c r="G788">
        <f>IF(A788="","",SUMIF(Tickets[TripKey],A788,Tickets[PK]))</f>
        <v/>
      </c>
      <c r="H788">
        <f>IF(A788="","",IFERROR(XLOOKUP(A788,Tickets[TripKey],Tickets[VehClean]),""))</f>
        <v/>
      </c>
      <c r="I788">
        <f>IF(A788="","",IFERROR(XLOOKUP(A788,Tickets[TripKey],Tickets[RouteLen]),0))</f>
        <v/>
      </c>
      <c r="J788">
        <f>IF(A788="","",IFERROR(XLOOKUP(A788,Tickets[TripKey],Tickets[Capacity]),0))</f>
        <v/>
      </c>
      <c r="K788">
        <f>IF(A788="","",I788*J788)</f>
        <v/>
      </c>
      <c r="L788">
        <f>IF(A788="","",IFERROR(MINIFS(Tickets[Trip Start Time],Tickets[TripKey],A788),""))</f>
        <v/>
      </c>
    </row>
    <row r="789">
      <c r="B789" s="8">
        <f>IF(A789="","",IFERROR(DATEVALUE(TEXTBEFORE(A789,"|")),--LEFT(A789,10)))</f>
        <v/>
      </c>
      <c r="C789">
        <f>IF(A789="","",TEXTBEFORE(TEXTAFTER(A789,"|"),"|"))</f>
        <v/>
      </c>
      <c r="D789">
        <f>IF(A789="","",TEXTAFTER(A789,"|",2))</f>
        <v/>
      </c>
      <c r="E789">
        <f>IF(A789="","",SUMIF(Tickets[TripKey],A789,Tickets[TP]))</f>
        <v/>
      </c>
      <c r="F789">
        <f>IF(A789="","",SUMIF(Tickets[TripKey],A789,Tickets[Revenue]))</f>
        <v/>
      </c>
      <c r="G789">
        <f>IF(A789="","",SUMIF(Tickets[TripKey],A789,Tickets[PK]))</f>
        <v/>
      </c>
      <c r="H789">
        <f>IF(A789="","",IFERROR(XLOOKUP(A789,Tickets[TripKey],Tickets[VehClean]),""))</f>
        <v/>
      </c>
      <c r="I789">
        <f>IF(A789="","",IFERROR(XLOOKUP(A789,Tickets[TripKey],Tickets[RouteLen]),0))</f>
        <v/>
      </c>
      <c r="J789">
        <f>IF(A789="","",IFERROR(XLOOKUP(A789,Tickets[TripKey],Tickets[Capacity]),0))</f>
        <v/>
      </c>
      <c r="K789">
        <f>IF(A789="","",I789*J789)</f>
        <v/>
      </c>
      <c r="L789">
        <f>IF(A789="","",IFERROR(MINIFS(Tickets[Trip Start Time],Tickets[TripKey],A789),""))</f>
        <v/>
      </c>
    </row>
    <row r="790">
      <c r="B790" s="8">
        <f>IF(A790="","",IFERROR(DATEVALUE(TEXTBEFORE(A790,"|")),--LEFT(A790,10)))</f>
        <v/>
      </c>
      <c r="C790">
        <f>IF(A790="","",TEXTBEFORE(TEXTAFTER(A790,"|"),"|"))</f>
        <v/>
      </c>
      <c r="D790">
        <f>IF(A790="","",TEXTAFTER(A790,"|",2))</f>
        <v/>
      </c>
      <c r="E790">
        <f>IF(A790="","",SUMIF(Tickets[TripKey],A790,Tickets[TP]))</f>
        <v/>
      </c>
      <c r="F790">
        <f>IF(A790="","",SUMIF(Tickets[TripKey],A790,Tickets[Revenue]))</f>
        <v/>
      </c>
      <c r="G790">
        <f>IF(A790="","",SUMIF(Tickets[TripKey],A790,Tickets[PK]))</f>
        <v/>
      </c>
      <c r="H790">
        <f>IF(A790="","",IFERROR(XLOOKUP(A790,Tickets[TripKey],Tickets[VehClean]),""))</f>
        <v/>
      </c>
      <c r="I790">
        <f>IF(A790="","",IFERROR(XLOOKUP(A790,Tickets[TripKey],Tickets[RouteLen]),0))</f>
        <v/>
      </c>
      <c r="J790">
        <f>IF(A790="","",IFERROR(XLOOKUP(A790,Tickets[TripKey],Tickets[Capacity]),0))</f>
        <v/>
      </c>
      <c r="K790">
        <f>IF(A790="","",I790*J790)</f>
        <v/>
      </c>
      <c r="L790">
        <f>IF(A790="","",IFERROR(MINIFS(Tickets[Trip Start Time],Tickets[TripKey],A790),""))</f>
        <v/>
      </c>
    </row>
    <row r="791">
      <c r="B791" s="8">
        <f>IF(A791="","",IFERROR(DATEVALUE(TEXTBEFORE(A791,"|")),--LEFT(A791,10)))</f>
        <v/>
      </c>
      <c r="C791">
        <f>IF(A791="","",TEXTBEFORE(TEXTAFTER(A791,"|"),"|"))</f>
        <v/>
      </c>
      <c r="D791">
        <f>IF(A791="","",TEXTAFTER(A791,"|",2))</f>
        <v/>
      </c>
      <c r="E791">
        <f>IF(A791="","",SUMIF(Tickets[TripKey],A791,Tickets[TP]))</f>
        <v/>
      </c>
      <c r="F791">
        <f>IF(A791="","",SUMIF(Tickets[TripKey],A791,Tickets[Revenue]))</f>
        <v/>
      </c>
      <c r="G791">
        <f>IF(A791="","",SUMIF(Tickets[TripKey],A791,Tickets[PK]))</f>
        <v/>
      </c>
      <c r="H791">
        <f>IF(A791="","",IFERROR(XLOOKUP(A791,Tickets[TripKey],Tickets[VehClean]),""))</f>
        <v/>
      </c>
      <c r="I791">
        <f>IF(A791="","",IFERROR(XLOOKUP(A791,Tickets[TripKey],Tickets[RouteLen]),0))</f>
        <v/>
      </c>
      <c r="J791">
        <f>IF(A791="","",IFERROR(XLOOKUP(A791,Tickets[TripKey],Tickets[Capacity]),0))</f>
        <v/>
      </c>
      <c r="K791">
        <f>IF(A791="","",I791*J791)</f>
        <v/>
      </c>
      <c r="L791">
        <f>IF(A791="","",IFERROR(MINIFS(Tickets[Trip Start Time],Tickets[TripKey],A791),""))</f>
        <v/>
      </c>
    </row>
    <row r="792">
      <c r="B792" s="8">
        <f>IF(A792="","",IFERROR(DATEVALUE(TEXTBEFORE(A792,"|")),--LEFT(A792,10)))</f>
        <v/>
      </c>
      <c r="C792">
        <f>IF(A792="","",TEXTBEFORE(TEXTAFTER(A792,"|"),"|"))</f>
        <v/>
      </c>
      <c r="D792">
        <f>IF(A792="","",TEXTAFTER(A792,"|",2))</f>
        <v/>
      </c>
      <c r="E792">
        <f>IF(A792="","",SUMIF(Tickets[TripKey],A792,Tickets[TP]))</f>
        <v/>
      </c>
      <c r="F792">
        <f>IF(A792="","",SUMIF(Tickets[TripKey],A792,Tickets[Revenue]))</f>
        <v/>
      </c>
      <c r="G792">
        <f>IF(A792="","",SUMIF(Tickets[TripKey],A792,Tickets[PK]))</f>
        <v/>
      </c>
      <c r="H792">
        <f>IF(A792="","",IFERROR(XLOOKUP(A792,Tickets[TripKey],Tickets[VehClean]),""))</f>
        <v/>
      </c>
      <c r="I792">
        <f>IF(A792="","",IFERROR(XLOOKUP(A792,Tickets[TripKey],Tickets[RouteLen]),0))</f>
        <v/>
      </c>
      <c r="J792">
        <f>IF(A792="","",IFERROR(XLOOKUP(A792,Tickets[TripKey],Tickets[Capacity]),0))</f>
        <v/>
      </c>
      <c r="K792">
        <f>IF(A792="","",I792*J792)</f>
        <v/>
      </c>
      <c r="L792">
        <f>IF(A792="","",IFERROR(MINIFS(Tickets[Trip Start Time],Tickets[TripKey],A792),""))</f>
        <v/>
      </c>
    </row>
    <row r="793">
      <c r="B793" s="8">
        <f>IF(A793="","",IFERROR(DATEVALUE(TEXTBEFORE(A793,"|")),--LEFT(A793,10)))</f>
        <v/>
      </c>
      <c r="C793">
        <f>IF(A793="","",TEXTBEFORE(TEXTAFTER(A793,"|"),"|"))</f>
        <v/>
      </c>
      <c r="D793">
        <f>IF(A793="","",TEXTAFTER(A793,"|",2))</f>
        <v/>
      </c>
      <c r="E793">
        <f>IF(A793="","",SUMIF(Tickets[TripKey],A793,Tickets[TP]))</f>
        <v/>
      </c>
      <c r="F793">
        <f>IF(A793="","",SUMIF(Tickets[TripKey],A793,Tickets[Revenue]))</f>
        <v/>
      </c>
      <c r="G793">
        <f>IF(A793="","",SUMIF(Tickets[TripKey],A793,Tickets[PK]))</f>
        <v/>
      </c>
      <c r="H793">
        <f>IF(A793="","",IFERROR(XLOOKUP(A793,Tickets[TripKey],Tickets[VehClean]),""))</f>
        <v/>
      </c>
      <c r="I793">
        <f>IF(A793="","",IFERROR(XLOOKUP(A793,Tickets[TripKey],Tickets[RouteLen]),0))</f>
        <v/>
      </c>
      <c r="J793">
        <f>IF(A793="","",IFERROR(XLOOKUP(A793,Tickets[TripKey],Tickets[Capacity]),0))</f>
        <v/>
      </c>
      <c r="K793">
        <f>IF(A793="","",I793*J793)</f>
        <v/>
      </c>
      <c r="L793">
        <f>IF(A793="","",IFERROR(MINIFS(Tickets[Trip Start Time],Tickets[TripKey],A793),""))</f>
        <v/>
      </c>
    </row>
    <row r="794">
      <c r="B794" s="8">
        <f>IF(A794="","",IFERROR(DATEVALUE(TEXTBEFORE(A794,"|")),--LEFT(A794,10)))</f>
        <v/>
      </c>
      <c r="C794">
        <f>IF(A794="","",TEXTBEFORE(TEXTAFTER(A794,"|"),"|"))</f>
        <v/>
      </c>
      <c r="D794">
        <f>IF(A794="","",TEXTAFTER(A794,"|",2))</f>
        <v/>
      </c>
      <c r="E794">
        <f>IF(A794="","",SUMIF(Tickets[TripKey],A794,Tickets[TP]))</f>
        <v/>
      </c>
      <c r="F794">
        <f>IF(A794="","",SUMIF(Tickets[TripKey],A794,Tickets[Revenue]))</f>
        <v/>
      </c>
      <c r="G794">
        <f>IF(A794="","",SUMIF(Tickets[TripKey],A794,Tickets[PK]))</f>
        <v/>
      </c>
      <c r="H794">
        <f>IF(A794="","",IFERROR(XLOOKUP(A794,Tickets[TripKey],Tickets[VehClean]),""))</f>
        <v/>
      </c>
      <c r="I794">
        <f>IF(A794="","",IFERROR(XLOOKUP(A794,Tickets[TripKey],Tickets[RouteLen]),0))</f>
        <v/>
      </c>
      <c r="J794">
        <f>IF(A794="","",IFERROR(XLOOKUP(A794,Tickets[TripKey],Tickets[Capacity]),0))</f>
        <v/>
      </c>
      <c r="K794">
        <f>IF(A794="","",I794*J794)</f>
        <v/>
      </c>
      <c r="L794">
        <f>IF(A794="","",IFERROR(MINIFS(Tickets[Trip Start Time],Tickets[TripKey],A794),""))</f>
        <v/>
      </c>
    </row>
    <row r="795">
      <c r="B795" s="8">
        <f>IF(A795="","",IFERROR(DATEVALUE(TEXTBEFORE(A795,"|")),--LEFT(A795,10)))</f>
        <v/>
      </c>
      <c r="C795">
        <f>IF(A795="","",TEXTBEFORE(TEXTAFTER(A795,"|"),"|"))</f>
        <v/>
      </c>
      <c r="D795">
        <f>IF(A795="","",TEXTAFTER(A795,"|",2))</f>
        <v/>
      </c>
      <c r="E795">
        <f>IF(A795="","",SUMIF(Tickets[TripKey],A795,Tickets[TP]))</f>
        <v/>
      </c>
      <c r="F795">
        <f>IF(A795="","",SUMIF(Tickets[TripKey],A795,Tickets[Revenue]))</f>
        <v/>
      </c>
      <c r="G795">
        <f>IF(A795="","",SUMIF(Tickets[TripKey],A795,Tickets[PK]))</f>
        <v/>
      </c>
      <c r="H795">
        <f>IF(A795="","",IFERROR(XLOOKUP(A795,Tickets[TripKey],Tickets[VehClean]),""))</f>
        <v/>
      </c>
      <c r="I795">
        <f>IF(A795="","",IFERROR(XLOOKUP(A795,Tickets[TripKey],Tickets[RouteLen]),0))</f>
        <v/>
      </c>
      <c r="J795">
        <f>IF(A795="","",IFERROR(XLOOKUP(A795,Tickets[TripKey],Tickets[Capacity]),0))</f>
        <v/>
      </c>
      <c r="K795">
        <f>IF(A795="","",I795*J795)</f>
        <v/>
      </c>
      <c r="L795">
        <f>IF(A795="","",IFERROR(MINIFS(Tickets[Trip Start Time],Tickets[TripKey],A795),""))</f>
        <v/>
      </c>
    </row>
    <row r="796">
      <c r="B796" s="8">
        <f>IF(A796="","",IFERROR(DATEVALUE(TEXTBEFORE(A796,"|")),--LEFT(A796,10)))</f>
        <v/>
      </c>
      <c r="C796">
        <f>IF(A796="","",TEXTBEFORE(TEXTAFTER(A796,"|"),"|"))</f>
        <v/>
      </c>
      <c r="D796">
        <f>IF(A796="","",TEXTAFTER(A796,"|",2))</f>
        <v/>
      </c>
      <c r="E796">
        <f>IF(A796="","",SUMIF(Tickets[TripKey],A796,Tickets[TP]))</f>
        <v/>
      </c>
      <c r="F796">
        <f>IF(A796="","",SUMIF(Tickets[TripKey],A796,Tickets[Revenue]))</f>
        <v/>
      </c>
      <c r="G796">
        <f>IF(A796="","",SUMIF(Tickets[TripKey],A796,Tickets[PK]))</f>
        <v/>
      </c>
      <c r="H796">
        <f>IF(A796="","",IFERROR(XLOOKUP(A796,Tickets[TripKey],Tickets[VehClean]),""))</f>
        <v/>
      </c>
      <c r="I796">
        <f>IF(A796="","",IFERROR(XLOOKUP(A796,Tickets[TripKey],Tickets[RouteLen]),0))</f>
        <v/>
      </c>
      <c r="J796">
        <f>IF(A796="","",IFERROR(XLOOKUP(A796,Tickets[TripKey],Tickets[Capacity]),0))</f>
        <v/>
      </c>
      <c r="K796">
        <f>IF(A796="","",I796*J796)</f>
        <v/>
      </c>
      <c r="L796">
        <f>IF(A796="","",IFERROR(MINIFS(Tickets[Trip Start Time],Tickets[TripKey],A796),""))</f>
        <v/>
      </c>
    </row>
    <row r="797">
      <c r="B797" s="8">
        <f>IF(A797="","",IFERROR(DATEVALUE(TEXTBEFORE(A797,"|")),--LEFT(A797,10)))</f>
        <v/>
      </c>
      <c r="C797">
        <f>IF(A797="","",TEXTBEFORE(TEXTAFTER(A797,"|"),"|"))</f>
        <v/>
      </c>
      <c r="D797">
        <f>IF(A797="","",TEXTAFTER(A797,"|",2))</f>
        <v/>
      </c>
      <c r="E797">
        <f>IF(A797="","",SUMIF(Tickets[TripKey],A797,Tickets[TP]))</f>
        <v/>
      </c>
      <c r="F797">
        <f>IF(A797="","",SUMIF(Tickets[TripKey],A797,Tickets[Revenue]))</f>
        <v/>
      </c>
      <c r="G797">
        <f>IF(A797="","",SUMIF(Tickets[TripKey],A797,Tickets[PK]))</f>
        <v/>
      </c>
      <c r="H797">
        <f>IF(A797="","",IFERROR(XLOOKUP(A797,Tickets[TripKey],Tickets[VehClean]),""))</f>
        <v/>
      </c>
      <c r="I797">
        <f>IF(A797="","",IFERROR(XLOOKUP(A797,Tickets[TripKey],Tickets[RouteLen]),0))</f>
        <v/>
      </c>
      <c r="J797">
        <f>IF(A797="","",IFERROR(XLOOKUP(A797,Tickets[TripKey],Tickets[Capacity]),0))</f>
        <v/>
      </c>
      <c r="K797">
        <f>IF(A797="","",I797*J797)</f>
        <v/>
      </c>
      <c r="L797">
        <f>IF(A797="","",IFERROR(MINIFS(Tickets[Trip Start Time],Tickets[TripKey],A797),""))</f>
        <v/>
      </c>
    </row>
    <row r="798">
      <c r="B798" s="8">
        <f>IF(A798="","",IFERROR(DATEVALUE(TEXTBEFORE(A798,"|")),--LEFT(A798,10)))</f>
        <v/>
      </c>
      <c r="C798">
        <f>IF(A798="","",TEXTBEFORE(TEXTAFTER(A798,"|"),"|"))</f>
        <v/>
      </c>
      <c r="D798">
        <f>IF(A798="","",TEXTAFTER(A798,"|",2))</f>
        <v/>
      </c>
      <c r="E798">
        <f>IF(A798="","",SUMIF(Tickets[TripKey],A798,Tickets[TP]))</f>
        <v/>
      </c>
      <c r="F798">
        <f>IF(A798="","",SUMIF(Tickets[TripKey],A798,Tickets[Revenue]))</f>
        <v/>
      </c>
      <c r="G798">
        <f>IF(A798="","",SUMIF(Tickets[TripKey],A798,Tickets[PK]))</f>
        <v/>
      </c>
      <c r="H798">
        <f>IF(A798="","",IFERROR(XLOOKUP(A798,Tickets[TripKey],Tickets[VehClean]),""))</f>
        <v/>
      </c>
      <c r="I798">
        <f>IF(A798="","",IFERROR(XLOOKUP(A798,Tickets[TripKey],Tickets[RouteLen]),0))</f>
        <v/>
      </c>
      <c r="J798">
        <f>IF(A798="","",IFERROR(XLOOKUP(A798,Tickets[TripKey],Tickets[Capacity]),0))</f>
        <v/>
      </c>
      <c r="K798">
        <f>IF(A798="","",I798*J798)</f>
        <v/>
      </c>
      <c r="L798">
        <f>IF(A798="","",IFERROR(MINIFS(Tickets[Trip Start Time],Tickets[TripKey],A798),""))</f>
        <v/>
      </c>
    </row>
    <row r="799">
      <c r="B799" s="8">
        <f>IF(A799="","",IFERROR(DATEVALUE(TEXTBEFORE(A799,"|")),--LEFT(A799,10)))</f>
        <v/>
      </c>
      <c r="C799">
        <f>IF(A799="","",TEXTBEFORE(TEXTAFTER(A799,"|"),"|"))</f>
        <v/>
      </c>
      <c r="D799">
        <f>IF(A799="","",TEXTAFTER(A799,"|",2))</f>
        <v/>
      </c>
      <c r="E799">
        <f>IF(A799="","",SUMIF(Tickets[TripKey],A799,Tickets[TP]))</f>
        <v/>
      </c>
      <c r="F799">
        <f>IF(A799="","",SUMIF(Tickets[TripKey],A799,Tickets[Revenue]))</f>
        <v/>
      </c>
      <c r="G799">
        <f>IF(A799="","",SUMIF(Tickets[TripKey],A799,Tickets[PK]))</f>
        <v/>
      </c>
      <c r="H799">
        <f>IF(A799="","",IFERROR(XLOOKUP(A799,Tickets[TripKey],Tickets[VehClean]),""))</f>
        <v/>
      </c>
      <c r="I799">
        <f>IF(A799="","",IFERROR(XLOOKUP(A799,Tickets[TripKey],Tickets[RouteLen]),0))</f>
        <v/>
      </c>
      <c r="J799">
        <f>IF(A799="","",IFERROR(XLOOKUP(A799,Tickets[TripKey],Tickets[Capacity]),0))</f>
        <v/>
      </c>
      <c r="K799">
        <f>IF(A799="","",I799*J799)</f>
        <v/>
      </c>
      <c r="L799">
        <f>IF(A799="","",IFERROR(MINIFS(Tickets[Trip Start Time],Tickets[TripKey],A799),""))</f>
        <v/>
      </c>
    </row>
    <row r="800">
      <c r="B800" s="8">
        <f>IF(A800="","",IFERROR(DATEVALUE(TEXTBEFORE(A800,"|")),--LEFT(A800,10)))</f>
        <v/>
      </c>
      <c r="C800">
        <f>IF(A800="","",TEXTBEFORE(TEXTAFTER(A800,"|"),"|"))</f>
        <v/>
      </c>
      <c r="D800">
        <f>IF(A800="","",TEXTAFTER(A800,"|",2))</f>
        <v/>
      </c>
      <c r="E800">
        <f>IF(A800="","",SUMIF(Tickets[TripKey],A800,Tickets[TP]))</f>
        <v/>
      </c>
      <c r="F800">
        <f>IF(A800="","",SUMIF(Tickets[TripKey],A800,Tickets[Revenue]))</f>
        <v/>
      </c>
      <c r="G800">
        <f>IF(A800="","",SUMIF(Tickets[TripKey],A800,Tickets[PK]))</f>
        <v/>
      </c>
      <c r="H800">
        <f>IF(A800="","",IFERROR(XLOOKUP(A800,Tickets[TripKey],Tickets[VehClean]),""))</f>
        <v/>
      </c>
      <c r="I800">
        <f>IF(A800="","",IFERROR(XLOOKUP(A800,Tickets[TripKey],Tickets[RouteLen]),0))</f>
        <v/>
      </c>
      <c r="J800">
        <f>IF(A800="","",IFERROR(XLOOKUP(A800,Tickets[TripKey],Tickets[Capacity]),0))</f>
        <v/>
      </c>
      <c r="K800">
        <f>IF(A800="","",I800*J800)</f>
        <v/>
      </c>
      <c r="L800">
        <f>IF(A800="","",IFERROR(MINIFS(Tickets[Trip Start Time],Tickets[TripKey],A800),""))</f>
        <v/>
      </c>
    </row>
    <row r="801">
      <c r="B801" s="8">
        <f>IF(A801="","",IFERROR(DATEVALUE(TEXTBEFORE(A801,"|")),--LEFT(A801,10)))</f>
        <v/>
      </c>
      <c r="C801">
        <f>IF(A801="","",TEXTBEFORE(TEXTAFTER(A801,"|"),"|"))</f>
        <v/>
      </c>
      <c r="D801">
        <f>IF(A801="","",TEXTAFTER(A801,"|",2))</f>
        <v/>
      </c>
      <c r="E801">
        <f>IF(A801="","",SUMIF(Tickets[TripKey],A801,Tickets[TP]))</f>
        <v/>
      </c>
      <c r="F801">
        <f>IF(A801="","",SUMIF(Tickets[TripKey],A801,Tickets[Revenue]))</f>
        <v/>
      </c>
      <c r="G801">
        <f>IF(A801="","",SUMIF(Tickets[TripKey],A801,Tickets[PK]))</f>
        <v/>
      </c>
      <c r="H801">
        <f>IF(A801="","",IFERROR(XLOOKUP(A801,Tickets[TripKey],Tickets[VehClean]),""))</f>
        <v/>
      </c>
      <c r="I801">
        <f>IF(A801="","",IFERROR(XLOOKUP(A801,Tickets[TripKey],Tickets[RouteLen]),0))</f>
        <v/>
      </c>
      <c r="J801">
        <f>IF(A801="","",IFERROR(XLOOKUP(A801,Tickets[TripKey],Tickets[Capacity]),0))</f>
        <v/>
      </c>
      <c r="K801">
        <f>IF(A801="","",I801*J801)</f>
        <v/>
      </c>
      <c r="L801">
        <f>IF(A801="","",IFERROR(MINIFS(Tickets[Trip Start Time],Tickets[TripKey],A801),""))</f>
        <v/>
      </c>
    </row>
    <row r="802">
      <c r="B802" s="8">
        <f>IF(A802="","",IFERROR(DATEVALUE(TEXTBEFORE(A802,"|")),--LEFT(A802,10)))</f>
        <v/>
      </c>
      <c r="C802">
        <f>IF(A802="","",TEXTBEFORE(TEXTAFTER(A802,"|"),"|"))</f>
        <v/>
      </c>
      <c r="D802">
        <f>IF(A802="","",TEXTAFTER(A802,"|",2))</f>
        <v/>
      </c>
      <c r="E802">
        <f>IF(A802="","",SUMIF(Tickets[TripKey],A802,Tickets[TP]))</f>
        <v/>
      </c>
      <c r="F802">
        <f>IF(A802="","",SUMIF(Tickets[TripKey],A802,Tickets[Revenue]))</f>
        <v/>
      </c>
      <c r="G802">
        <f>IF(A802="","",SUMIF(Tickets[TripKey],A802,Tickets[PK]))</f>
        <v/>
      </c>
      <c r="H802">
        <f>IF(A802="","",IFERROR(XLOOKUP(A802,Tickets[TripKey],Tickets[VehClean]),""))</f>
        <v/>
      </c>
      <c r="I802">
        <f>IF(A802="","",IFERROR(XLOOKUP(A802,Tickets[TripKey],Tickets[RouteLen]),0))</f>
        <v/>
      </c>
      <c r="J802">
        <f>IF(A802="","",IFERROR(XLOOKUP(A802,Tickets[TripKey],Tickets[Capacity]),0))</f>
        <v/>
      </c>
      <c r="K802">
        <f>IF(A802="","",I802*J802)</f>
        <v/>
      </c>
      <c r="L802">
        <f>IF(A802="","",IFERROR(MINIFS(Tickets[Trip Start Time],Tickets[TripKey],A802),""))</f>
        <v/>
      </c>
    </row>
    <row r="803">
      <c r="B803" s="8">
        <f>IF(A803="","",IFERROR(DATEVALUE(TEXTBEFORE(A803,"|")),--LEFT(A803,10)))</f>
        <v/>
      </c>
      <c r="C803">
        <f>IF(A803="","",TEXTBEFORE(TEXTAFTER(A803,"|"),"|"))</f>
        <v/>
      </c>
      <c r="D803">
        <f>IF(A803="","",TEXTAFTER(A803,"|",2))</f>
        <v/>
      </c>
      <c r="E803">
        <f>IF(A803="","",SUMIF(Tickets[TripKey],A803,Tickets[TP]))</f>
        <v/>
      </c>
      <c r="F803">
        <f>IF(A803="","",SUMIF(Tickets[TripKey],A803,Tickets[Revenue]))</f>
        <v/>
      </c>
      <c r="G803">
        <f>IF(A803="","",SUMIF(Tickets[TripKey],A803,Tickets[PK]))</f>
        <v/>
      </c>
      <c r="H803">
        <f>IF(A803="","",IFERROR(XLOOKUP(A803,Tickets[TripKey],Tickets[VehClean]),""))</f>
        <v/>
      </c>
      <c r="I803">
        <f>IF(A803="","",IFERROR(XLOOKUP(A803,Tickets[TripKey],Tickets[RouteLen]),0))</f>
        <v/>
      </c>
      <c r="J803">
        <f>IF(A803="","",IFERROR(XLOOKUP(A803,Tickets[TripKey],Tickets[Capacity]),0))</f>
        <v/>
      </c>
      <c r="K803">
        <f>IF(A803="","",I803*J803)</f>
        <v/>
      </c>
      <c r="L803">
        <f>IF(A803="","",IFERROR(MINIFS(Tickets[Trip Start Time],Tickets[TripKey],A803),""))</f>
        <v/>
      </c>
    </row>
    <row r="804">
      <c r="B804" s="8">
        <f>IF(A804="","",IFERROR(DATEVALUE(TEXTBEFORE(A804,"|")),--LEFT(A804,10)))</f>
        <v/>
      </c>
      <c r="C804">
        <f>IF(A804="","",TEXTBEFORE(TEXTAFTER(A804,"|"),"|"))</f>
        <v/>
      </c>
      <c r="D804">
        <f>IF(A804="","",TEXTAFTER(A804,"|",2))</f>
        <v/>
      </c>
      <c r="E804">
        <f>IF(A804="","",SUMIF(Tickets[TripKey],A804,Tickets[TP]))</f>
        <v/>
      </c>
      <c r="F804">
        <f>IF(A804="","",SUMIF(Tickets[TripKey],A804,Tickets[Revenue]))</f>
        <v/>
      </c>
      <c r="G804">
        <f>IF(A804="","",SUMIF(Tickets[TripKey],A804,Tickets[PK]))</f>
        <v/>
      </c>
      <c r="H804">
        <f>IF(A804="","",IFERROR(XLOOKUP(A804,Tickets[TripKey],Tickets[VehClean]),""))</f>
        <v/>
      </c>
      <c r="I804">
        <f>IF(A804="","",IFERROR(XLOOKUP(A804,Tickets[TripKey],Tickets[RouteLen]),0))</f>
        <v/>
      </c>
      <c r="J804">
        <f>IF(A804="","",IFERROR(XLOOKUP(A804,Tickets[TripKey],Tickets[Capacity]),0))</f>
        <v/>
      </c>
      <c r="K804">
        <f>IF(A804="","",I804*J804)</f>
        <v/>
      </c>
      <c r="L804">
        <f>IF(A804="","",IFERROR(MINIFS(Tickets[Trip Start Time],Tickets[TripKey],A804),""))</f>
        <v/>
      </c>
    </row>
    <row r="805">
      <c r="B805" s="8">
        <f>IF(A805="","",IFERROR(DATEVALUE(TEXTBEFORE(A805,"|")),--LEFT(A805,10)))</f>
        <v/>
      </c>
      <c r="C805">
        <f>IF(A805="","",TEXTBEFORE(TEXTAFTER(A805,"|"),"|"))</f>
        <v/>
      </c>
      <c r="D805">
        <f>IF(A805="","",TEXTAFTER(A805,"|",2))</f>
        <v/>
      </c>
      <c r="E805">
        <f>IF(A805="","",SUMIF(Tickets[TripKey],A805,Tickets[TP]))</f>
        <v/>
      </c>
      <c r="F805">
        <f>IF(A805="","",SUMIF(Tickets[TripKey],A805,Tickets[Revenue]))</f>
        <v/>
      </c>
      <c r="G805">
        <f>IF(A805="","",SUMIF(Tickets[TripKey],A805,Tickets[PK]))</f>
        <v/>
      </c>
      <c r="H805">
        <f>IF(A805="","",IFERROR(XLOOKUP(A805,Tickets[TripKey],Tickets[VehClean]),""))</f>
        <v/>
      </c>
      <c r="I805">
        <f>IF(A805="","",IFERROR(XLOOKUP(A805,Tickets[TripKey],Tickets[RouteLen]),0))</f>
        <v/>
      </c>
      <c r="J805">
        <f>IF(A805="","",IFERROR(XLOOKUP(A805,Tickets[TripKey],Tickets[Capacity]),0))</f>
        <v/>
      </c>
      <c r="K805">
        <f>IF(A805="","",I805*J805)</f>
        <v/>
      </c>
      <c r="L805">
        <f>IF(A805="","",IFERROR(MINIFS(Tickets[Trip Start Time],Tickets[TripKey],A805),""))</f>
        <v/>
      </c>
    </row>
    <row r="806">
      <c r="B806" s="8">
        <f>IF(A806="","",IFERROR(DATEVALUE(TEXTBEFORE(A806,"|")),--LEFT(A806,10)))</f>
        <v/>
      </c>
      <c r="C806">
        <f>IF(A806="","",TEXTBEFORE(TEXTAFTER(A806,"|"),"|"))</f>
        <v/>
      </c>
      <c r="D806">
        <f>IF(A806="","",TEXTAFTER(A806,"|",2))</f>
        <v/>
      </c>
      <c r="E806">
        <f>IF(A806="","",SUMIF(Tickets[TripKey],A806,Tickets[TP]))</f>
        <v/>
      </c>
      <c r="F806">
        <f>IF(A806="","",SUMIF(Tickets[TripKey],A806,Tickets[Revenue]))</f>
        <v/>
      </c>
      <c r="G806">
        <f>IF(A806="","",SUMIF(Tickets[TripKey],A806,Tickets[PK]))</f>
        <v/>
      </c>
      <c r="H806">
        <f>IF(A806="","",IFERROR(XLOOKUP(A806,Tickets[TripKey],Tickets[VehClean]),""))</f>
        <v/>
      </c>
      <c r="I806">
        <f>IF(A806="","",IFERROR(XLOOKUP(A806,Tickets[TripKey],Tickets[RouteLen]),0))</f>
        <v/>
      </c>
      <c r="J806">
        <f>IF(A806="","",IFERROR(XLOOKUP(A806,Tickets[TripKey],Tickets[Capacity]),0))</f>
        <v/>
      </c>
      <c r="K806">
        <f>IF(A806="","",I806*J806)</f>
        <v/>
      </c>
      <c r="L806">
        <f>IF(A806="","",IFERROR(MINIFS(Tickets[Trip Start Time],Tickets[TripKey],A806),""))</f>
        <v/>
      </c>
    </row>
    <row r="807">
      <c r="B807" s="8">
        <f>IF(A807="","",IFERROR(DATEVALUE(TEXTBEFORE(A807,"|")),--LEFT(A807,10)))</f>
        <v/>
      </c>
      <c r="C807">
        <f>IF(A807="","",TEXTBEFORE(TEXTAFTER(A807,"|"),"|"))</f>
        <v/>
      </c>
      <c r="D807">
        <f>IF(A807="","",TEXTAFTER(A807,"|",2))</f>
        <v/>
      </c>
      <c r="E807">
        <f>IF(A807="","",SUMIF(Tickets[TripKey],A807,Tickets[TP]))</f>
        <v/>
      </c>
      <c r="F807">
        <f>IF(A807="","",SUMIF(Tickets[TripKey],A807,Tickets[Revenue]))</f>
        <v/>
      </c>
      <c r="G807">
        <f>IF(A807="","",SUMIF(Tickets[TripKey],A807,Tickets[PK]))</f>
        <v/>
      </c>
      <c r="H807">
        <f>IF(A807="","",IFERROR(XLOOKUP(A807,Tickets[TripKey],Tickets[VehClean]),""))</f>
        <v/>
      </c>
      <c r="I807">
        <f>IF(A807="","",IFERROR(XLOOKUP(A807,Tickets[TripKey],Tickets[RouteLen]),0))</f>
        <v/>
      </c>
      <c r="J807">
        <f>IF(A807="","",IFERROR(XLOOKUP(A807,Tickets[TripKey],Tickets[Capacity]),0))</f>
        <v/>
      </c>
      <c r="K807">
        <f>IF(A807="","",I807*J807)</f>
        <v/>
      </c>
      <c r="L807">
        <f>IF(A807="","",IFERROR(MINIFS(Tickets[Trip Start Time],Tickets[TripKey],A807),""))</f>
        <v/>
      </c>
    </row>
    <row r="808">
      <c r="B808" s="8">
        <f>IF(A808="","",IFERROR(DATEVALUE(TEXTBEFORE(A808,"|")),--LEFT(A808,10)))</f>
        <v/>
      </c>
      <c r="C808">
        <f>IF(A808="","",TEXTBEFORE(TEXTAFTER(A808,"|"),"|"))</f>
        <v/>
      </c>
      <c r="D808">
        <f>IF(A808="","",TEXTAFTER(A808,"|",2))</f>
        <v/>
      </c>
      <c r="E808">
        <f>IF(A808="","",SUMIF(Tickets[TripKey],A808,Tickets[TP]))</f>
        <v/>
      </c>
      <c r="F808">
        <f>IF(A808="","",SUMIF(Tickets[TripKey],A808,Tickets[Revenue]))</f>
        <v/>
      </c>
      <c r="G808">
        <f>IF(A808="","",SUMIF(Tickets[TripKey],A808,Tickets[PK]))</f>
        <v/>
      </c>
      <c r="H808">
        <f>IF(A808="","",IFERROR(XLOOKUP(A808,Tickets[TripKey],Tickets[VehClean]),""))</f>
        <v/>
      </c>
      <c r="I808">
        <f>IF(A808="","",IFERROR(XLOOKUP(A808,Tickets[TripKey],Tickets[RouteLen]),0))</f>
        <v/>
      </c>
      <c r="J808">
        <f>IF(A808="","",IFERROR(XLOOKUP(A808,Tickets[TripKey],Tickets[Capacity]),0))</f>
        <v/>
      </c>
      <c r="K808">
        <f>IF(A808="","",I808*J808)</f>
        <v/>
      </c>
      <c r="L808">
        <f>IF(A808="","",IFERROR(MINIFS(Tickets[Trip Start Time],Tickets[TripKey],A808),""))</f>
        <v/>
      </c>
    </row>
    <row r="809">
      <c r="B809" s="8">
        <f>IF(A809="","",IFERROR(DATEVALUE(TEXTBEFORE(A809,"|")),--LEFT(A809,10)))</f>
        <v/>
      </c>
      <c r="C809">
        <f>IF(A809="","",TEXTBEFORE(TEXTAFTER(A809,"|"),"|"))</f>
        <v/>
      </c>
      <c r="D809">
        <f>IF(A809="","",TEXTAFTER(A809,"|",2))</f>
        <v/>
      </c>
      <c r="E809">
        <f>IF(A809="","",SUMIF(Tickets[TripKey],A809,Tickets[TP]))</f>
        <v/>
      </c>
      <c r="F809">
        <f>IF(A809="","",SUMIF(Tickets[TripKey],A809,Tickets[Revenue]))</f>
        <v/>
      </c>
      <c r="G809">
        <f>IF(A809="","",SUMIF(Tickets[TripKey],A809,Tickets[PK]))</f>
        <v/>
      </c>
      <c r="H809">
        <f>IF(A809="","",IFERROR(XLOOKUP(A809,Tickets[TripKey],Tickets[VehClean]),""))</f>
        <v/>
      </c>
      <c r="I809">
        <f>IF(A809="","",IFERROR(XLOOKUP(A809,Tickets[TripKey],Tickets[RouteLen]),0))</f>
        <v/>
      </c>
      <c r="J809">
        <f>IF(A809="","",IFERROR(XLOOKUP(A809,Tickets[TripKey],Tickets[Capacity]),0))</f>
        <v/>
      </c>
      <c r="K809">
        <f>IF(A809="","",I809*J809)</f>
        <v/>
      </c>
      <c r="L809">
        <f>IF(A809="","",IFERROR(MINIFS(Tickets[Trip Start Time],Tickets[TripKey],A809),""))</f>
        <v/>
      </c>
    </row>
    <row r="810">
      <c r="B810" s="8">
        <f>IF(A810="","",IFERROR(DATEVALUE(TEXTBEFORE(A810,"|")),--LEFT(A810,10)))</f>
        <v/>
      </c>
      <c r="C810">
        <f>IF(A810="","",TEXTBEFORE(TEXTAFTER(A810,"|"),"|"))</f>
        <v/>
      </c>
      <c r="D810">
        <f>IF(A810="","",TEXTAFTER(A810,"|",2))</f>
        <v/>
      </c>
      <c r="E810">
        <f>IF(A810="","",SUMIF(Tickets[TripKey],A810,Tickets[TP]))</f>
        <v/>
      </c>
      <c r="F810">
        <f>IF(A810="","",SUMIF(Tickets[TripKey],A810,Tickets[Revenue]))</f>
        <v/>
      </c>
      <c r="G810">
        <f>IF(A810="","",SUMIF(Tickets[TripKey],A810,Tickets[PK]))</f>
        <v/>
      </c>
      <c r="H810">
        <f>IF(A810="","",IFERROR(XLOOKUP(A810,Tickets[TripKey],Tickets[VehClean]),""))</f>
        <v/>
      </c>
      <c r="I810">
        <f>IF(A810="","",IFERROR(XLOOKUP(A810,Tickets[TripKey],Tickets[RouteLen]),0))</f>
        <v/>
      </c>
      <c r="J810">
        <f>IF(A810="","",IFERROR(XLOOKUP(A810,Tickets[TripKey],Tickets[Capacity]),0))</f>
        <v/>
      </c>
      <c r="K810">
        <f>IF(A810="","",I810*J810)</f>
        <v/>
      </c>
      <c r="L810">
        <f>IF(A810="","",IFERROR(MINIFS(Tickets[Trip Start Time],Tickets[TripKey],A810),""))</f>
        <v/>
      </c>
    </row>
    <row r="811">
      <c r="B811" s="8">
        <f>IF(A811="","",IFERROR(DATEVALUE(TEXTBEFORE(A811,"|")),--LEFT(A811,10)))</f>
        <v/>
      </c>
      <c r="C811">
        <f>IF(A811="","",TEXTBEFORE(TEXTAFTER(A811,"|"),"|"))</f>
        <v/>
      </c>
      <c r="D811">
        <f>IF(A811="","",TEXTAFTER(A811,"|",2))</f>
        <v/>
      </c>
      <c r="E811">
        <f>IF(A811="","",SUMIF(Tickets[TripKey],A811,Tickets[TP]))</f>
        <v/>
      </c>
      <c r="F811">
        <f>IF(A811="","",SUMIF(Tickets[TripKey],A811,Tickets[Revenue]))</f>
        <v/>
      </c>
      <c r="G811">
        <f>IF(A811="","",SUMIF(Tickets[TripKey],A811,Tickets[PK]))</f>
        <v/>
      </c>
      <c r="H811">
        <f>IF(A811="","",IFERROR(XLOOKUP(A811,Tickets[TripKey],Tickets[VehClean]),""))</f>
        <v/>
      </c>
      <c r="I811">
        <f>IF(A811="","",IFERROR(XLOOKUP(A811,Tickets[TripKey],Tickets[RouteLen]),0))</f>
        <v/>
      </c>
      <c r="J811">
        <f>IF(A811="","",IFERROR(XLOOKUP(A811,Tickets[TripKey],Tickets[Capacity]),0))</f>
        <v/>
      </c>
      <c r="K811">
        <f>IF(A811="","",I811*J811)</f>
        <v/>
      </c>
      <c r="L811">
        <f>IF(A811="","",IFERROR(MINIFS(Tickets[Trip Start Time],Tickets[TripKey],A811),""))</f>
        <v/>
      </c>
    </row>
    <row r="812">
      <c r="B812" s="8">
        <f>IF(A812="","",IFERROR(DATEVALUE(TEXTBEFORE(A812,"|")),--LEFT(A812,10)))</f>
        <v/>
      </c>
      <c r="C812">
        <f>IF(A812="","",TEXTBEFORE(TEXTAFTER(A812,"|"),"|"))</f>
        <v/>
      </c>
      <c r="D812">
        <f>IF(A812="","",TEXTAFTER(A812,"|",2))</f>
        <v/>
      </c>
      <c r="E812">
        <f>IF(A812="","",SUMIF(Tickets[TripKey],A812,Tickets[TP]))</f>
        <v/>
      </c>
      <c r="F812">
        <f>IF(A812="","",SUMIF(Tickets[TripKey],A812,Tickets[Revenue]))</f>
        <v/>
      </c>
      <c r="G812">
        <f>IF(A812="","",SUMIF(Tickets[TripKey],A812,Tickets[PK]))</f>
        <v/>
      </c>
      <c r="H812">
        <f>IF(A812="","",IFERROR(XLOOKUP(A812,Tickets[TripKey],Tickets[VehClean]),""))</f>
        <v/>
      </c>
      <c r="I812">
        <f>IF(A812="","",IFERROR(XLOOKUP(A812,Tickets[TripKey],Tickets[RouteLen]),0))</f>
        <v/>
      </c>
      <c r="J812">
        <f>IF(A812="","",IFERROR(XLOOKUP(A812,Tickets[TripKey],Tickets[Capacity]),0))</f>
        <v/>
      </c>
      <c r="K812">
        <f>IF(A812="","",I812*J812)</f>
        <v/>
      </c>
      <c r="L812">
        <f>IF(A812="","",IFERROR(MINIFS(Tickets[Trip Start Time],Tickets[TripKey],A812),""))</f>
        <v/>
      </c>
    </row>
    <row r="813">
      <c r="B813" s="8">
        <f>IF(A813="","",IFERROR(DATEVALUE(TEXTBEFORE(A813,"|")),--LEFT(A813,10)))</f>
        <v/>
      </c>
      <c r="C813">
        <f>IF(A813="","",TEXTBEFORE(TEXTAFTER(A813,"|"),"|"))</f>
        <v/>
      </c>
      <c r="D813">
        <f>IF(A813="","",TEXTAFTER(A813,"|",2))</f>
        <v/>
      </c>
      <c r="E813">
        <f>IF(A813="","",SUMIF(Tickets[TripKey],A813,Tickets[TP]))</f>
        <v/>
      </c>
      <c r="F813">
        <f>IF(A813="","",SUMIF(Tickets[TripKey],A813,Tickets[Revenue]))</f>
        <v/>
      </c>
      <c r="G813">
        <f>IF(A813="","",SUMIF(Tickets[TripKey],A813,Tickets[PK]))</f>
        <v/>
      </c>
      <c r="H813">
        <f>IF(A813="","",IFERROR(XLOOKUP(A813,Tickets[TripKey],Tickets[VehClean]),""))</f>
        <v/>
      </c>
      <c r="I813">
        <f>IF(A813="","",IFERROR(XLOOKUP(A813,Tickets[TripKey],Tickets[RouteLen]),0))</f>
        <v/>
      </c>
      <c r="J813">
        <f>IF(A813="","",IFERROR(XLOOKUP(A813,Tickets[TripKey],Tickets[Capacity]),0))</f>
        <v/>
      </c>
      <c r="K813">
        <f>IF(A813="","",I813*J813)</f>
        <v/>
      </c>
      <c r="L813">
        <f>IF(A813="","",IFERROR(MINIFS(Tickets[Trip Start Time],Tickets[TripKey],A813),""))</f>
        <v/>
      </c>
    </row>
    <row r="814">
      <c r="B814" s="8">
        <f>IF(A814="","",IFERROR(DATEVALUE(TEXTBEFORE(A814,"|")),--LEFT(A814,10)))</f>
        <v/>
      </c>
      <c r="C814">
        <f>IF(A814="","",TEXTBEFORE(TEXTAFTER(A814,"|"),"|"))</f>
        <v/>
      </c>
      <c r="D814">
        <f>IF(A814="","",TEXTAFTER(A814,"|",2))</f>
        <v/>
      </c>
      <c r="E814">
        <f>IF(A814="","",SUMIF(Tickets[TripKey],A814,Tickets[TP]))</f>
        <v/>
      </c>
      <c r="F814">
        <f>IF(A814="","",SUMIF(Tickets[TripKey],A814,Tickets[Revenue]))</f>
        <v/>
      </c>
      <c r="G814">
        <f>IF(A814="","",SUMIF(Tickets[TripKey],A814,Tickets[PK]))</f>
        <v/>
      </c>
      <c r="H814">
        <f>IF(A814="","",IFERROR(XLOOKUP(A814,Tickets[TripKey],Tickets[VehClean]),""))</f>
        <v/>
      </c>
      <c r="I814">
        <f>IF(A814="","",IFERROR(XLOOKUP(A814,Tickets[TripKey],Tickets[RouteLen]),0))</f>
        <v/>
      </c>
      <c r="J814">
        <f>IF(A814="","",IFERROR(XLOOKUP(A814,Tickets[TripKey],Tickets[Capacity]),0))</f>
        <v/>
      </c>
      <c r="K814">
        <f>IF(A814="","",I814*J814)</f>
        <v/>
      </c>
      <c r="L814">
        <f>IF(A814="","",IFERROR(MINIFS(Tickets[Trip Start Time],Tickets[TripKey],A814),""))</f>
        <v/>
      </c>
    </row>
    <row r="815">
      <c r="B815" s="8">
        <f>IF(A815="","",IFERROR(DATEVALUE(TEXTBEFORE(A815,"|")),--LEFT(A815,10)))</f>
        <v/>
      </c>
      <c r="C815">
        <f>IF(A815="","",TEXTBEFORE(TEXTAFTER(A815,"|"),"|"))</f>
        <v/>
      </c>
      <c r="D815">
        <f>IF(A815="","",TEXTAFTER(A815,"|",2))</f>
        <v/>
      </c>
      <c r="E815">
        <f>IF(A815="","",SUMIF(Tickets[TripKey],A815,Tickets[TP]))</f>
        <v/>
      </c>
      <c r="F815">
        <f>IF(A815="","",SUMIF(Tickets[TripKey],A815,Tickets[Revenue]))</f>
        <v/>
      </c>
      <c r="G815">
        <f>IF(A815="","",SUMIF(Tickets[TripKey],A815,Tickets[PK]))</f>
        <v/>
      </c>
      <c r="H815">
        <f>IF(A815="","",IFERROR(XLOOKUP(A815,Tickets[TripKey],Tickets[VehClean]),""))</f>
        <v/>
      </c>
      <c r="I815">
        <f>IF(A815="","",IFERROR(XLOOKUP(A815,Tickets[TripKey],Tickets[RouteLen]),0))</f>
        <v/>
      </c>
      <c r="J815">
        <f>IF(A815="","",IFERROR(XLOOKUP(A815,Tickets[TripKey],Tickets[Capacity]),0))</f>
        <v/>
      </c>
      <c r="K815">
        <f>IF(A815="","",I815*J815)</f>
        <v/>
      </c>
      <c r="L815">
        <f>IF(A815="","",IFERROR(MINIFS(Tickets[Trip Start Time],Tickets[TripKey],A815),""))</f>
        <v/>
      </c>
    </row>
    <row r="816">
      <c r="B816" s="8">
        <f>IF(A816="","",IFERROR(DATEVALUE(TEXTBEFORE(A816,"|")),--LEFT(A816,10)))</f>
        <v/>
      </c>
      <c r="C816">
        <f>IF(A816="","",TEXTBEFORE(TEXTAFTER(A816,"|"),"|"))</f>
        <v/>
      </c>
      <c r="D816">
        <f>IF(A816="","",TEXTAFTER(A816,"|",2))</f>
        <v/>
      </c>
      <c r="E816">
        <f>IF(A816="","",SUMIF(Tickets[TripKey],A816,Tickets[TP]))</f>
        <v/>
      </c>
      <c r="F816">
        <f>IF(A816="","",SUMIF(Tickets[TripKey],A816,Tickets[Revenue]))</f>
        <v/>
      </c>
      <c r="G816">
        <f>IF(A816="","",SUMIF(Tickets[TripKey],A816,Tickets[PK]))</f>
        <v/>
      </c>
      <c r="H816">
        <f>IF(A816="","",IFERROR(XLOOKUP(A816,Tickets[TripKey],Tickets[VehClean]),""))</f>
        <v/>
      </c>
      <c r="I816">
        <f>IF(A816="","",IFERROR(XLOOKUP(A816,Tickets[TripKey],Tickets[RouteLen]),0))</f>
        <v/>
      </c>
      <c r="J816">
        <f>IF(A816="","",IFERROR(XLOOKUP(A816,Tickets[TripKey],Tickets[Capacity]),0))</f>
        <v/>
      </c>
      <c r="K816">
        <f>IF(A816="","",I816*J816)</f>
        <v/>
      </c>
      <c r="L816">
        <f>IF(A816="","",IFERROR(MINIFS(Tickets[Trip Start Time],Tickets[TripKey],A816),""))</f>
        <v/>
      </c>
    </row>
    <row r="817">
      <c r="B817" s="8">
        <f>IF(A817="","",IFERROR(DATEVALUE(TEXTBEFORE(A817,"|")),--LEFT(A817,10)))</f>
        <v/>
      </c>
      <c r="C817">
        <f>IF(A817="","",TEXTBEFORE(TEXTAFTER(A817,"|"),"|"))</f>
        <v/>
      </c>
      <c r="D817">
        <f>IF(A817="","",TEXTAFTER(A817,"|",2))</f>
        <v/>
      </c>
      <c r="E817">
        <f>IF(A817="","",SUMIF(Tickets[TripKey],A817,Tickets[TP]))</f>
        <v/>
      </c>
      <c r="F817">
        <f>IF(A817="","",SUMIF(Tickets[TripKey],A817,Tickets[Revenue]))</f>
        <v/>
      </c>
      <c r="G817">
        <f>IF(A817="","",SUMIF(Tickets[TripKey],A817,Tickets[PK]))</f>
        <v/>
      </c>
      <c r="H817">
        <f>IF(A817="","",IFERROR(XLOOKUP(A817,Tickets[TripKey],Tickets[VehClean]),""))</f>
        <v/>
      </c>
      <c r="I817">
        <f>IF(A817="","",IFERROR(XLOOKUP(A817,Tickets[TripKey],Tickets[RouteLen]),0))</f>
        <v/>
      </c>
      <c r="J817">
        <f>IF(A817="","",IFERROR(XLOOKUP(A817,Tickets[TripKey],Tickets[Capacity]),0))</f>
        <v/>
      </c>
      <c r="K817">
        <f>IF(A817="","",I817*J817)</f>
        <v/>
      </c>
      <c r="L817">
        <f>IF(A817="","",IFERROR(MINIFS(Tickets[Trip Start Time],Tickets[TripKey],A817),""))</f>
        <v/>
      </c>
    </row>
    <row r="818">
      <c r="B818" s="8">
        <f>IF(A818="","",IFERROR(DATEVALUE(TEXTBEFORE(A818,"|")),--LEFT(A818,10)))</f>
        <v/>
      </c>
      <c r="C818">
        <f>IF(A818="","",TEXTBEFORE(TEXTAFTER(A818,"|"),"|"))</f>
        <v/>
      </c>
      <c r="D818">
        <f>IF(A818="","",TEXTAFTER(A818,"|",2))</f>
        <v/>
      </c>
      <c r="E818">
        <f>IF(A818="","",SUMIF(Tickets[TripKey],A818,Tickets[TP]))</f>
        <v/>
      </c>
      <c r="F818">
        <f>IF(A818="","",SUMIF(Tickets[TripKey],A818,Tickets[Revenue]))</f>
        <v/>
      </c>
      <c r="G818">
        <f>IF(A818="","",SUMIF(Tickets[TripKey],A818,Tickets[PK]))</f>
        <v/>
      </c>
      <c r="H818">
        <f>IF(A818="","",IFERROR(XLOOKUP(A818,Tickets[TripKey],Tickets[VehClean]),""))</f>
        <v/>
      </c>
      <c r="I818">
        <f>IF(A818="","",IFERROR(XLOOKUP(A818,Tickets[TripKey],Tickets[RouteLen]),0))</f>
        <v/>
      </c>
      <c r="J818">
        <f>IF(A818="","",IFERROR(XLOOKUP(A818,Tickets[TripKey],Tickets[Capacity]),0))</f>
        <v/>
      </c>
      <c r="K818">
        <f>IF(A818="","",I818*J818)</f>
        <v/>
      </c>
      <c r="L818">
        <f>IF(A818="","",IFERROR(MINIFS(Tickets[Trip Start Time],Tickets[TripKey],A818),""))</f>
        <v/>
      </c>
    </row>
    <row r="819">
      <c r="B819" s="8">
        <f>IF(A819="","",IFERROR(DATEVALUE(TEXTBEFORE(A819,"|")),--LEFT(A819,10)))</f>
        <v/>
      </c>
      <c r="C819">
        <f>IF(A819="","",TEXTBEFORE(TEXTAFTER(A819,"|"),"|"))</f>
        <v/>
      </c>
      <c r="D819">
        <f>IF(A819="","",TEXTAFTER(A819,"|",2))</f>
        <v/>
      </c>
      <c r="E819">
        <f>IF(A819="","",SUMIF(Tickets[TripKey],A819,Tickets[TP]))</f>
        <v/>
      </c>
      <c r="F819">
        <f>IF(A819="","",SUMIF(Tickets[TripKey],A819,Tickets[Revenue]))</f>
        <v/>
      </c>
      <c r="G819">
        <f>IF(A819="","",SUMIF(Tickets[TripKey],A819,Tickets[PK]))</f>
        <v/>
      </c>
      <c r="H819">
        <f>IF(A819="","",IFERROR(XLOOKUP(A819,Tickets[TripKey],Tickets[VehClean]),""))</f>
        <v/>
      </c>
      <c r="I819">
        <f>IF(A819="","",IFERROR(XLOOKUP(A819,Tickets[TripKey],Tickets[RouteLen]),0))</f>
        <v/>
      </c>
      <c r="J819">
        <f>IF(A819="","",IFERROR(XLOOKUP(A819,Tickets[TripKey],Tickets[Capacity]),0))</f>
        <v/>
      </c>
      <c r="K819">
        <f>IF(A819="","",I819*J819)</f>
        <v/>
      </c>
      <c r="L819">
        <f>IF(A819="","",IFERROR(MINIFS(Tickets[Trip Start Time],Tickets[TripKey],A819),""))</f>
        <v/>
      </c>
    </row>
    <row r="820">
      <c r="B820" s="8">
        <f>IF(A820="","",IFERROR(DATEVALUE(TEXTBEFORE(A820,"|")),--LEFT(A820,10)))</f>
        <v/>
      </c>
      <c r="C820">
        <f>IF(A820="","",TEXTBEFORE(TEXTAFTER(A820,"|"),"|"))</f>
        <v/>
      </c>
      <c r="D820">
        <f>IF(A820="","",TEXTAFTER(A820,"|",2))</f>
        <v/>
      </c>
      <c r="E820">
        <f>IF(A820="","",SUMIF(Tickets[TripKey],A820,Tickets[TP]))</f>
        <v/>
      </c>
      <c r="F820">
        <f>IF(A820="","",SUMIF(Tickets[TripKey],A820,Tickets[Revenue]))</f>
        <v/>
      </c>
      <c r="G820">
        <f>IF(A820="","",SUMIF(Tickets[TripKey],A820,Tickets[PK]))</f>
        <v/>
      </c>
      <c r="H820">
        <f>IF(A820="","",IFERROR(XLOOKUP(A820,Tickets[TripKey],Tickets[VehClean]),""))</f>
        <v/>
      </c>
      <c r="I820">
        <f>IF(A820="","",IFERROR(XLOOKUP(A820,Tickets[TripKey],Tickets[RouteLen]),0))</f>
        <v/>
      </c>
      <c r="J820">
        <f>IF(A820="","",IFERROR(XLOOKUP(A820,Tickets[TripKey],Tickets[Capacity]),0))</f>
        <v/>
      </c>
      <c r="K820">
        <f>IF(A820="","",I820*J820)</f>
        <v/>
      </c>
      <c r="L820">
        <f>IF(A820="","",IFERROR(MINIFS(Tickets[Trip Start Time],Tickets[TripKey],A820),""))</f>
        <v/>
      </c>
    </row>
    <row r="821">
      <c r="B821" s="8">
        <f>IF(A821="","",IFERROR(DATEVALUE(TEXTBEFORE(A821,"|")),--LEFT(A821,10)))</f>
        <v/>
      </c>
      <c r="C821">
        <f>IF(A821="","",TEXTBEFORE(TEXTAFTER(A821,"|"),"|"))</f>
        <v/>
      </c>
      <c r="D821">
        <f>IF(A821="","",TEXTAFTER(A821,"|",2))</f>
        <v/>
      </c>
      <c r="E821">
        <f>IF(A821="","",SUMIF(Tickets[TripKey],A821,Tickets[TP]))</f>
        <v/>
      </c>
      <c r="F821">
        <f>IF(A821="","",SUMIF(Tickets[TripKey],A821,Tickets[Revenue]))</f>
        <v/>
      </c>
      <c r="G821">
        <f>IF(A821="","",SUMIF(Tickets[TripKey],A821,Tickets[PK]))</f>
        <v/>
      </c>
      <c r="H821">
        <f>IF(A821="","",IFERROR(XLOOKUP(A821,Tickets[TripKey],Tickets[VehClean]),""))</f>
        <v/>
      </c>
      <c r="I821">
        <f>IF(A821="","",IFERROR(XLOOKUP(A821,Tickets[TripKey],Tickets[RouteLen]),0))</f>
        <v/>
      </c>
      <c r="J821">
        <f>IF(A821="","",IFERROR(XLOOKUP(A821,Tickets[TripKey],Tickets[Capacity]),0))</f>
        <v/>
      </c>
      <c r="K821">
        <f>IF(A821="","",I821*J821)</f>
        <v/>
      </c>
      <c r="L821">
        <f>IF(A821="","",IFERROR(MINIFS(Tickets[Trip Start Time],Tickets[TripKey],A821),""))</f>
        <v/>
      </c>
    </row>
    <row r="822">
      <c r="B822" s="8">
        <f>IF(A822="","",IFERROR(DATEVALUE(TEXTBEFORE(A822,"|")),--LEFT(A822,10)))</f>
        <v/>
      </c>
      <c r="C822">
        <f>IF(A822="","",TEXTBEFORE(TEXTAFTER(A822,"|"),"|"))</f>
        <v/>
      </c>
      <c r="D822">
        <f>IF(A822="","",TEXTAFTER(A822,"|",2))</f>
        <v/>
      </c>
      <c r="E822">
        <f>IF(A822="","",SUMIF(Tickets[TripKey],A822,Tickets[TP]))</f>
        <v/>
      </c>
      <c r="F822">
        <f>IF(A822="","",SUMIF(Tickets[TripKey],A822,Tickets[Revenue]))</f>
        <v/>
      </c>
      <c r="G822">
        <f>IF(A822="","",SUMIF(Tickets[TripKey],A822,Tickets[PK]))</f>
        <v/>
      </c>
      <c r="H822">
        <f>IF(A822="","",IFERROR(XLOOKUP(A822,Tickets[TripKey],Tickets[VehClean]),""))</f>
        <v/>
      </c>
      <c r="I822">
        <f>IF(A822="","",IFERROR(XLOOKUP(A822,Tickets[TripKey],Tickets[RouteLen]),0))</f>
        <v/>
      </c>
      <c r="J822">
        <f>IF(A822="","",IFERROR(XLOOKUP(A822,Tickets[TripKey],Tickets[Capacity]),0))</f>
        <v/>
      </c>
      <c r="K822">
        <f>IF(A822="","",I822*J822)</f>
        <v/>
      </c>
      <c r="L822">
        <f>IF(A822="","",IFERROR(MINIFS(Tickets[Trip Start Time],Tickets[TripKey],A822),""))</f>
        <v/>
      </c>
    </row>
    <row r="823">
      <c r="B823" s="8">
        <f>IF(A823="","",IFERROR(DATEVALUE(TEXTBEFORE(A823,"|")),--LEFT(A823,10)))</f>
        <v/>
      </c>
      <c r="C823">
        <f>IF(A823="","",TEXTBEFORE(TEXTAFTER(A823,"|"),"|"))</f>
        <v/>
      </c>
      <c r="D823">
        <f>IF(A823="","",TEXTAFTER(A823,"|",2))</f>
        <v/>
      </c>
      <c r="E823">
        <f>IF(A823="","",SUMIF(Tickets[TripKey],A823,Tickets[TP]))</f>
        <v/>
      </c>
      <c r="F823">
        <f>IF(A823="","",SUMIF(Tickets[TripKey],A823,Tickets[Revenue]))</f>
        <v/>
      </c>
      <c r="G823">
        <f>IF(A823="","",SUMIF(Tickets[TripKey],A823,Tickets[PK]))</f>
        <v/>
      </c>
      <c r="H823">
        <f>IF(A823="","",IFERROR(XLOOKUP(A823,Tickets[TripKey],Tickets[VehClean]),""))</f>
        <v/>
      </c>
      <c r="I823">
        <f>IF(A823="","",IFERROR(XLOOKUP(A823,Tickets[TripKey],Tickets[RouteLen]),0))</f>
        <v/>
      </c>
      <c r="J823">
        <f>IF(A823="","",IFERROR(XLOOKUP(A823,Tickets[TripKey],Tickets[Capacity]),0))</f>
        <v/>
      </c>
      <c r="K823">
        <f>IF(A823="","",I823*J823)</f>
        <v/>
      </c>
      <c r="L823">
        <f>IF(A823="","",IFERROR(MINIFS(Tickets[Trip Start Time],Tickets[TripKey],A823),""))</f>
        <v/>
      </c>
    </row>
    <row r="824">
      <c r="B824" s="8">
        <f>IF(A824="","",IFERROR(DATEVALUE(TEXTBEFORE(A824,"|")),--LEFT(A824,10)))</f>
        <v/>
      </c>
      <c r="C824">
        <f>IF(A824="","",TEXTBEFORE(TEXTAFTER(A824,"|"),"|"))</f>
        <v/>
      </c>
      <c r="D824">
        <f>IF(A824="","",TEXTAFTER(A824,"|",2))</f>
        <v/>
      </c>
      <c r="E824">
        <f>IF(A824="","",SUMIF(Tickets[TripKey],A824,Tickets[TP]))</f>
        <v/>
      </c>
      <c r="F824">
        <f>IF(A824="","",SUMIF(Tickets[TripKey],A824,Tickets[Revenue]))</f>
        <v/>
      </c>
      <c r="G824">
        <f>IF(A824="","",SUMIF(Tickets[TripKey],A824,Tickets[PK]))</f>
        <v/>
      </c>
      <c r="H824">
        <f>IF(A824="","",IFERROR(XLOOKUP(A824,Tickets[TripKey],Tickets[VehClean]),""))</f>
        <v/>
      </c>
      <c r="I824">
        <f>IF(A824="","",IFERROR(XLOOKUP(A824,Tickets[TripKey],Tickets[RouteLen]),0))</f>
        <v/>
      </c>
      <c r="J824">
        <f>IF(A824="","",IFERROR(XLOOKUP(A824,Tickets[TripKey],Tickets[Capacity]),0))</f>
        <v/>
      </c>
      <c r="K824">
        <f>IF(A824="","",I824*J824)</f>
        <v/>
      </c>
      <c r="L824">
        <f>IF(A824="","",IFERROR(MINIFS(Tickets[Trip Start Time],Tickets[TripKey],A824),""))</f>
        <v/>
      </c>
    </row>
    <row r="825">
      <c r="B825" s="8">
        <f>IF(A825="","",IFERROR(DATEVALUE(TEXTBEFORE(A825,"|")),--LEFT(A825,10)))</f>
        <v/>
      </c>
      <c r="C825">
        <f>IF(A825="","",TEXTBEFORE(TEXTAFTER(A825,"|"),"|"))</f>
        <v/>
      </c>
      <c r="D825">
        <f>IF(A825="","",TEXTAFTER(A825,"|",2))</f>
        <v/>
      </c>
      <c r="E825">
        <f>IF(A825="","",SUMIF(Tickets[TripKey],A825,Tickets[TP]))</f>
        <v/>
      </c>
      <c r="F825">
        <f>IF(A825="","",SUMIF(Tickets[TripKey],A825,Tickets[Revenue]))</f>
        <v/>
      </c>
      <c r="G825">
        <f>IF(A825="","",SUMIF(Tickets[TripKey],A825,Tickets[PK]))</f>
        <v/>
      </c>
      <c r="H825">
        <f>IF(A825="","",IFERROR(XLOOKUP(A825,Tickets[TripKey],Tickets[VehClean]),""))</f>
        <v/>
      </c>
      <c r="I825">
        <f>IF(A825="","",IFERROR(XLOOKUP(A825,Tickets[TripKey],Tickets[RouteLen]),0))</f>
        <v/>
      </c>
      <c r="J825">
        <f>IF(A825="","",IFERROR(XLOOKUP(A825,Tickets[TripKey],Tickets[Capacity]),0))</f>
        <v/>
      </c>
      <c r="K825">
        <f>IF(A825="","",I825*J825)</f>
        <v/>
      </c>
      <c r="L825">
        <f>IF(A825="","",IFERROR(MINIFS(Tickets[Trip Start Time],Tickets[TripKey],A825),""))</f>
        <v/>
      </c>
    </row>
    <row r="826">
      <c r="B826" s="8">
        <f>IF(A826="","",IFERROR(DATEVALUE(TEXTBEFORE(A826,"|")),--LEFT(A826,10)))</f>
        <v/>
      </c>
      <c r="C826">
        <f>IF(A826="","",TEXTBEFORE(TEXTAFTER(A826,"|"),"|"))</f>
        <v/>
      </c>
      <c r="D826">
        <f>IF(A826="","",TEXTAFTER(A826,"|",2))</f>
        <v/>
      </c>
      <c r="E826">
        <f>IF(A826="","",SUMIF(Tickets[TripKey],A826,Tickets[TP]))</f>
        <v/>
      </c>
      <c r="F826">
        <f>IF(A826="","",SUMIF(Tickets[TripKey],A826,Tickets[Revenue]))</f>
        <v/>
      </c>
      <c r="G826">
        <f>IF(A826="","",SUMIF(Tickets[TripKey],A826,Tickets[PK]))</f>
        <v/>
      </c>
      <c r="H826">
        <f>IF(A826="","",IFERROR(XLOOKUP(A826,Tickets[TripKey],Tickets[VehClean]),""))</f>
        <v/>
      </c>
      <c r="I826">
        <f>IF(A826="","",IFERROR(XLOOKUP(A826,Tickets[TripKey],Tickets[RouteLen]),0))</f>
        <v/>
      </c>
      <c r="J826">
        <f>IF(A826="","",IFERROR(XLOOKUP(A826,Tickets[TripKey],Tickets[Capacity]),0))</f>
        <v/>
      </c>
      <c r="K826">
        <f>IF(A826="","",I826*J826)</f>
        <v/>
      </c>
      <c r="L826">
        <f>IF(A826="","",IFERROR(MINIFS(Tickets[Trip Start Time],Tickets[TripKey],A826),""))</f>
        <v/>
      </c>
    </row>
    <row r="827">
      <c r="B827" s="8">
        <f>IF(A827="","",IFERROR(DATEVALUE(TEXTBEFORE(A827,"|")),--LEFT(A827,10)))</f>
        <v/>
      </c>
      <c r="C827">
        <f>IF(A827="","",TEXTBEFORE(TEXTAFTER(A827,"|"),"|"))</f>
        <v/>
      </c>
      <c r="D827">
        <f>IF(A827="","",TEXTAFTER(A827,"|",2))</f>
        <v/>
      </c>
      <c r="E827">
        <f>IF(A827="","",SUMIF(Tickets[TripKey],A827,Tickets[TP]))</f>
        <v/>
      </c>
      <c r="F827">
        <f>IF(A827="","",SUMIF(Tickets[TripKey],A827,Tickets[Revenue]))</f>
        <v/>
      </c>
      <c r="G827">
        <f>IF(A827="","",SUMIF(Tickets[TripKey],A827,Tickets[PK]))</f>
        <v/>
      </c>
      <c r="H827">
        <f>IF(A827="","",IFERROR(XLOOKUP(A827,Tickets[TripKey],Tickets[VehClean]),""))</f>
        <v/>
      </c>
      <c r="I827">
        <f>IF(A827="","",IFERROR(XLOOKUP(A827,Tickets[TripKey],Tickets[RouteLen]),0))</f>
        <v/>
      </c>
      <c r="J827">
        <f>IF(A827="","",IFERROR(XLOOKUP(A827,Tickets[TripKey],Tickets[Capacity]),0))</f>
        <v/>
      </c>
      <c r="K827">
        <f>IF(A827="","",I827*J827)</f>
        <v/>
      </c>
      <c r="L827">
        <f>IF(A827="","",IFERROR(MINIFS(Tickets[Trip Start Time],Tickets[TripKey],A827),""))</f>
        <v/>
      </c>
    </row>
    <row r="828">
      <c r="B828" s="8">
        <f>IF(A828="","",IFERROR(DATEVALUE(TEXTBEFORE(A828,"|")),--LEFT(A828,10)))</f>
        <v/>
      </c>
      <c r="C828">
        <f>IF(A828="","",TEXTBEFORE(TEXTAFTER(A828,"|"),"|"))</f>
        <v/>
      </c>
      <c r="D828">
        <f>IF(A828="","",TEXTAFTER(A828,"|",2))</f>
        <v/>
      </c>
      <c r="E828">
        <f>IF(A828="","",SUMIF(Tickets[TripKey],A828,Tickets[TP]))</f>
        <v/>
      </c>
      <c r="F828">
        <f>IF(A828="","",SUMIF(Tickets[TripKey],A828,Tickets[Revenue]))</f>
        <v/>
      </c>
      <c r="G828">
        <f>IF(A828="","",SUMIF(Tickets[TripKey],A828,Tickets[PK]))</f>
        <v/>
      </c>
      <c r="H828">
        <f>IF(A828="","",IFERROR(XLOOKUP(A828,Tickets[TripKey],Tickets[VehClean]),""))</f>
        <v/>
      </c>
      <c r="I828">
        <f>IF(A828="","",IFERROR(XLOOKUP(A828,Tickets[TripKey],Tickets[RouteLen]),0))</f>
        <v/>
      </c>
      <c r="J828">
        <f>IF(A828="","",IFERROR(XLOOKUP(A828,Tickets[TripKey],Tickets[Capacity]),0))</f>
        <v/>
      </c>
      <c r="K828">
        <f>IF(A828="","",I828*J828)</f>
        <v/>
      </c>
      <c r="L828">
        <f>IF(A828="","",IFERROR(MINIFS(Tickets[Trip Start Time],Tickets[TripKey],A828),""))</f>
        <v/>
      </c>
    </row>
    <row r="829">
      <c r="B829" s="8">
        <f>IF(A829="","",IFERROR(DATEVALUE(TEXTBEFORE(A829,"|")),--LEFT(A829,10)))</f>
        <v/>
      </c>
      <c r="C829">
        <f>IF(A829="","",TEXTBEFORE(TEXTAFTER(A829,"|"),"|"))</f>
        <v/>
      </c>
      <c r="D829">
        <f>IF(A829="","",TEXTAFTER(A829,"|",2))</f>
        <v/>
      </c>
      <c r="E829">
        <f>IF(A829="","",SUMIF(Tickets[TripKey],A829,Tickets[TP]))</f>
        <v/>
      </c>
      <c r="F829">
        <f>IF(A829="","",SUMIF(Tickets[TripKey],A829,Tickets[Revenue]))</f>
        <v/>
      </c>
      <c r="G829">
        <f>IF(A829="","",SUMIF(Tickets[TripKey],A829,Tickets[PK]))</f>
        <v/>
      </c>
      <c r="H829">
        <f>IF(A829="","",IFERROR(XLOOKUP(A829,Tickets[TripKey],Tickets[VehClean]),""))</f>
        <v/>
      </c>
      <c r="I829">
        <f>IF(A829="","",IFERROR(XLOOKUP(A829,Tickets[TripKey],Tickets[RouteLen]),0))</f>
        <v/>
      </c>
      <c r="J829">
        <f>IF(A829="","",IFERROR(XLOOKUP(A829,Tickets[TripKey],Tickets[Capacity]),0))</f>
        <v/>
      </c>
      <c r="K829">
        <f>IF(A829="","",I829*J829)</f>
        <v/>
      </c>
      <c r="L829">
        <f>IF(A829="","",IFERROR(MINIFS(Tickets[Trip Start Time],Tickets[TripKey],A829),""))</f>
        <v/>
      </c>
    </row>
    <row r="830">
      <c r="B830" s="8">
        <f>IF(A830="","",IFERROR(DATEVALUE(TEXTBEFORE(A830,"|")),--LEFT(A830,10)))</f>
        <v/>
      </c>
      <c r="C830">
        <f>IF(A830="","",TEXTBEFORE(TEXTAFTER(A830,"|"),"|"))</f>
        <v/>
      </c>
      <c r="D830">
        <f>IF(A830="","",TEXTAFTER(A830,"|",2))</f>
        <v/>
      </c>
      <c r="E830">
        <f>IF(A830="","",SUMIF(Tickets[TripKey],A830,Tickets[TP]))</f>
        <v/>
      </c>
      <c r="F830">
        <f>IF(A830="","",SUMIF(Tickets[TripKey],A830,Tickets[Revenue]))</f>
        <v/>
      </c>
      <c r="G830">
        <f>IF(A830="","",SUMIF(Tickets[TripKey],A830,Tickets[PK]))</f>
        <v/>
      </c>
      <c r="H830">
        <f>IF(A830="","",IFERROR(XLOOKUP(A830,Tickets[TripKey],Tickets[VehClean]),""))</f>
        <v/>
      </c>
      <c r="I830">
        <f>IF(A830="","",IFERROR(XLOOKUP(A830,Tickets[TripKey],Tickets[RouteLen]),0))</f>
        <v/>
      </c>
      <c r="J830">
        <f>IF(A830="","",IFERROR(XLOOKUP(A830,Tickets[TripKey],Tickets[Capacity]),0))</f>
        <v/>
      </c>
      <c r="K830">
        <f>IF(A830="","",I830*J830)</f>
        <v/>
      </c>
      <c r="L830">
        <f>IF(A830="","",IFERROR(MINIFS(Tickets[Trip Start Time],Tickets[TripKey],A830),""))</f>
        <v/>
      </c>
    </row>
    <row r="831">
      <c r="B831" s="8">
        <f>IF(A831="","",IFERROR(DATEVALUE(TEXTBEFORE(A831,"|")),--LEFT(A831,10)))</f>
        <v/>
      </c>
      <c r="C831">
        <f>IF(A831="","",TEXTBEFORE(TEXTAFTER(A831,"|"),"|"))</f>
        <v/>
      </c>
      <c r="D831">
        <f>IF(A831="","",TEXTAFTER(A831,"|",2))</f>
        <v/>
      </c>
      <c r="E831">
        <f>IF(A831="","",SUMIF(Tickets[TripKey],A831,Tickets[TP]))</f>
        <v/>
      </c>
      <c r="F831">
        <f>IF(A831="","",SUMIF(Tickets[TripKey],A831,Tickets[Revenue]))</f>
        <v/>
      </c>
      <c r="G831">
        <f>IF(A831="","",SUMIF(Tickets[TripKey],A831,Tickets[PK]))</f>
        <v/>
      </c>
      <c r="H831">
        <f>IF(A831="","",IFERROR(XLOOKUP(A831,Tickets[TripKey],Tickets[VehClean]),""))</f>
        <v/>
      </c>
      <c r="I831">
        <f>IF(A831="","",IFERROR(XLOOKUP(A831,Tickets[TripKey],Tickets[RouteLen]),0))</f>
        <v/>
      </c>
      <c r="J831">
        <f>IF(A831="","",IFERROR(XLOOKUP(A831,Tickets[TripKey],Tickets[Capacity]),0))</f>
        <v/>
      </c>
      <c r="K831">
        <f>IF(A831="","",I831*J831)</f>
        <v/>
      </c>
      <c r="L831">
        <f>IF(A831="","",IFERROR(MINIFS(Tickets[Trip Start Time],Tickets[TripKey],A831),""))</f>
        <v/>
      </c>
    </row>
    <row r="832">
      <c r="B832" s="8">
        <f>IF(A832="","",IFERROR(DATEVALUE(TEXTBEFORE(A832,"|")),--LEFT(A832,10)))</f>
        <v/>
      </c>
      <c r="C832">
        <f>IF(A832="","",TEXTBEFORE(TEXTAFTER(A832,"|"),"|"))</f>
        <v/>
      </c>
      <c r="D832">
        <f>IF(A832="","",TEXTAFTER(A832,"|",2))</f>
        <v/>
      </c>
      <c r="E832">
        <f>IF(A832="","",SUMIF(Tickets[TripKey],A832,Tickets[TP]))</f>
        <v/>
      </c>
      <c r="F832">
        <f>IF(A832="","",SUMIF(Tickets[TripKey],A832,Tickets[Revenue]))</f>
        <v/>
      </c>
      <c r="G832">
        <f>IF(A832="","",SUMIF(Tickets[TripKey],A832,Tickets[PK]))</f>
        <v/>
      </c>
      <c r="H832">
        <f>IF(A832="","",IFERROR(XLOOKUP(A832,Tickets[TripKey],Tickets[VehClean]),""))</f>
        <v/>
      </c>
      <c r="I832">
        <f>IF(A832="","",IFERROR(XLOOKUP(A832,Tickets[TripKey],Tickets[RouteLen]),0))</f>
        <v/>
      </c>
      <c r="J832">
        <f>IF(A832="","",IFERROR(XLOOKUP(A832,Tickets[TripKey],Tickets[Capacity]),0))</f>
        <v/>
      </c>
      <c r="K832">
        <f>IF(A832="","",I832*J832)</f>
        <v/>
      </c>
      <c r="L832">
        <f>IF(A832="","",IFERROR(MINIFS(Tickets[Trip Start Time],Tickets[TripKey],A832),""))</f>
        <v/>
      </c>
    </row>
    <row r="833">
      <c r="B833" s="8">
        <f>IF(A833="","",IFERROR(DATEVALUE(TEXTBEFORE(A833,"|")),--LEFT(A833,10)))</f>
        <v/>
      </c>
      <c r="C833">
        <f>IF(A833="","",TEXTBEFORE(TEXTAFTER(A833,"|"),"|"))</f>
        <v/>
      </c>
      <c r="D833">
        <f>IF(A833="","",TEXTAFTER(A833,"|",2))</f>
        <v/>
      </c>
      <c r="E833">
        <f>IF(A833="","",SUMIF(Tickets[TripKey],A833,Tickets[TP]))</f>
        <v/>
      </c>
      <c r="F833">
        <f>IF(A833="","",SUMIF(Tickets[TripKey],A833,Tickets[Revenue]))</f>
        <v/>
      </c>
      <c r="G833">
        <f>IF(A833="","",SUMIF(Tickets[TripKey],A833,Tickets[PK]))</f>
        <v/>
      </c>
      <c r="H833">
        <f>IF(A833="","",IFERROR(XLOOKUP(A833,Tickets[TripKey],Tickets[VehClean]),""))</f>
        <v/>
      </c>
      <c r="I833">
        <f>IF(A833="","",IFERROR(XLOOKUP(A833,Tickets[TripKey],Tickets[RouteLen]),0))</f>
        <v/>
      </c>
      <c r="J833">
        <f>IF(A833="","",IFERROR(XLOOKUP(A833,Tickets[TripKey],Tickets[Capacity]),0))</f>
        <v/>
      </c>
      <c r="K833">
        <f>IF(A833="","",I833*J833)</f>
        <v/>
      </c>
      <c r="L833">
        <f>IF(A833="","",IFERROR(MINIFS(Tickets[Trip Start Time],Tickets[TripKey],A833),""))</f>
        <v/>
      </c>
    </row>
    <row r="834">
      <c r="B834" s="8">
        <f>IF(A834="","",IFERROR(DATEVALUE(TEXTBEFORE(A834,"|")),--LEFT(A834,10)))</f>
        <v/>
      </c>
      <c r="C834">
        <f>IF(A834="","",TEXTBEFORE(TEXTAFTER(A834,"|"),"|"))</f>
        <v/>
      </c>
      <c r="D834">
        <f>IF(A834="","",TEXTAFTER(A834,"|",2))</f>
        <v/>
      </c>
      <c r="E834">
        <f>IF(A834="","",SUMIF(Tickets[TripKey],A834,Tickets[TP]))</f>
        <v/>
      </c>
      <c r="F834">
        <f>IF(A834="","",SUMIF(Tickets[TripKey],A834,Tickets[Revenue]))</f>
        <v/>
      </c>
      <c r="G834">
        <f>IF(A834="","",SUMIF(Tickets[TripKey],A834,Tickets[PK]))</f>
        <v/>
      </c>
      <c r="H834">
        <f>IF(A834="","",IFERROR(XLOOKUP(A834,Tickets[TripKey],Tickets[VehClean]),""))</f>
        <v/>
      </c>
      <c r="I834">
        <f>IF(A834="","",IFERROR(XLOOKUP(A834,Tickets[TripKey],Tickets[RouteLen]),0))</f>
        <v/>
      </c>
      <c r="J834">
        <f>IF(A834="","",IFERROR(XLOOKUP(A834,Tickets[TripKey],Tickets[Capacity]),0))</f>
        <v/>
      </c>
      <c r="K834">
        <f>IF(A834="","",I834*J834)</f>
        <v/>
      </c>
      <c r="L834">
        <f>IF(A834="","",IFERROR(MINIFS(Tickets[Trip Start Time],Tickets[TripKey],A834),""))</f>
        <v/>
      </c>
    </row>
    <row r="835">
      <c r="B835" s="8">
        <f>IF(A835="","",IFERROR(DATEVALUE(TEXTBEFORE(A835,"|")),--LEFT(A835,10)))</f>
        <v/>
      </c>
      <c r="C835">
        <f>IF(A835="","",TEXTBEFORE(TEXTAFTER(A835,"|"),"|"))</f>
        <v/>
      </c>
      <c r="D835">
        <f>IF(A835="","",TEXTAFTER(A835,"|",2))</f>
        <v/>
      </c>
      <c r="E835">
        <f>IF(A835="","",SUMIF(Tickets[TripKey],A835,Tickets[TP]))</f>
        <v/>
      </c>
      <c r="F835">
        <f>IF(A835="","",SUMIF(Tickets[TripKey],A835,Tickets[Revenue]))</f>
        <v/>
      </c>
      <c r="G835">
        <f>IF(A835="","",SUMIF(Tickets[TripKey],A835,Tickets[PK]))</f>
        <v/>
      </c>
      <c r="H835">
        <f>IF(A835="","",IFERROR(XLOOKUP(A835,Tickets[TripKey],Tickets[VehClean]),""))</f>
        <v/>
      </c>
      <c r="I835">
        <f>IF(A835="","",IFERROR(XLOOKUP(A835,Tickets[TripKey],Tickets[RouteLen]),0))</f>
        <v/>
      </c>
      <c r="J835">
        <f>IF(A835="","",IFERROR(XLOOKUP(A835,Tickets[TripKey],Tickets[Capacity]),0))</f>
        <v/>
      </c>
      <c r="K835">
        <f>IF(A835="","",I835*J835)</f>
        <v/>
      </c>
      <c r="L835">
        <f>IF(A835="","",IFERROR(MINIFS(Tickets[Trip Start Time],Tickets[TripKey],A835),""))</f>
        <v/>
      </c>
    </row>
    <row r="836">
      <c r="B836" s="8">
        <f>IF(A836="","",IFERROR(DATEVALUE(TEXTBEFORE(A836,"|")),--LEFT(A836,10)))</f>
        <v/>
      </c>
      <c r="C836">
        <f>IF(A836="","",TEXTBEFORE(TEXTAFTER(A836,"|"),"|"))</f>
        <v/>
      </c>
      <c r="D836">
        <f>IF(A836="","",TEXTAFTER(A836,"|",2))</f>
        <v/>
      </c>
      <c r="E836">
        <f>IF(A836="","",SUMIF(Tickets[TripKey],A836,Tickets[TP]))</f>
        <v/>
      </c>
      <c r="F836">
        <f>IF(A836="","",SUMIF(Tickets[TripKey],A836,Tickets[Revenue]))</f>
        <v/>
      </c>
      <c r="G836">
        <f>IF(A836="","",SUMIF(Tickets[TripKey],A836,Tickets[PK]))</f>
        <v/>
      </c>
      <c r="H836">
        <f>IF(A836="","",IFERROR(XLOOKUP(A836,Tickets[TripKey],Tickets[VehClean]),""))</f>
        <v/>
      </c>
      <c r="I836">
        <f>IF(A836="","",IFERROR(XLOOKUP(A836,Tickets[TripKey],Tickets[RouteLen]),0))</f>
        <v/>
      </c>
      <c r="J836">
        <f>IF(A836="","",IFERROR(XLOOKUP(A836,Tickets[TripKey],Tickets[Capacity]),0))</f>
        <v/>
      </c>
      <c r="K836">
        <f>IF(A836="","",I836*J836)</f>
        <v/>
      </c>
      <c r="L836">
        <f>IF(A836="","",IFERROR(MINIFS(Tickets[Trip Start Time],Tickets[TripKey],A836),""))</f>
        <v/>
      </c>
    </row>
    <row r="837">
      <c r="B837" s="8">
        <f>IF(A837="","",IFERROR(DATEVALUE(TEXTBEFORE(A837,"|")),--LEFT(A837,10)))</f>
        <v/>
      </c>
      <c r="C837">
        <f>IF(A837="","",TEXTBEFORE(TEXTAFTER(A837,"|"),"|"))</f>
        <v/>
      </c>
      <c r="D837">
        <f>IF(A837="","",TEXTAFTER(A837,"|",2))</f>
        <v/>
      </c>
      <c r="E837">
        <f>IF(A837="","",SUMIF(Tickets[TripKey],A837,Tickets[TP]))</f>
        <v/>
      </c>
      <c r="F837">
        <f>IF(A837="","",SUMIF(Tickets[TripKey],A837,Tickets[Revenue]))</f>
        <v/>
      </c>
      <c r="G837">
        <f>IF(A837="","",SUMIF(Tickets[TripKey],A837,Tickets[PK]))</f>
        <v/>
      </c>
      <c r="H837">
        <f>IF(A837="","",IFERROR(XLOOKUP(A837,Tickets[TripKey],Tickets[VehClean]),""))</f>
        <v/>
      </c>
      <c r="I837">
        <f>IF(A837="","",IFERROR(XLOOKUP(A837,Tickets[TripKey],Tickets[RouteLen]),0))</f>
        <v/>
      </c>
      <c r="J837">
        <f>IF(A837="","",IFERROR(XLOOKUP(A837,Tickets[TripKey],Tickets[Capacity]),0))</f>
        <v/>
      </c>
      <c r="K837">
        <f>IF(A837="","",I837*J837)</f>
        <v/>
      </c>
      <c r="L837">
        <f>IF(A837="","",IFERROR(MINIFS(Tickets[Trip Start Time],Tickets[TripKey],A837),""))</f>
        <v/>
      </c>
    </row>
    <row r="838">
      <c r="B838" s="8">
        <f>IF(A838="","",IFERROR(DATEVALUE(TEXTBEFORE(A838,"|")),--LEFT(A838,10)))</f>
        <v/>
      </c>
      <c r="C838">
        <f>IF(A838="","",TEXTBEFORE(TEXTAFTER(A838,"|"),"|"))</f>
        <v/>
      </c>
      <c r="D838">
        <f>IF(A838="","",TEXTAFTER(A838,"|",2))</f>
        <v/>
      </c>
      <c r="E838">
        <f>IF(A838="","",SUMIF(Tickets[TripKey],A838,Tickets[TP]))</f>
        <v/>
      </c>
      <c r="F838">
        <f>IF(A838="","",SUMIF(Tickets[TripKey],A838,Tickets[Revenue]))</f>
        <v/>
      </c>
      <c r="G838">
        <f>IF(A838="","",SUMIF(Tickets[TripKey],A838,Tickets[PK]))</f>
        <v/>
      </c>
      <c r="H838">
        <f>IF(A838="","",IFERROR(XLOOKUP(A838,Tickets[TripKey],Tickets[VehClean]),""))</f>
        <v/>
      </c>
      <c r="I838">
        <f>IF(A838="","",IFERROR(XLOOKUP(A838,Tickets[TripKey],Tickets[RouteLen]),0))</f>
        <v/>
      </c>
      <c r="J838">
        <f>IF(A838="","",IFERROR(XLOOKUP(A838,Tickets[TripKey],Tickets[Capacity]),0))</f>
        <v/>
      </c>
      <c r="K838">
        <f>IF(A838="","",I838*J838)</f>
        <v/>
      </c>
      <c r="L838">
        <f>IF(A838="","",IFERROR(MINIFS(Tickets[Trip Start Time],Tickets[TripKey],A838),""))</f>
        <v/>
      </c>
    </row>
    <row r="839">
      <c r="B839" s="8">
        <f>IF(A839="","",IFERROR(DATEVALUE(TEXTBEFORE(A839,"|")),--LEFT(A839,10)))</f>
        <v/>
      </c>
      <c r="C839">
        <f>IF(A839="","",TEXTBEFORE(TEXTAFTER(A839,"|"),"|"))</f>
        <v/>
      </c>
      <c r="D839">
        <f>IF(A839="","",TEXTAFTER(A839,"|",2))</f>
        <v/>
      </c>
      <c r="E839">
        <f>IF(A839="","",SUMIF(Tickets[TripKey],A839,Tickets[TP]))</f>
        <v/>
      </c>
      <c r="F839">
        <f>IF(A839="","",SUMIF(Tickets[TripKey],A839,Tickets[Revenue]))</f>
        <v/>
      </c>
      <c r="G839">
        <f>IF(A839="","",SUMIF(Tickets[TripKey],A839,Tickets[PK]))</f>
        <v/>
      </c>
      <c r="H839">
        <f>IF(A839="","",IFERROR(XLOOKUP(A839,Tickets[TripKey],Tickets[VehClean]),""))</f>
        <v/>
      </c>
      <c r="I839">
        <f>IF(A839="","",IFERROR(XLOOKUP(A839,Tickets[TripKey],Tickets[RouteLen]),0))</f>
        <v/>
      </c>
      <c r="J839">
        <f>IF(A839="","",IFERROR(XLOOKUP(A839,Tickets[TripKey],Tickets[Capacity]),0))</f>
        <v/>
      </c>
      <c r="K839">
        <f>IF(A839="","",I839*J839)</f>
        <v/>
      </c>
      <c r="L839">
        <f>IF(A839="","",IFERROR(MINIFS(Tickets[Trip Start Time],Tickets[TripKey],A839),""))</f>
        <v/>
      </c>
    </row>
    <row r="840">
      <c r="B840" s="8">
        <f>IF(A840="","",IFERROR(DATEVALUE(TEXTBEFORE(A840,"|")),--LEFT(A840,10)))</f>
        <v/>
      </c>
      <c r="C840">
        <f>IF(A840="","",TEXTBEFORE(TEXTAFTER(A840,"|"),"|"))</f>
        <v/>
      </c>
      <c r="D840">
        <f>IF(A840="","",TEXTAFTER(A840,"|",2))</f>
        <v/>
      </c>
      <c r="E840">
        <f>IF(A840="","",SUMIF(Tickets[TripKey],A840,Tickets[TP]))</f>
        <v/>
      </c>
      <c r="F840">
        <f>IF(A840="","",SUMIF(Tickets[TripKey],A840,Tickets[Revenue]))</f>
        <v/>
      </c>
      <c r="G840">
        <f>IF(A840="","",SUMIF(Tickets[TripKey],A840,Tickets[PK]))</f>
        <v/>
      </c>
      <c r="H840">
        <f>IF(A840="","",IFERROR(XLOOKUP(A840,Tickets[TripKey],Tickets[VehClean]),""))</f>
        <v/>
      </c>
      <c r="I840">
        <f>IF(A840="","",IFERROR(XLOOKUP(A840,Tickets[TripKey],Tickets[RouteLen]),0))</f>
        <v/>
      </c>
      <c r="J840">
        <f>IF(A840="","",IFERROR(XLOOKUP(A840,Tickets[TripKey],Tickets[Capacity]),0))</f>
        <v/>
      </c>
      <c r="K840">
        <f>IF(A840="","",I840*J840)</f>
        <v/>
      </c>
      <c r="L840">
        <f>IF(A840="","",IFERROR(MINIFS(Tickets[Trip Start Time],Tickets[TripKey],A840),""))</f>
        <v/>
      </c>
    </row>
    <row r="841">
      <c r="B841" s="8">
        <f>IF(A841="","",IFERROR(DATEVALUE(TEXTBEFORE(A841,"|")),--LEFT(A841,10)))</f>
        <v/>
      </c>
      <c r="C841">
        <f>IF(A841="","",TEXTBEFORE(TEXTAFTER(A841,"|"),"|"))</f>
        <v/>
      </c>
      <c r="D841">
        <f>IF(A841="","",TEXTAFTER(A841,"|",2))</f>
        <v/>
      </c>
      <c r="E841">
        <f>IF(A841="","",SUMIF(Tickets[TripKey],A841,Tickets[TP]))</f>
        <v/>
      </c>
      <c r="F841">
        <f>IF(A841="","",SUMIF(Tickets[TripKey],A841,Tickets[Revenue]))</f>
        <v/>
      </c>
      <c r="G841">
        <f>IF(A841="","",SUMIF(Tickets[TripKey],A841,Tickets[PK]))</f>
        <v/>
      </c>
      <c r="H841">
        <f>IF(A841="","",IFERROR(XLOOKUP(A841,Tickets[TripKey],Tickets[VehClean]),""))</f>
        <v/>
      </c>
      <c r="I841">
        <f>IF(A841="","",IFERROR(XLOOKUP(A841,Tickets[TripKey],Tickets[RouteLen]),0))</f>
        <v/>
      </c>
      <c r="J841">
        <f>IF(A841="","",IFERROR(XLOOKUP(A841,Tickets[TripKey],Tickets[Capacity]),0))</f>
        <v/>
      </c>
      <c r="K841">
        <f>IF(A841="","",I841*J841)</f>
        <v/>
      </c>
      <c r="L841">
        <f>IF(A841="","",IFERROR(MINIFS(Tickets[Trip Start Time],Tickets[TripKey],A841),""))</f>
        <v/>
      </c>
    </row>
    <row r="842">
      <c r="B842" s="8">
        <f>IF(A842="","",IFERROR(DATEVALUE(TEXTBEFORE(A842,"|")),--LEFT(A842,10)))</f>
        <v/>
      </c>
      <c r="C842">
        <f>IF(A842="","",TEXTBEFORE(TEXTAFTER(A842,"|"),"|"))</f>
        <v/>
      </c>
      <c r="D842">
        <f>IF(A842="","",TEXTAFTER(A842,"|",2))</f>
        <v/>
      </c>
      <c r="E842">
        <f>IF(A842="","",SUMIF(Tickets[TripKey],A842,Tickets[TP]))</f>
        <v/>
      </c>
      <c r="F842">
        <f>IF(A842="","",SUMIF(Tickets[TripKey],A842,Tickets[Revenue]))</f>
        <v/>
      </c>
      <c r="G842">
        <f>IF(A842="","",SUMIF(Tickets[TripKey],A842,Tickets[PK]))</f>
        <v/>
      </c>
      <c r="H842">
        <f>IF(A842="","",IFERROR(XLOOKUP(A842,Tickets[TripKey],Tickets[VehClean]),""))</f>
        <v/>
      </c>
      <c r="I842">
        <f>IF(A842="","",IFERROR(XLOOKUP(A842,Tickets[TripKey],Tickets[RouteLen]),0))</f>
        <v/>
      </c>
      <c r="J842">
        <f>IF(A842="","",IFERROR(XLOOKUP(A842,Tickets[TripKey],Tickets[Capacity]),0))</f>
        <v/>
      </c>
      <c r="K842">
        <f>IF(A842="","",I842*J842)</f>
        <v/>
      </c>
      <c r="L842">
        <f>IF(A842="","",IFERROR(MINIFS(Tickets[Trip Start Time],Tickets[TripKey],A842),""))</f>
        <v/>
      </c>
    </row>
    <row r="843">
      <c r="B843" s="8">
        <f>IF(A843="","",IFERROR(DATEVALUE(TEXTBEFORE(A843,"|")),--LEFT(A843,10)))</f>
        <v/>
      </c>
      <c r="C843">
        <f>IF(A843="","",TEXTBEFORE(TEXTAFTER(A843,"|"),"|"))</f>
        <v/>
      </c>
      <c r="D843">
        <f>IF(A843="","",TEXTAFTER(A843,"|",2))</f>
        <v/>
      </c>
      <c r="E843">
        <f>IF(A843="","",SUMIF(Tickets[TripKey],A843,Tickets[TP]))</f>
        <v/>
      </c>
      <c r="F843">
        <f>IF(A843="","",SUMIF(Tickets[TripKey],A843,Tickets[Revenue]))</f>
        <v/>
      </c>
      <c r="G843">
        <f>IF(A843="","",SUMIF(Tickets[TripKey],A843,Tickets[PK]))</f>
        <v/>
      </c>
      <c r="H843">
        <f>IF(A843="","",IFERROR(XLOOKUP(A843,Tickets[TripKey],Tickets[VehClean]),""))</f>
        <v/>
      </c>
      <c r="I843">
        <f>IF(A843="","",IFERROR(XLOOKUP(A843,Tickets[TripKey],Tickets[RouteLen]),0))</f>
        <v/>
      </c>
      <c r="J843">
        <f>IF(A843="","",IFERROR(XLOOKUP(A843,Tickets[TripKey],Tickets[Capacity]),0))</f>
        <v/>
      </c>
      <c r="K843">
        <f>IF(A843="","",I843*J843)</f>
        <v/>
      </c>
      <c r="L843">
        <f>IF(A843="","",IFERROR(MINIFS(Tickets[Trip Start Time],Tickets[TripKey],A843),""))</f>
        <v/>
      </c>
    </row>
    <row r="844">
      <c r="B844" s="8">
        <f>IF(A844="","",IFERROR(DATEVALUE(TEXTBEFORE(A844,"|")),--LEFT(A844,10)))</f>
        <v/>
      </c>
      <c r="C844">
        <f>IF(A844="","",TEXTBEFORE(TEXTAFTER(A844,"|"),"|"))</f>
        <v/>
      </c>
      <c r="D844">
        <f>IF(A844="","",TEXTAFTER(A844,"|",2))</f>
        <v/>
      </c>
      <c r="E844">
        <f>IF(A844="","",SUMIF(Tickets[TripKey],A844,Tickets[TP]))</f>
        <v/>
      </c>
      <c r="F844">
        <f>IF(A844="","",SUMIF(Tickets[TripKey],A844,Tickets[Revenue]))</f>
        <v/>
      </c>
      <c r="G844">
        <f>IF(A844="","",SUMIF(Tickets[TripKey],A844,Tickets[PK]))</f>
        <v/>
      </c>
      <c r="H844">
        <f>IF(A844="","",IFERROR(XLOOKUP(A844,Tickets[TripKey],Tickets[VehClean]),""))</f>
        <v/>
      </c>
      <c r="I844">
        <f>IF(A844="","",IFERROR(XLOOKUP(A844,Tickets[TripKey],Tickets[RouteLen]),0))</f>
        <v/>
      </c>
      <c r="J844">
        <f>IF(A844="","",IFERROR(XLOOKUP(A844,Tickets[TripKey],Tickets[Capacity]),0))</f>
        <v/>
      </c>
      <c r="K844">
        <f>IF(A844="","",I844*J844)</f>
        <v/>
      </c>
      <c r="L844">
        <f>IF(A844="","",IFERROR(MINIFS(Tickets[Trip Start Time],Tickets[TripKey],A844),""))</f>
        <v/>
      </c>
    </row>
    <row r="845">
      <c r="B845" s="8">
        <f>IF(A845="","",IFERROR(DATEVALUE(TEXTBEFORE(A845,"|")),--LEFT(A845,10)))</f>
        <v/>
      </c>
      <c r="C845">
        <f>IF(A845="","",TEXTBEFORE(TEXTAFTER(A845,"|"),"|"))</f>
        <v/>
      </c>
      <c r="D845">
        <f>IF(A845="","",TEXTAFTER(A845,"|",2))</f>
        <v/>
      </c>
      <c r="E845">
        <f>IF(A845="","",SUMIF(Tickets[TripKey],A845,Tickets[TP]))</f>
        <v/>
      </c>
      <c r="F845">
        <f>IF(A845="","",SUMIF(Tickets[TripKey],A845,Tickets[Revenue]))</f>
        <v/>
      </c>
      <c r="G845">
        <f>IF(A845="","",SUMIF(Tickets[TripKey],A845,Tickets[PK]))</f>
        <v/>
      </c>
      <c r="H845">
        <f>IF(A845="","",IFERROR(XLOOKUP(A845,Tickets[TripKey],Tickets[VehClean]),""))</f>
        <v/>
      </c>
      <c r="I845">
        <f>IF(A845="","",IFERROR(XLOOKUP(A845,Tickets[TripKey],Tickets[RouteLen]),0))</f>
        <v/>
      </c>
      <c r="J845">
        <f>IF(A845="","",IFERROR(XLOOKUP(A845,Tickets[TripKey],Tickets[Capacity]),0))</f>
        <v/>
      </c>
      <c r="K845">
        <f>IF(A845="","",I845*J845)</f>
        <v/>
      </c>
      <c r="L845">
        <f>IF(A845="","",IFERROR(MINIFS(Tickets[Trip Start Time],Tickets[TripKey],A845),""))</f>
        <v/>
      </c>
    </row>
    <row r="846">
      <c r="B846" s="8">
        <f>IF(A846="","",IFERROR(DATEVALUE(TEXTBEFORE(A846,"|")),--LEFT(A846,10)))</f>
        <v/>
      </c>
      <c r="C846">
        <f>IF(A846="","",TEXTBEFORE(TEXTAFTER(A846,"|"),"|"))</f>
        <v/>
      </c>
      <c r="D846">
        <f>IF(A846="","",TEXTAFTER(A846,"|",2))</f>
        <v/>
      </c>
      <c r="E846">
        <f>IF(A846="","",SUMIF(Tickets[TripKey],A846,Tickets[TP]))</f>
        <v/>
      </c>
      <c r="F846">
        <f>IF(A846="","",SUMIF(Tickets[TripKey],A846,Tickets[Revenue]))</f>
        <v/>
      </c>
      <c r="G846">
        <f>IF(A846="","",SUMIF(Tickets[TripKey],A846,Tickets[PK]))</f>
        <v/>
      </c>
      <c r="H846">
        <f>IF(A846="","",IFERROR(XLOOKUP(A846,Tickets[TripKey],Tickets[VehClean]),""))</f>
        <v/>
      </c>
      <c r="I846">
        <f>IF(A846="","",IFERROR(XLOOKUP(A846,Tickets[TripKey],Tickets[RouteLen]),0))</f>
        <v/>
      </c>
      <c r="J846">
        <f>IF(A846="","",IFERROR(XLOOKUP(A846,Tickets[TripKey],Tickets[Capacity]),0))</f>
        <v/>
      </c>
      <c r="K846">
        <f>IF(A846="","",I846*J846)</f>
        <v/>
      </c>
      <c r="L846">
        <f>IF(A846="","",IFERROR(MINIFS(Tickets[Trip Start Time],Tickets[TripKey],A846),""))</f>
        <v/>
      </c>
    </row>
    <row r="847">
      <c r="B847" s="8">
        <f>IF(A847="","",IFERROR(DATEVALUE(TEXTBEFORE(A847,"|")),--LEFT(A847,10)))</f>
        <v/>
      </c>
      <c r="C847">
        <f>IF(A847="","",TEXTBEFORE(TEXTAFTER(A847,"|"),"|"))</f>
        <v/>
      </c>
      <c r="D847">
        <f>IF(A847="","",TEXTAFTER(A847,"|",2))</f>
        <v/>
      </c>
      <c r="E847">
        <f>IF(A847="","",SUMIF(Tickets[TripKey],A847,Tickets[TP]))</f>
        <v/>
      </c>
      <c r="F847">
        <f>IF(A847="","",SUMIF(Tickets[TripKey],A847,Tickets[Revenue]))</f>
        <v/>
      </c>
      <c r="G847">
        <f>IF(A847="","",SUMIF(Tickets[TripKey],A847,Tickets[PK]))</f>
        <v/>
      </c>
      <c r="H847">
        <f>IF(A847="","",IFERROR(XLOOKUP(A847,Tickets[TripKey],Tickets[VehClean]),""))</f>
        <v/>
      </c>
      <c r="I847">
        <f>IF(A847="","",IFERROR(XLOOKUP(A847,Tickets[TripKey],Tickets[RouteLen]),0))</f>
        <v/>
      </c>
      <c r="J847">
        <f>IF(A847="","",IFERROR(XLOOKUP(A847,Tickets[TripKey],Tickets[Capacity]),0))</f>
        <v/>
      </c>
      <c r="K847">
        <f>IF(A847="","",I847*J847)</f>
        <v/>
      </c>
      <c r="L847">
        <f>IF(A847="","",IFERROR(MINIFS(Tickets[Trip Start Time],Tickets[TripKey],A847),""))</f>
        <v/>
      </c>
    </row>
    <row r="848">
      <c r="B848" s="8">
        <f>IF(A848="","",IFERROR(DATEVALUE(TEXTBEFORE(A848,"|")),--LEFT(A848,10)))</f>
        <v/>
      </c>
      <c r="C848">
        <f>IF(A848="","",TEXTBEFORE(TEXTAFTER(A848,"|"),"|"))</f>
        <v/>
      </c>
      <c r="D848">
        <f>IF(A848="","",TEXTAFTER(A848,"|",2))</f>
        <v/>
      </c>
      <c r="E848">
        <f>IF(A848="","",SUMIF(Tickets[TripKey],A848,Tickets[TP]))</f>
        <v/>
      </c>
      <c r="F848">
        <f>IF(A848="","",SUMIF(Tickets[TripKey],A848,Tickets[Revenue]))</f>
        <v/>
      </c>
      <c r="G848">
        <f>IF(A848="","",SUMIF(Tickets[TripKey],A848,Tickets[PK]))</f>
        <v/>
      </c>
      <c r="H848">
        <f>IF(A848="","",IFERROR(XLOOKUP(A848,Tickets[TripKey],Tickets[VehClean]),""))</f>
        <v/>
      </c>
      <c r="I848">
        <f>IF(A848="","",IFERROR(XLOOKUP(A848,Tickets[TripKey],Tickets[RouteLen]),0))</f>
        <v/>
      </c>
      <c r="J848">
        <f>IF(A848="","",IFERROR(XLOOKUP(A848,Tickets[TripKey],Tickets[Capacity]),0))</f>
        <v/>
      </c>
      <c r="K848">
        <f>IF(A848="","",I848*J848)</f>
        <v/>
      </c>
      <c r="L848">
        <f>IF(A848="","",IFERROR(MINIFS(Tickets[Trip Start Time],Tickets[TripKey],A848),""))</f>
        <v/>
      </c>
    </row>
    <row r="849">
      <c r="B849" s="8">
        <f>IF(A849="","",IFERROR(DATEVALUE(TEXTBEFORE(A849,"|")),--LEFT(A849,10)))</f>
        <v/>
      </c>
      <c r="C849">
        <f>IF(A849="","",TEXTBEFORE(TEXTAFTER(A849,"|"),"|"))</f>
        <v/>
      </c>
      <c r="D849">
        <f>IF(A849="","",TEXTAFTER(A849,"|",2))</f>
        <v/>
      </c>
      <c r="E849">
        <f>IF(A849="","",SUMIF(Tickets[TripKey],A849,Tickets[TP]))</f>
        <v/>
      </c>
      <c r="F849">
        <f>IF(A849="","",SUMIF(Tickets[TripKey],A849,Tickets[Revenue]))</f>
        <v/>
      </c>
      <c r="G849">
        <f>IF(A849="","",SUMIF(Tickets[TripKey],A849,Tickets[PK]))</f>
        <v/>
      </c>
      <c r="H849">
        <f>IF(A849="","",IFERROR(XLOOKUP(A849,Tickets[TripKey],Tickets[VehClean]),""))</f>
        <v/>
      </c>
      <c r="I849">
        <f>IF(A849="","",IFERROR(XLOOKUP(A849,Tickets[TripKey],Tickets[RouteLen]),0))</f>
        <v/>
      </c>
      <c r="J849">
        <f>IF(A849="","",IFERROR(XLOOKUP(A849,Tickets[TripKey],Tickets[Capacity]),0))</f>
        <v/>
      </c>
      <c r="K849">
        <f>IF(A849="","",I849*J849)</f>
        <v/>
      </c>
      <c r="L849">
        <f>IF(A849="","",IFERROR(MINIFS(Tickets[Trip Start Time],Tickets[TripKey],A849),""))</f>
        <v/>
      </c>
    </row>
    <row r="850">
      <c r="B850" s="8">
        <f>IF(A850="","",IFERROR(DATEVALUE(TEXTBEFORE(A850,"|")),--LEFT(A850,10)))</f>
        <v/>
      </c>
      <c r="C850">
        <f>IF(A850="","",TEXTBEFORE(TEXTAFTER(A850,"|"),"|"))</f>
        <v/>
      </c>
      <c r="D850">
        <f>IF(A850="","",TEXTAFTER(A850,"|",2))</f>
        <v/>
      </c>
      <c r="E850">
        <f>IF(A850="","",SUMIF(Tickets[TripKey],A850,Tickets[TP]))</f>
        <v/>
      </c>
      <c r="F850">
        <f>IF(A850="","",SUMIF(Tickets[TripKey],A850,Tickets[Revenue]))</f>
        <v/>
      </c>
      <c r="G850">
        <f>IF(A850="","",SUMIF(Tickets[TripKey],A850,Tickets[PK]))</f>
        <v/>
      </c>
      <c r="H850">
        <f>IF(A850="","",IFERROR(XLOOKUP(A850,Tickets[TripKey],Tickets[VehClean]),""))</f>
        <v/>
      </c>
      <c r="I850">
        <f>IF(A850="","",IFERROR(XLOOKUP(A850,Tickets[TripKey],Tickets[RouteLen]),0))</f>
        <v/>
      </c>
      <c r="J850">
        <f>IF(A850="","",IFERROR(XLOOKUP(A850,Tickets[TripKey],Tickets[Capacity]),0))</f>
        <v/>
      </c>
      <c r="K850">
        <f>IF(A850="","",I850*J850)</f>
        <v/>
      </c>
      <c r="L850">
        <f>IF(A850="","",IFERROR(MINIFS(Tickets[Trip Start Time],Tickets[TripKey],A850),""))</f>
        <v/>
      </c>
    </row>
    <row r="851">
      <c r="B851" s="8">
        <f>IF(A851="","",IFERROR(DATEVALUE(TEXTBEFORE(A851,"|")),--LEFT(A851,10)))</f>
        <v/>
      </c>
      <c r="C851">
        <f>IF(A851="","",TEXTBEFORE(TEXTAFTER(A851,"|"),"|"))</f>
        <v/>
      </c>
      <c r="D851">
        <f>IF(A851="","",TEXTAFTER(A851,"|",2))</f>
        <v/>
      </c>
      <c r="E851">
        <f>IF(A851="","",SUMIF(Tickets[TripKey],A851,Tickets[TP]))</f>
        <v/>
      </c>
      <c r="F851">
        <f>IF(A851="","",SUMIF(Tickets[TripKey],A851,Tickets[Revenue]))</f>
        <v/>
      </c>
      <c r="G851">
        <f>IF(A851="","",SUMIF(Tickets[TripKey],A851,Tickets[PK]))</f>
        <v/>
      </c>
      <c r="H851">
        <f>IF(A851="","",IFERROR(XLOOKUP(A851,Tickets[TripKey],Tickets[VehClean]),""))</f>
        <v/>
      </c>
      <c r="I851">
        <f>IF(A851="","",IFERROR(XLOOKUP(A851,Tickets[TripKey],Tickets[RouteLen]),0))</f>
        <v/>
      </c>
      <c r="J851">
        <f>IF(A851="","",IFERROR(XLOOKUP(A851,Tickets[TripKey],Tickets[Capacity]),0))</f>
        <v/>
      </c>
      <c r="K851">
        <f>IF(A851="","",I851*J851)</f>
        <v/>
      </c>
      <c r="L851">
        <f>IF(A851="","",IFERROR(MINIFS(Tickets[Trip Start Time],Tickets[TripKey],A851),""))</f>
        <v/>
      </c>
    </row>
    <row r="852">
      <c r="B852" s="8">
        <f>IF(A852="","",IFERROR(DATEVALUE(TEXTBEFORE(A852,"|")),--LEFT(A852,10)))</f>
        <v/>
      </c>
      <c r="C852">
        <f>IF(A852="","",TEXTBEFORE(TEXTAFTER(A852,"|"),"|"))</f>
        <v/>
      </c>
      <c r="D852">
        <f>IF(A852="","",TEXTAFTER(A852,"|",2))</f>
        <v/>
      </c>
      <c r="E852">
        <f>IF(A852="","",SUMIF(Tickets[TripKey],A852,Tickets[TP]))</f>
        <v/>
      </c>
      <c r="F852">
        <f>IF(A852="","",SUMIF(Tickets[TripKey],A852,Tickets[Revenue]))</f>
        <v/>
      </c>
      <c r="G852">
        <f>IF(A852="","",SUMIF(Tickets[TripKey],A852,Tickets[PK]))</f>
        <v/>
      </c>
      <c r="H852">
        <f>IF(A852="","",IFERROR(XLOOKUP(A852,Tickets[TripKey],Tickets[VehClean]),""))</f>
        <v/>
      </c>
      <c r="I852">
        <f>IF(A852="","",IFERROR(XLOOKUP(A852,Tickets[TripKey],Tickets[RouteLen]),0))</f>
        <v/>
      </c>
      <c r="J852">
        <f>IF(A852="","",IFERROR(XLOOKUP(A852,Tickets[TripKey],Tickets[Capacity]),0))</f>
        <v/>
      </c>
      <c r="K852">
        <f>IF(A852="","",I852*J852)</f>
        <v/>
      </c>
      <c r="L852">
        <f>IF(A852="","",IFERROR(MINIFS(Tickets[Trip Start Time],Tickets[TripKey],A852),""))</f>
        <v/>
      </c>
    </row>
    <row r="853">
      <c r="B853" s="8">
        <f>IF(A853="","",IFERROR(DATEVALUE(TEXTBEFORE(A853,"|")),--LEFT(A853,10)))</f>
        <v/>
      </c>
      <c r="C853">
        <f>IF(A853="","",TEXTBEFORE(TEXTAFTER(A853,"|"),"|"))</f>
        <v/>
      </c>
      <c r="D853">
        <f>IF(A853="","",TEXTAFTER(A853,"|",2))</f>
        <v/>
      </c>
      <c r="E853">
        <f>IF(A853="","",SUMIF(Tickets[TripKey],A853,Tickets[TP]))</f>
        <v/>
      </c>
      <c r="F853">
        <f>IF(A853="","",SUMIF(Tickets[TripKey],A853,Tickets[Revenue]))</f>
        <v/>
      </c>
      <c r="G853">
        <f>IF(A853="","",SUMIF(Tickets[TripKey],A853,Tickets[PK]))</f>
        <v/>
      </c>
      <c r="H853">
        <f>IF(A853="","",IFERROR(XLOOKUP(A853,Tickets[TripKey],Tickets[VehClean]),""))</f>
        <v/>
      </c>
      <c r="I853">
        <f>IF(A853="","",IFERROR(XLOOKUP(A853,Tickets[TripKey],Tickets[RouteLen]),0))</f>
        <v/>
      </c>
      <c r="J853">
        <f>IF(A853="","",IFERROR(XLOOKUP(A853,Tickets[TripKey],Tickets[Capacity]),0))</f>
        <v/>
      </c>
      <c r="K853">
        <f>IF(A853="","",I853*J853)</f>
        <v/>
      </c>
      <c r="L853">
        <f>IF(A853="","",IFERROR(MINIFS(Tickets[Trip Start Time],Tickets[TripKey],A853),""))</f>
        <v/>
      </c>
    </row>
    <row r="854">
      <c r="B854" s="8">
        <f>IF(A854="","",IFERROR(DATEVALUE(TEXTBEFORE(A854,"|")),--LEFT(A854,10)))</f>
        <v/>
      </c>
      <c r="C854">
        <f>IF(A854="","",TEXTBEFORE(TEXTAFTER(A854,"|"),"|"))</f>
        <v/>
      </c>
      <c r="D854">
        <f>IF(A854="","",TEXTAFTER(A854,"|",2))</f>
        <v/>
      </c>
      <c r="E854">
        <f>IF(A854="","",SUMIF(Tickets[TripKey],A854,Tickets[TP]))</f>
        <v/>
      </c>
      <c r="F854">
        <f>IF(A854="","",SUMIF(Tickets[TripKey],A854,Tickets[Revenue]))</f>
        <v/>
      </c>
      <c r="G854">
        <f>IF(A854="","",SUMIF(Tickets[TripKey],A854,Tickets[PK]))</f>
        <v/>
      </c>
      <c r="H854">
        <f>IF(A854="","",IFERROR(XLOOKUP(A854,Tickets[TripKey],Tickets[VehClean]),""))</f>
        <v/>
      </c>
      <c r="I854">
        <f>IF(A854="","",IFERROR(XLOOKUP(A854,Tickets[TripKey],Tickets[RouteLen]),0))</f>
        <v/>
      </c>
      <c r="J854">
        <f>IF(A854="","",IFERROR(XLOOKUP(A854,Tickets[TripKey],Tickets[Capacity]),0))</f>
        <v/>
      </c>
      <c r="K854">
        <f>IF(A854="","",I854*J854)</f>
        <v/>
      </c>
      <c r="L854">
        <f>IF(A854="","",IFERROR(MINIFS(Tickets[Trip Start Time],Tickets[TripKey],A854),""))</f>
        <v/>
      </c>
    </row>
    <row r="855">
      <c r="B855" s="8">
        <f>IF(A855="","",IFERROR(DATEVALUE(TEXTBEFORE(A855,"|")),--LEFT(A855,10)))</f>
        <v/>
      </c>
      <c r="C855">
        <f>IF(A855="","",TEXTBEFORE(TEXTAFTER(A855,"|"),"|"))</f>
        <v/>
      </c>
      <c r="D855">
        <f>IF(A855="","",TEXTAFTER(A855,"|",2))</f>
        <v/>
      </c>
      <c r="E855">
        <f>IF(A855="","",SUMIF(Tickets[TripKey],A855,Tickets[TP]))</f>
        <v/>
      </c>
      <c r="F855">
        <f>IF(A855="","",SUMIF(Tickets[TripKey],A855,Tickets[Revenue]))</f>
        <v/>
      </c>
      <c r="G855">
        <f>IF(A855="","",SUMIF(Tickets[TripKey],A855,Tickets[PK]))</f>
        <v/>
      </c>
      <c r="H855">
        <f>IF(A855="","",IFERROR(XLOOKUP(A855,Tickets[TripKey],Tickets[VehClean]),""))</f>
        <v/>
      </c>
      <c r="I855">
        <f>IF(A855="","",IFERROR(XLOOKUP(A855,Tickets[TripKey],Tickets[RouteLen]),0))</f>
        <v/>
      </c>
      <c r="J855">
        <f>IF(A855="","",IFERROR(XLOOKUP(A855,Tickets[TripKey],Tickets[Capacity]),0))</f>
        <v/>
      </c>
      <c r="K855">
        <f>IF(A855="","",I855*J855)</f>
        <v/>
      </c>
      <c r="L855">
        <f>IF(A855="","",IFERROR(MINIFS(Tickets[Trip Start Time],Tickets[TripKey],A855),""))</f>
        <v/>
      </c>
    </row>
    <row r="856">
      <c r="B856" s="8">
        <f>IF(A856="","",IFERROR(DATEVALUE(TEXTBEFORE(A856,"|")),--LEFT(A856,10)))</f>
        <v/>
      </c>
      <c r="C856">
        <f>IF(A856="","",TEXTBEFORE(TEXTAFTER(A856,"|"),"|"))</f>
        <v/>
      </c>
      <c r="D856">
        <f>IF(A856="","",TEXTAFTER(A856,"|",2))</f>
        <v/>
      </c>
      <c r="E856">
        <f>IF(A856="","",SUMIF(Tickets[TripKey],A856,Tickets[TP]))</f>
        <v/>
      </c>
      <c r="F856">
        <f>IF(A856="","",SUMIF(Tickets[TripKey],A856,Tickets[Revenue]))</f>
        <v/>
      </c>
      <c r="G856">
        <f>IF(A856="","",SUMIF(Tickets[TripKey],A856,Tickets[PK]))</f>
        <v/>
      </c>
      <c r="H856">
        <f>IF(A856="","",IFERROR(XLOOKUP(A856,Tickets[TripKey],Tickets[VehClean]),""))</f>
        <v/>
      </c>
      <c r="I856">
        <f>IF(A856="","",IFERROR(XLOOKUP(A856,Tickets[TripKey],Tickets[RouteLen]),0))</f>
        <v/>
      </c>
      <c r="J856">
        <f>IF(A856="","",IFERROR(XLOOKUP(A856,Tickets[TripKey],Tickets[Capacity]),0))</f>
        <v/>
      </c>
      <c r="K856">
        <f>IF(A856="","",I856*J856)</f>
        <v/>
      </c>
      <c r="L856">
        <f>IF(A856="","",IFERROR(MINIFS(Tickets[Trip Start Time],Tickets[TripKey],A856),""))</f>
        <v/>
      </c>
    </row>
    <row r="857">
      <c r="B857" s="8">
        <f>IF(A857="","",IFERROR(DATEVALUE(TEXTBEFORE(A857,"|")),--LEFT(A857,10)))</f>
        <v/>
      </c>
      <c r="C857">
        <f>IF(A857="","",TEXTBEFORE(TEXTAFTER(A857,"|"),"|"))</f>
        <v/>
      </c>
      <c r="D857">
        <f>IF(A857="","",TEXTAFTER(A857,"|",2))</f>
        <v/>
      </c>
      <c r="E857">
        <f>IF(A857="","",SUMIF(Tickets[TripKey],A857,Tickets[TP]))</f>
        <v/>
      </c>
      <c r="F857">
        <f>IF(A857="","",SUMIF(Tickets[TripKey],A857,Tickets[Revenue]))</f>
        <v/>
      </c>
      <c r="G857">
        <f>IF(A857="","",SUMIF(Tickets[TripKey],A857,Tickets[PK]))</f>
        <v/>
      </c>
      <c r="H857">
        <f>IF(A857="","",IFERROR(XLOOKUP(A857,Tickets[TripKey],Tickets[VehClean]),""))</f>
        <v/>
      </c>
      <c r="I857">
        <f>IF(A857="","",IFERROR(XLOOKUP(A857,Tickets[TripKey],Tickets[RouteLen]),0))</f>
        <v/>
      </c>
      <c r="J857">
        <f>IF(A857="","",IFERROR(XLOOKUP(A857,Tickets[TripKey],Tickets[Capacity]),0))</f>
        <v/>
      </c>
      <c r="K857">
        <f>IF(A857="","",I857*J857)</f>
        <v/>
      </c>
      <c r="L857">
        <f>IF(A857="","",IFERROR(MINIFS(Tickets[Trip Start Time],Tickets[TripKey],A857),""))</f>
        <v/>
      </c>
    </row>
    <row r="858">
      <c r="B858" s="8">
        <f>IF(A858="","",IFERROR(DATEVALUE(TEXTBEFORE(A858,"|")),--LEFT(A858,10)))</f>
        <v/>
      </c>
      <c r="C858">
        <f>IF(A858="","",TEXTBEFORE(TEXTAFTER(A858,"|"),"|"))</f>
        <v/>
      </c>
      <c r="D858">
        <f>IF(A858="","",TEXTAFTER(A858,"|",2))</f>
        <v/>
      </c>
      <c r="E858">
        <f>IF(A858="","",SUMIF(Tickets[TripKey],A858,Tickets[TP]))</f>
        <v/>
      </c>
      <c r="F858">
        <f>IF(A858="","",SUMIF(Tickets[TripKey],A858,Tickets[Revenue]))</f>
        <v/>
      </c>
      <c r="G858">
        <f>IF(A858="","",SUMIF(Tickets[TripKey],A858,Tickets[PK]))</f>
        <v/>
      </c>
      <c r="H858">
        <f>IF(A858="","",IFERROR(XLOOKUP(A858,Tickets[TripKey],Tickets[VehClean]),""))</f>
        <v/>
      </c>
      <c r="I858">
        <f>IF(A858="","",IFERROR(XLOOKUP(A858,Tickets[TripKey],Tickets[RouteLen]),0))</f>
        <v/>
      </c>
      <c r="J858">
        <f>IF(A858="","",IFERROR(XLOOKUP(A858,Tickets[TripKey],Tickets[Capacity]),0))</f>
        <v/>
      </c>
      <c r="K858">
        <f>IF(A858="","",I858*J858)</f>
        <v/>
      </c>
      <c r="L858">
        <f>IF(A858="","",IFERROR(MINIFS(Tickets[Trip Start Time],Tickets[TripKey],A858),""))</f>
        <v/>
      </c>
    </row>
    <row r="859">
      <c r="B859" s="8">
        <f>IF(A859="","",IFERROR(DATEVALUE(TEXTBEFORE(A859,"|")),--LEFT(A859,10)))</f>
        <v/>
      </c>
      <c r="C859">
        <f>IF(A859="","",TEXTBEFORE(TEXTAFTER(A859,"|"),"|"))</f>
        <v/>
      </c>
      <c r="D859">
        <f>IF(A859="","",TEXTAFTER(A859,"|",2))</f>
        <v/>
      </c>
      <c r="E859">
        <f>IF(A859="","",SUMIF(Tickets[TripKey],A859,Tickets[TP]))</f>
        <v/>
      </c>
      <c r="F859">
        <f>IF(A859="","",SUMIF(Tickets[TripKey],A859,Tickets[Revenue]))</f>
        <v/>
      </c>
      <c r="G859">
        <f>IF(A859="","",SUMIF(Tickets[TripKey],A859,Tickets[PK]))</f>
        <v/>
      </c>
      <c r="H859">
        <f>IF(A859="","",IFERROR(XLOOKUP(A859,Tickets[TripKey],Tickets[VehClean]),""))</f>
        <v/>
      </c>
      <c r="I859">
        <f>IF(A859="","",IFERROR(XLOOKUP(A859,Tickets[TripKey],Tickets[RouteLen]),0))</f>
        <v/>
      </c>
      <c r="J859">
        <f>IF(A859="","",IFERROR(XLOOKUP(A859,Tickets[TripKey],Tickets[Capacity]),0))</f>
        <v/>
      </c>
      <c r="K859">
        <f>IF(A859="","",I859*J859)</f>
        <v/>
      </c>
      <c r="L859">
        <f>IF(A859="","",IFERROR(MINIFS(Tickets[Trip Start Time],Tickets[TripKey],A859),""))</f>
        <v/>
      </c>
    </row>
    <row r="860">
      <c r="B860" s="8">
        <f>IF(A860="","",IFERROR(DATEVALUE(TEXTBEFORE(A860,"|")),--LEFT(A860,10)))</f>
        <v/>
      </c>
      <c r="C860">
        <f>IF(A860="","",TEXTBEFORE(TEXTAFTER(A860,"|"),"|"))</f>
        <v/>
      </c>
      <c r="D860">
        <f>IF(A860="","",TEXTAFTER(A860,"|",2))</f>
        <v/>
      </c>
      <c r="E860">
        <f>IF(A860="","",SUMIF(Tickets[TripKey],A860,Tickets[TP]))</f>
        <v/>
      </c>
      <c r="F860">
        <f>IF(A860="","",SUMIF(Tickets[TripKey],A860,Tickets[Revenue]))</f>
        <v/>
      </c>
      <c r="G860">
        <f>IF(A860="","",SUMIF(Tickets[TripKey],A860,Tickets[PK]))</f>
        <v/>
      </c>
      <c r="H860">
        <f>IF(A860="","",IFERROR(XLOOKUP(A860,Tickets[TripKey],Tickets[VehClean]),""))</f>
        <v/>
      </c>
      <c r="I860">
        <f>IF(A860="","",IFERROR(XLOOKUP(A860,Tickets[TripKey],Tickets[RouteLen]),0))</f>
        <v/>
      </c>
      <c r="J860">
        <f>IF(A860="","",IFERROR(XLOOKUP(A860,Tickets[TripKey],Tickets[Capacity]),0))</f>
        <v/>
      </c>
      <c r="K860">
        <f>IF(A860="","",I860*J860)</f>
        <v/>
      </c>
      <c r="L860">
        <f>IF(A860="","",IFERROR(MINIFS(Tickets[Trip Start Time],Tickets[TripKey],A860),""))</f>
        <v/>
      </c>
    </row>
    <row r="861">
      <c r="B861" s="8">
        <f>IF(A861="","",IFERROR(DATEVALUE(TEXTBEFORE(A861,"|")),--LEFT(A861,10)))</f>
        <v/>
      </c>
      <c r="C861">
        <f>IF(A861="","",TEXTBEFORE(TEXTAFTER(A861,"|"),"|"))</f>
        <v/>
      </c>
      <c r="D861">
        <f>IF(A861="","",TEXTAFTER(A861,"|",2))</f>
        <v/>
      </c>
      <c r="E861">
        <f>IF(A861="","",SUMIF(Tickets[TripKey],A861,Tickets[TP]))</f>
        <v/>
      </c>
      <c r="F861">
        <f>IF(A861="","",SUMIF(Tickets[TripKey],A861,Tickets[Revenue]))</f>
        <v/>
      </c>
      <c r="G861">
        <f>IF(A861="","",SUMIF(Tickets[TripKey],A861,Tickets[PK]))</f>
        <v/>
      </c>
      <c r="H861">
        <f>IF(A861="","",IFERROR(XLOOKUP(A861,Tickets[TripKey],Tickets[VehClean]),""))</f>
        <v/>
      </c>
      <c r="I861">
        <f>IF(A861="","",IFERROR(XLOOKUP(A861,Tickets[TripKey],Tickets[RouteLen]),0))</f>
        <v/>
      </c>
      <c r="J861">
        <f>IF(A861="","",IFERROR(XLOOKUP(A861,Tickets[TripKey],Tickets[Capacity]),0))</f>
        <v/>
      </c>
      <c r="K861">
        <f>IF(A861="","",I861*J861)</f>
        <v/>
      </c>
      <c r="L861">
        <f>IF(A861="","",IFERROR(MINIFS(Tickets[Trip Start Time],Tickets[TripKey],A861),""))</f>
        <v/>
      </c>
    </row>
    <row r="862">
      <c r="B862" s="8">
        <f>IF(A862="","",IFERROR(DATEVALUE(TEXTBEFORE(A862,"|")),--LEFT(A862,10)))</f>
        <v/>
      </c>
      <c r="C862">
        <f>IF(A862="","",TEXTBEFORE(TEXTAFTER(A862,"|"),"|"))</f>
        <v/>
      </c>
      <c r="D862">
        <f>IF(A862="","",TEXTAFTER(A862,"|",2))</f>
        <v/>
      </c>
      <c r="E862">
        <f>IF(A862="","",SUMIF(Tickets[TripKey],A862,Tickets[TP]))</f>
        <v/>
      </c>
      <c r="F862">
        <f>IF(A862="","",SUMIF(Tickets[TripKey],A862,Tickets[Revenue]))</f>
        <v/>
      </c>
      <c r="G862">
        <f>IF(A862="","",SUMIF(Tickets[TripKey],A862,Tickets[PK]))</f>
        <v/>
      </c>
      <c r="H862">
        <f>IF(A862="","",IFERROR(XLOOKUP(A862,Tickets[TripKey],Tickets[VehClean]),""))</f>
        <v/>
      </c>
      <c r="I862">
        <f>IF(A862="","",IFERROR(XLOOKUP(A862,Tickets[TripKey],Tickets[RouteLen]),0))</f>
        <v/>
      </c>
      <c r="J862">
        <f>IF(A862="","",IFERROR(XLOOKUP(A862,Tickets[TripKey],Tickets[Capacity]),0))</f>
        <v/>
      </c>
      <c r="K862">
        <f>IF(A862="","",I862*J862)</f>
        <v/>
      </c>
      <c r="L862">
        <f>IF(A862="","",IFERROR(MINIFS(Tickets[Trip Start Time],Tickets[TripKey],A862),""))</f>
        <v/>
      </c>
    </row>
    <row r="863">
      <c r="B863" s="8">
        <f>IF(A863="","",IFERROR(DATEVALUE(TEXTBEFORE(A863,"|")),--LEFT(A863,10)))</f>
        <v/>
      </c>
      <c r="C863">
        <f>IF(A863="","",TEXTBEFORE(TEXTAFTER(A863,"|"),"|"))</f>
        <v/>
      </c>
      <c r="D863">
        <f>IF(A863="","",TEXTAFTER(A863,"|",2))</f>
        <v/>
      </c>
      <c r="E863">
        <f>IF(A863="","",SUMIF(Tickets[TripKey],A863,Tickets[TP]))</f>
        <v/>
      </c>
      <c r="F863">
        <f>IF(A863="","",SUMIF(Tickets[TripKey],A863,Tickets[Revenue]))</f>
        <v/>
      </c>
      <c r="G863">
        <f>IF(A863="","",SUMIF(Tickets[TripKey],A863,Tickets[PK]))</f>
        <v/>
      </c>
      <c r="H863">
        <f>IF(A863="","",IFERROR(XLOOKUP(A863,Tickets[TripKey],Tickets[VehClean]),""))</f>
        <v/>
      </c>
      <c r="I863">
        <f>IF(A863="","",IFERROR(XLOOKUP(A863,Tickets[TripKey],Tickets[RouteLen]),0))</f>
        <v/>
      </c>
      <c r="J863">
        <f>IF(A863="","",IFERROR(XLOOKUP(A863,Tickets[TripKey],Tickets[Capacity]),0))</f>
        <v/>
      </c>
      <c r="K863">
        <f>IF(A863="","",I863*J863)</f>
        <v/>
      </c>
      <c r="L863">
        <f>IF(A863="","",IFERROR(MINIFS(Tickets[Trip Start Time],Tickets[TripKey],A863),""))</f>
        <v/>
      </c>
    </row>
    <row r="864">
      <c r="B864" s="8">
        <f>IF(A864="","",IFERROR(DATEVALUE(TEXTBEFORE(A864,"|")),--LEFT(A864,10)))</f>
        <v/>
      </c>
      <c r="C864">
        <f>IF(A864="","",TEXTBEFORE(TEXTAFTER(A864,"|"),"|"))</f>
        <v/>
      </c>
      <c r="D864">
        <f>IF(A864="","",TEXTAFTER(A864,"|",2))</f>
        <v/>
      </c>
      <c r="E864">
        <f>IF(A864="","",SUMIF(Tickets[TripKey],A864,Tickets[TP]))</f>
        <v/>
      </c>
      <c r="F864">
        <f>IF(A864="","",SUMIF(Tickets[TripKey],A864,Tickets[Revenue]))</f>
        <v/>
      </c>
      <c r="G864">
        <f>IF(A864="","",SUMIF(Tickets[TripKey],A864,Tickets[PK]))</f>
        <v/>
      </c>
      <c r="H864">
        <f>IF(A864="","",IFERROR(XLOOKUP(A864,Tickets[TripKey],Tickets[VehClean]),""))</f>
        <v/>
      </c>
      <c r="I864">
        <f>IF(A864="","",IFERROR(XLOOKUP(A864,Tickets[TripKey],Tickets[RouteLen]),0))</f>
        <v/>
      </c>
      <c r="J864">
        <f>IF(A864="","",IFERROR(XLOOKUP(A864,Tickets[TripKey],Tickets[Capacity]),0))</f>
        <v/>
      </c>
      <c r="K864">
        <f>IF(A864="","",I864*J864)</f>
        <v/>
      </c>
      <c r="L864">
        <f>IF(A864="","",IFERROR(MINIFS(Tickets[Trip Start Time],Tickets[TripKey],A864),""))</f>
        <v/>
      </c>
    </row>
    <row r="865">
      <c r="B865" s="8">
        <f>IF(A865="","",IFERROR(DATEVALUE(TEXTBEFORE(A865,"|")),--LEFT(A865,10)))</f>
        <v/>
      </c>
      <c r="C865">
        <f>IF(A865="","",TEXTBEFORE(TEXTAFTER(A865,"|"),"|"))</f>
        <v/>
      </c>
      <c r="D865">
        <f>IF(A865="","",TEXTAFTER(A865,"|",2))</f>
        <v/>
      </c>
      <c r="E865">
        <f>IF(A865="","",SUMIF(Tickets[TripKey],A865,Tickets[TP]))</f>
        <v/>
      </c>
      <c r="F865">
        <f>IF(A865="","",SUMIF(Tickets[TripKey],A865,Tickets[Revenue]))</f>
        <v/>
      </c>
      <c r="G865">
        <f>IF(A865="","",SUMIF(Tickets[TripKey],A865,Tickets[PK]))</f>
        <v/>
      </c>
      <c r="H865">
        <f>IF(A865="","",IFERROR(XLOOKUP(A865,Tickets[TripKey],Tickets[VehClean]),""))</f>
        <v/>
      </c>
      <c r="I865">
        <f>IF(A865="","",IFERROR(XLOOKUP(A865,Tickets[TripKey],Tickets[RouteLen]),0))</f>
        <v/>
      </c>
      <c r="J865">
        <f>IF(A865="","",IFERROR(XLOOKUP(A865,Tickets[TripKey],Tickets[Capacity]),0))</f>
        <v/>
      </c>
      <c r="K865">
        <f>IF(A865="","",I865*J865)</f>
        <v/>
      </c>
      <c r="L865">
        <f>IF(A865="","",IFERROR(MINIFS(Tickets[Trip Start Time],Tickets[TripKey],A865),""))</f>
        <v/>
      </c>
    </row>
    <row r="866">
      <c r="B866" s="8">
        <f>IF(A866="","",IFERROR(DATEVALUE(TEXTBEFORE(A866,"|")),--LEFT(A866,10)))</f>
        <v/>
      </c>
      <c r="C866">
        <f>IF(A866="","",TEXTBEFORE(TEXTAFTER(A866,"|"),"|"))</f>
        <v/>
      </c>
      <c r="D866">
        <f>IF(A866="","",TEXTAFTER(A866,"|",2))</f>
        <v/>
      </c>
      <c r="E866">
        <f>IF(A866="","",SUMIF(Tickets[TripKey],A866,Tickets[TP]))</f>
        <v/>
      </c>
      <c r="F866">
        <f>IF(A866="","",SUMIF(Tickets[TripKey],A866,Tickets[Revenue]))</f>
        <v/>
      </c>
      <c r="G866">
        <f>IF(A866="","",SUMIF(Tickets[TripKey],A866,Tickets[PK]))</f>
        <v/>
      </c>
      <c r="H866">
        <f>IF(A866="","",IFERROR(XLOOKUP(A866,Tickets[TripKey],Tickets[VehClean]),""))</f>
        <v/>
      </c>
      <c r="I866">
        <f>IF(A866="","",IFERROR(XLOOKUP(A866,Tickets[TripKey],Tickets[RouteLen]),0))</f>
        <v/>
      </c>
      <c r="J866">
        <f>IF(A866="","",IFERROR(XLOOKUP(A866,Tickets[TripKey],Tickets[Capacity]),0))</f>
        <v/>
      </c>
      <c r="K866">
        <f>IF(A866="","",I866*J866)</f>
        <v/>
      </c>
      <c r="L866">
        <f>IF(A866="","",IFERROR(MINIFS(Tickets[Trip Start Time],Tickets[TripKey],A866),""))</f>
        <v/>
      </c>
    </row>
    <row r="867">
      <c r="B867" s="8">
        <f>IF(A867="","",IFERROR(DATEVALUE(TEXTBEFORE(A867,"|")),--LEFT(A867,10)))</f>
        <v/>
      </c>
      <c r="C867">
        <f>IF(A867="","",TEXTBEFORE(TEXTAFTER(A867,"|"),"|"))</f>
        <v/>
      </c>
      <c r="D867">
        <f>IF(A867="","",TEXTAFTER(A867,"|",2))</f>
        <v/>
      </c>
      <c r="E867">
        <f>IF(A867="","",SUMIF(Tickets[TripKey],A867,Tickets[TP]))</f>
        <v/>
      </c>
      <c r="F867">
        <f>IF(A867="","",SUMIF(Tickets[TripKey],A867,Tickets[Revenue]))</f>
        <v/>
      </c>
      <c r="G867">
        <f>IF(A867="","",SUMIF(Tickets[TripKey],A867,Tickets[PK]))</f>
        <v/>
      </c>
      <c r="H867">
        <f>IF(A867="","",IFERROR(XLOOKUP(A867,Tickets[TripKey],Tickets[VehClean]),""))</f>
        <v/>
      </c>
      <c r="I867">
        <f>IF(A867="","",IFERROR(XLOOKUP(A867,Tickets[TripKey],Tickets[RouteLen]),0))</f>
        <v/>
      </c>
      <c r="J867">
        <f>IF(A867="","",IFERROR(XLOOKUP(A867,Tickets[TripKey],Tickets[Capacity]),0))</f>
        <v/>
      </c>
      <c r="K867">
        <f>IF(A867="","",I867*J867)</f>
        <v/>
      </c>
      <c r="L867">
        <f>IF(A867="","",IFERROR(MINIFS(Tickets[Trip Start Time],Tickets[TripKey],A867),""))</f>
        <v/>
      </c>
    </row>
    <row r="868">
      <c r="B868" s="8">
        <f>IF(A868="","",IFERROR(DATEVALUE(TEXTBEFORE(A868,"|")),--LEFT(A868,10)))</f>
        <v/>
      </c>
      <c r="C868">
        <f>IF(A868="","",TEXTBEFORE(TEXTAFTER(A868,"|"),"|"))</f>
        <v/>
      </c>
      <c r="D868">
        <f>IF(A868="","",TEXTAFTER(A868,"|",2))</f>
        <v/>
      </c>
      <c r="E868">
        <f>IF(A868="","",SUMIF(Tickets[TripKey],A868,Tickets[TP]))</f>
        <v/>
      </c>
      <c r="F868">
        <f>IF(A868="","",SUMIF(Tickets[TripKey],A868,Tickets[Revenue]))</f>
        <v/>
      </c>
      <c r="G868">
        <f>IF(A868="","",SUMIF(Tickets[TripKey],A868,Tickets[PK]))</f>
        <v/>
      </c>
      <c r="H868">
        <f>IF(A868="","",IFERROR(XLOOKUP(A868,Tickets[TripKey],Tickets[VehClean]),""))</f>
        <v/>
      </c>
      <c r="I868">
        <f>IF(A868="","",IFERROR(XLOOKUP(A868,Tickets[TripKey],Tickets[RouteLen]),0))</f>
        <v/>
      </c>
      <c r="J868">
        <f>IF(A868="","",IFERROR(XLOOKUP(A868,Tickets[TripKey],Tickets[Capacity]),0))</f>
        <v/>
      </c>
      <c r="K868">
        <f>IF(A868="","",I868*J868)</f>
        <v/>
      </c>
      <c r="L868">
        <f>IF(A868="","",IFERROR(MINIFS(Tickets[Trip Start Time],Tickets[TripKey],A868),""))</f>
        <v/>
      </c>
    </row>
    <row r="869">
      <c r="B869" s="8">
        <f>IF(A869="","",IFERROR(DATEVALUE(TEXTBEFORE(A869,"|")),--LEFT(A869,10)))</f>
        <v/>
      </c>
      <c r="C869">
        <f>IF(A869="","",TEXTBEFORE(TEXTAFTER(A869,"|"),"|"))</f>
        <v/>
      </c>
      <c r="D869">
        <f>IF(A869="","",TEXTAFTER(A869,"|",2))</f>
        <v/>
      </c>
      <c r="E869">
        <f>IF(A869="","",SUMIF(Tickets[TripKey],A869,Tickets[TP]))</f>
        <v/>
      </c>
      <c r="F869">
        <f>IF(A869="","",SUMIF(Tickets[TripKey],A869,Tickets[Revenue]))</f>
        <v/>
      </c>
      <c r="G869">
        <f>IF(A869="","",SUMIF(Tickets[TripKey],A869,Tickets[PK]))</f>
        <v/>
      </c>
      <c r="H869">
        <f>IF(A869="","",IFERROR(XLOOKUP(A869,Tickets[TripKey],Tickets[VehClean]),""))</f>
        <v/>
      </c>
      <c r="I869">
        <f>IF(A869="","",IFERROR(XLOOKUP(A869,Tickets[TripKey],Tickets[RouteLen]),0))</f>
        <v/>
      </c>
      <c r="J869">
        <f>IF(A869="","",IFERROR(XLOOKUP(A869,Tickets[TripKey],Tickets[Capacity]),0))</f>
        <v/>
      </c>
      <c r="K869">
        <f>IF(A869="","",I869*J869)</f>
        <v/>
      </c>
      <c r="L869">
        <f>IF(A869="","",IFERROR(MINIFS(Tickets[Trip Start Time],Tickets[TripKey],A869),""))</f>
        <v/>
      </c>
    </row>
    <row r="870">
      <c r="B870" s="8">
        <f>IF(A870="","",IFERROR(DATEVALUE(TEXTBEFORE(A870,"|")),--LEFT(A870,10)))</f>
        <v/>
      </c>
      <c r="C870">
        <f>IF(A870="","",TEXTBEFORE(TEXTAFTER(A870,"|"),"|"))</f>
        <v/>
      </c>
      <c r="D870">
        <f>IF(A870="","",TEXTAFTER(A870,"|",2))</f>
        <v/>
      </c>
      <c r="E870">
        <f>IF(A870="","",SUMIF(Tickets[TripKey],A870,Tickets[TP]))</f>
        <v/>
      </c>
      <c r="F870">
        <f>IF(A870="","",SUMIF(Tickets[TripKey],A870,Tickets[Revenue]))</f>
        <v/>
      </c>
      <c r="G870">
        <f>IF(A870="","",SUMIF(Tickets[TripKey],A870,Tickets[PK]))</f>
        <v/>
      </c>
      <c r="H870">
        <f>IF(A870="","",IFERROR(XLOOKUP(A870,Tickets[TripKey],Tickets[VehClean]),""))</f>
        <v/>
      </c>
      <c r="I870">
        <f>IF(A870="","",IFERROR(XLOOKUP(A870,Tickets[TripKey],Tickets[RouteLen]),0))</f>
        <v/>
      </c>
      <c r="J870">
        <f>IF(A870="","",IFERROR(XLOOKUP(A870,Tickets[TripKey],Tickets[Capacity]),0))</f>
        <v/>
      </c>
      <c r="K870">
        <f>IF(A870="","",I870*J870)</f>
        <v/>
      </c>
      <c r="L870">
        <f>IF(A870="","",IFERROR(MINIFS(Tickets[Trip Start Time],Tickets[TripKey],A870),""))</f>
        <v/>
      </c>
    </row>
    <row r="871">
      <c r="B871" s="8">
        <f>IF(A871="","",IFERROR(DATEVALUE(TEXTBEFORE(A871,"|")),--LEFT(A871,10)))</f>
        <v/>
      </c>
      <c r="C871">
        <f>IF(A871="","",TEXTBEFORE(TEXTAFTER(A871,"|"),"|"))</f>
        <v/>
      </c>
      <c r="D871">
        <f>IF(A871="","",TEXTAFTER(A871,"|",2))</f>
        <v/>
      </c>
      <c r="E871">
        <f>IF(A871="","",SUMIF(Tickets[TripKey],A871,Tickets[TP]))</f>
        <v/>
      </c>
      <c r="F871">
        <f>IF(A871="","",SUMIF(Tickets[TripKey],A871,Tickets[Revenue]))</f>
        <v/>
      </c>
      <c r="G871">
        <f>IF(A871="","",SUMIF(Tickets[TripKey],A871,Tickets[PK]))</f>
        <v/>
      </c>
      <c r="H871">
        <f>IF(A871="","",IFERROR(XLOOKUP(A871,Tickets[TripKey],Tickets[VehClean]),""))</f>
        <v/>
      </c>
      <c r="I871">
        <f>IF(A871="","",IFERROR(XLOOKUP(A871,Tickets[TripKey],Tickets[RouteLen]),0))</f>
        <v/>
      </c>
      <c r="J871">
        <f>IF(A871="","",IFERROR(XLOOKUP(A871,Tickets[TripKey],Tickets[Capacity]),0))</f>
        <v/>
      </c>
      <c r="K871">
        <f>IF(A871="","",I871*J871)</f>
        <v/>
      </c>
      <c r="L871">
        <f>IF(A871="","",IFERROR(MINIFS(Tickets[Trip Start Time],Tickets[TripKey],A871),""))</f>
        <v/>
      </c>
    </row>
    <row r="872">
      <c r="B872" s="8">
        <f>IF(A872="","",IFERROR(DATEVALUE(TEXTBEFORE(A872,"|")),--LEFT(A872,10)))</f>
        <v/>
      </c>
      <c r="C872">
        <f>IF(A872="","",TEXTBEFORE(TEXTAFTER(A872,"|"),"|"))</f>
        <v/>
      </c>
      <c r="D872">
        <f>IF(A872="","",TEXTAFTER(A872,"|",2))</f>
        <v/>
      </c>
      <c r="E872">
        <f>IF(A872="","",SUMIF(Tickets[TripKey],A872,Tickets[TP]))</f>
        <v/>
      </c>
      <c r="F872">
        <f>IF(A872="","",SUMIF(Tickets[TripKey],A872,Tickets[Revenue]))</f>
        <v/>
      </c>
      <c r="G872">
        <f>IF(A872="","",SUMIF(Tickets[TripKey],A872,Tickets[PK]))</f>
        <v/>
      </c>
      <c r="H872">
        <f>IF(A872="","",IFERROR(XLOOKUP(A872,Tickets[TripKey],Tickets[VehClean]),""))</f>
        <v/>
      </c>
      <c r="I872">
        <f>IF(A872="","",IFERROR(XLOOKUP(A872,Tickets[TripKey],Tickets[RouteLen]),0))</f>
        <v/>
      </c>
      <c r="J872">
        <f>IF(A872="","",IFERROR(XLOOKUP(A872,Tickets[TripKey],Tickets[Capacity]),0))</f>
        <v/>
      </c>
      <c r="K872">
        <f>IF(A872="","",I872*J872)</f>
        <v/>
      </c>
      <c r="L872">
        <f>IF(A872="","",IFERROR(MINIFS(Tickets[Trip Start Time],Tickets[TripKey],A872),""))</f>
        <v/>
      </c>
    </row>
    <row r="873">
      <c r="B873" s="8">
        <f>IF(A873="","",IFERROR(DATEVALUE(TEXTBEFORE(A873,"|")),--LEFT(A873,10)))</f>
        <v/>
      </c>
      <c r="C873">
        <f>IF(A873="","",TEXTBEFORE(TEXTAFTER(A873,"|"),"|"))</f>
        <v/>
      </c>
      <c r="D873">
        <f>IF(A873="","",TEXTAFTER(A873,"|",2))</f>
        <v/>
      </c>
      <c r="E873">
        <f>IF(A873="","",SUMIF(Tickets[TripKey],A873,Tickets[TP]))</f>
        <v/>
      </c>
      <c r="F873">
        <f>IF(A873="","",SUMIF(Tickets[TripKey],A873,Tickets[Revenue]))</f>
        <v/>
      </c>
      <c r="G873">
        <f>IF(A873="","",SUMIF(Tickets[TripKey],A873,Tickets[PK]))</f>
        <v/>
      </c>
      <c r="H873">
        <f>IF(A873="","",IFERROR(XLOOKUP(A873,Tickets[TripKey],Tickets[VehClean]),""))</f>
        <v/>
      </c>
      <c r="I873">
        <f>IF(A873="","",IFERROR(XLOOKUP(A873,Tickets[TripKey],Tickets[RouteLen]),0))</f>
        <v/>
      </c>
      <c r="J873">
        <f>IF(A873="","",IFERROR(XLOOKUP(A873,Tickets[TripKey],Tickets[Capacity]),0))</f>
        <v/>
      </c>
      <c r="K873">
        <f>IF(A873="","",I873*J873)</f>
        <v/>
      </c>
      <c r="L873">
        <f>IF(A873="","",IFERROR(MINIFS(Tickets[Trip Start Time],Tickets[TripKey],A873),""))</f>
        <v/>
      </c>
    </row>
    <row r="874">
      <c r="B874" s="8">
        <f>IF(A874="","",IFERROR(DATEVALUE(TEXTBEFORE(A874,"|")),--LEFT(A874,10)))</f>
        <v/>
      </c>
      <c r="C874">
        <f>IF(A874="","",TEXTBEFORE(TEXTAFTER(A874,"|"),"|"))</f>
        <v/>
      </c>
      <c r="D874">
        <f>IF(A874="","",TEXTAFTER(A874,"|",2))</f>
        <v/>
      </c>
      <c r="E874">
        <f>IF(A874="","",SUMIF(Tickets[TripKey],A874,Tickets[TP]))</f>
        <v/>
      </c>
      <c r="F874">
        <f>IF(A874="","",SUMIF(Tickets[TripKey],A874,Tickets[Revenue]))</f>
        <v/>
      </c>
      <c r="G874">
        <f>IF(A874="","",SUMIF(Tickets[TripKey],A874,Tickets[PK]))</f>
        <v/>
      </c>
      <c r="H874">
        <f>IF(A874="","",IFERROR(XLOOKUP(A874,Tickets[TripKey],Tickets[VehClean]),""))</f>
        <v/>
      </c>
      <c r="I874">
        <f>IF(A874="","",IFERROR(XLOOKUP(A874,Tickets[TripKey],Tickets[RouteLen]),0))</f>
        <v/>
      </c>
      <c r="J874">
        <f>IF(A874="","",IFERROR(XLOOKUP(A874,Tickets[TripKey],Tickets[Capacity]),0))</f>
        <v/>
      </c>
      <c r="K874">
        <f>IF(A874="","",I874*J874)</f>
        <v/>
      </c>
      <c r="L874">
        <f>IF(A874="","",IFERROR(MINIFS(Tickets[Trip Start Time],Tickets[TripKey],A874),""))</f>
        <v/>
      </c>
    </row>
    <row r="875">
      <c r="B875" s="8">
        <f>IF(A875="","",IFERROR(DATEVALUE(TEXTBEFORE(A875,"|")),--LEFT(A875,10)))</f>
        <v/>
      </c>
      <c r="C875">
        <f>IF(A875="","",TEXTBEFORE(TEXTAFTER(A875,"|"),"|"))</f>
        <v/>
      </c>
      <c r="D875">
        <f>IF(A875="","",TEXTAFTER(A875,"|",2))</f>
        <v/>
      </c>
      <c r="E875">
        <f>IF(A875="","",SUMIF(Tickets[TripKey],A875,Tickets[TP]))</f>
        <v/>
      </c>
      <c r="F875">
        <f>IF(A875="","",SUMIF(Tickets[TripKey],A875,Tickets[Revenue]))</f>
        <v/>
      </c>
      <c r="G875">
        <f>IF(A875="","",SUMIF(Tickets[TripKey],A875,Tickets[PK]))</f>
        <v/>
      </c>
      <c r="H875">
        <f>IF(A875="","",IFERROR(XLOOKUP(A875,Tickets[TripKey],Tickets[VehClean]),""))</f>
        <v/>
      </c>
      <c r="I875">
        <f>IF(A875="","",IFERROR(XLOOKUP(A875,Tickets[TripKey],Tickets[RouteLen]),0))</f>
        <v/>
      </c>
      <c r="J875">
        <f>IF(A875="","",IFERROR(XLOOKUP(A875,Tickets[TripKey],Tickets[Capacity]),0))</f>
        <v/>
      </c>
      <c r="K875">
        <f>IF(A875="","",I875*J875)</f>
        <v/>
      </c>
      <c r="L875">
        <f>IF(A875="","",IFERROR(MINIFS(Tickets[Trip Start Time],Tickets[TripKey],A875),""))</f>
        <v/>
      </c>
    </row>
    <row r="876">
      <c r="B876" s="8">
        <f>IF(A876="","",IFERROR(DATEVALUE(TEXTBEFORE(A876,"|")),--LEFT(A876,10)))</f>
        <v/>
      </c>
      <c r="C876">
        <f>IF(A876="","",TEXTBEFORE(TEXTAFTER(A876,"|"),"|"))</f>
        <v/>
      </c>
      <c r="D876">
        <f>IF(A876="","",TEXTAFTER(A876,"|",2))</f>
        <v/>
      </c>
      <c r="E876">
        <f>IF(A876="","",SUMIF(Tickets[TripKey],A876,Tickets[TP]))</f>
        <v/>
      </c>
      <c r="F876">
        <f>IF(A876="","",SUMIF(Tickets[TripKey],A876,Tickets[Revenue]))</f>
        <v/>
      </c>
      <c r="G876">
        <f>IF(A876="","",SUMIF(Tickets[TripKey],A876,Tickets[PK]))</f>
        <v/>
      </c>
      <c r="H876">
        <f>IF(A876="","",IFERROR(XLOOKUP(A876,Tickets[TripKey],Tickets[VehClean]),""))</f>
        <v/>
      </c>
      <c r="I876">
        <f>IF(A876="","",IFERROR(XLOOKUP(A876,Tickets[TripKey],Tickets[RouteLen]),0))</f>
        <v/>
      </c>
      <c r="J876">
        <f>IF(A876="","",IFERROR(XLOOKUP(A876,Tickets[TripKey],Tickets[Capacity]),0))</f>
        <v/>
      </c>
      <c r="K876">
        <f>IF(A876="","",I876*J876)</f>
        <v/>
      </c>
      <c r="L876">
        <f>IF(A876="","",IFERROR(MINIFS(Tickets[Trip Start Time],Tickets[TripKey],A876),""))</f>
        <v/>
      </c>
    </row>
    <row r="877">
      <c r="B877" s="8">
        <f>IF(A877="","",IFERROR(DATEVALUE(TEXTBEFORE(A877,"|")),--LEFT(A877,10)))</f>
        <v/>
      </c>
      <c r="C877">
        <f>IF(A877="","",TEXTBEFORE(TEXTAFTER(A877,"|"),"|"))</f>
        <v/>
      </c>
      <c r="D877">
        <f>IF(A877="","",TEXTAFTER(A877,"|",2))</f>
        <v/>
      </c>
      <c r="E877">
        <f>IF(A877="","",SUMIF(Tickets[TripKey],A877,Tickets[TP]))</f>
        <v/>
      </c>
      <c r="F877">
        <f>IF(A877="","",SUMIF(Tickets[TripKey],A877,Tickets[Revenue]))</f>
        <v/>
      </c>
      <c r="G877">
        <f>IF(A877="","",SUMIF(Tickets[TripKey],A877,Tickets[PK]))</f>
        <v/>
      </c>
      <c r="H877">
        <f>IF(A877="","",IFERROR(XLOOKUP(A877,Tickets[TripKey],Tickets[VehClean]),""))</f>
        <v/>
      </c>
      <c r="I877">
        <f>IF(A877="","",IFERROR(XLOOKUP(A877,Tickets[TripKey],Tickets[RouteLen]),0))</f>
        <v/>
      </c>
      <c r="J877">
        <f>IF(A877="","",IFERROR(XLOOKUP(A877,Tickets[TripKey],Tickets[Capacity]),0))</f>
        <v/>
      </c>
      <c r="K877">
        <f>IF(A877="","",I877*J877)</f>
        <v/>
      </c>
      <c r="L877">
        <f>IF(A877="","",IFERROR(MINIFS(Tickets[Trip Start Time],Tickets[TripKey],A877),""))</f>
        <v/>
      </c>
    </row>
    <row r="878">
      <c r="B878" s="8">
        <f>IF(A878="","",IFERROR(DATEVALUE(TEXTBEFORE(A878,"|")),--LEFT(A878,10)))</f>
        <v/>
      </c>
      <c r="C878">
        <f>IF(A878="","",TEXTBEFORE(TEXTAFTER(A878,"|"),"|"))</f>
        <v/>
      </c>
      <c r="D878">
        <f>IF(A878="","",TEXTAFTER(A878,"|",2))</f>
        <v/>
      </c>
      <c r="E878">
        <f>IF(A878="","",SUMIF(Tickets[TripKey],A878,Tickets[TP]))</f>
        <v/>
      </c>
      <c r="F878">
        <f>IF(A878="","",SUMIF(Tickets[TripKey],A878,Tickets[Revenue]))</f>
        <v/>
      </c>
      <c r="G878">
        <f>IF(A878="","",SUMIF(Tickets[TripKey],A878,Tickets[PK]))</f>
        <v/>
      </c>
      <c r="H878">
        <f>IF(A878="","",IFERROR(XLOOKUP(A878,Tickets[TripKey],Tickets[VehClean]),""))</f>
        <v/>
      </c>
      <c r="I878">
        <f>IF(A878="","",IFERROR(XLOOKUP(A878,Tickets[TripKey],Tickets[RouteLen]),0))</f>
        <v/>
      </c>
      <c r="J878">
        <f>IF(A878="","",IFERROR(XLOOKUP(A878,Tickets[TripKey],Tickets[Capacity]),0))</f>
        <v/>
      </c>
      <c r="K878">
        <f>IF(A878="","",I878*J878)</f>
        <v/>
      </c>
      <c r="L878">
        <f>IF(A878="","",IFERROR(MINIFS(Tickets[Trip Start Time],Tickets[TripKey],A878),""))</f>
        <v/>
      </c>
    </row>
    <row r="879">
      <c r="B879" s="8">
        <f>IF(A879="","",IFERROR(DATEVALUE(TEXTBEFORE(A879,"|")),--LEFT(A879,10)))</f>
        <v/>
      </c>
      <c r="C879">
        <f>IF(A879="","",TEXTBEFORE(TEXTAFTER(A879,"|"),"|"))</f>
        <v/>
      </c>
      <c r="D879">
        <f>IF(A879="","",TEXTAFTER(A879,"|",2))</f>
        <v/>
      </c>
      <c r="E879">
        <f>IF(A879="","",SUMIF(Tickets[TripKey],A879,Tickets[TP]))</f>
        <v/>
      </c>
      <c r="F879">
        <f>IF(A879="","",SUMIF(Tickets[TripKey],A879,Tickets[Revenue]))</f>
        <v/>
      </c>
      <c r="G879">
        <f>IF(A879="","",SUMIF(Tickets[TripKey],A879,Tickets[PK]))</f>
        <v/>
      </c>
      <c r="H879">
        <f>IF(A879="","",IFERROR(XLOOKUP(A879,Tickets[TripKey],Tickets[VehClean]),""))</f>
        <v/>
      </c>
      <c r="I879">
        <f>IF(A879="","",IFERROR(XLOOKUP(A879,Tickets[TripKey],Tickets[RouteLen]),0))</f>
        <v/>
      </c>
      <c r="J879">
        <f>IF(A879="","",IFERROR(XLOOKUP(A879,Tickets[TripKey],Tickets[Capacity]),0))</f>
        <v/>
      </c>
      <c r="K879">
        <f>IF(A879="","",I879*J879)</f>
        <v/>
      </c>
      <c r="L879">
        <f>IF(A879="","",IFERROR(MINIFS(Tickets[Trip Start Time],Tickets[TripKey],A879),""))</f>
        <v/>
      </c>
    </row>
    <row r="880">
      <c r="B880" s="8">
        <f>IF(A880="","",IFERROR(DATEVALUE(TEXTBEFORE(A880,"|")),--LEFT(A880,10)))</f>
        <v/>
      </c>
      <c r="C880">
        <f>IF(A880="","",TEXTBEFORE(TEXTAFTER(A880,"|"),"|"))</f>
        <v/>
      </c>
      <c r="D880">
        <f>IF(A880="","",TEXTAFTER(A880,"|",2))</f>
        <v/>
      </c>
      <c r="E880">
        <f>IF(A880="","",SUMIF(Tickets[TripKey],A880,Tickets[TP]))</f>
        <v/>
      </c>
      <c r="F880">
        <f>IF(A880="","",SUMIF(Tickets[TripKey],A880,Tickets[Revenue]))</f>
        <v/>
      </c>
      <c r="G880">
        <f>IF(A880="","",SUMIF(Tickets[TripKey],A880,Tickets[PK]))</f>
        <v/>
      </c>
      <c r="H880">
        <f>IF(A880="","",IFERROR(XLOOKUP(A880,Tickets[TripKey],Tickets[VehClean]),""))</f>
        <v/>
      </c>
      <c r="I880">
        <f>IF(A880="","",IFERROR(XLOOKUP(A880,Tickets[TripKey],Tickets[RouteLen]),0))</f>
        <v/>
      </c>
      <c r="J880">
        <f>IF(A880="","",IFERROR(XLOOKUP(A880,Tickets[TripKey],Tickets[Capacity]),0))</f>
        <v/>
      </c>
      <c r="K880">
        <f>IF(A880="","",I880*J880)</f>
        <v/>
      </c>
      <c r="L880">
        <f>IF(A880="","",IFERROR(MINIFS(Tickets[Trip Start Time],Tickets[TripKey],A880),""))</f>
        <v/>
      </c>
    </row>
    <row r="881">
      <c r="B881" s="8">
        <f>IF(A881="","",IFERROR(DATEVALUE(TEXTBEFORE(A881,"|")),--LEFT(A881,10)))</f>
        <v/>
      </c>
      <c r="C881">
        <f>IF(A881="","",TEXTBEFORE(TEXTAFTER(A881,"|"),"|"))</f>
        <v/>
      </c>
      <c r="D881">
        <f>IF(A881="","",TEXTAFTER(A881,"|",2))</f>
        <v/>
      </c>
      <c r="E881">
        <f>IF(A881="","",SUMIF(Tickets[TripKey],A881,Tickets[TP]))</f>
        <v/>
      </c>
      <c r="F881">
        <f>IF(A881="","",SUMIF(Tickets[TripKey],A881,Tickets[Revenue]))</f>
        <v/>
      </c>
      <c r="G881">
        <f>IF(A881="","",SUMIF(Tickets[TripKey],A881,Tickets[PK]))</f>
        <v/>
      </c>
      <c r="H881">
        <f>IF(A881="","",IFERROR(XLOOKUP(A881,Tickets[TripKey],Tickets[VehClean]),""))</f>
        <v/>
      </c>
      <c r="I881">
        <f>IF(A881="","",IFERROR(XLOOKUP(A881,Tickets[TripKey],Tickets[RouteLen]),0))</f>
        <v/>
      </c>
      <c r="J881">
        <f>IF(A881="","",IFERROR(XLOOKUP(A881,Tickets[TripKey],Tickets[Capacity]),0))</f>
        <v/>
      </c>
      <c r="K881">
        <f>IF(A881="","",I881*J881)</f>
        <v/>
      </c>
      <c r="L881">
        <f>IF(A881="","",IFERROR(MINIFS(Tickets[Trip Start Time],Tickets[TripKey],A881),""))</f>
        <v/>
      </c>
    </row>
    <row r="882">
      <c r="B882" s="8">
        <f>IF(A882="","",IFERROR(DATEVALUE(TEXTBEFORE(A882,"|")),--LEFT(A882,10)))</f>
        <v/>
      </c>
      <c r="C882">
        <f>IF(A882="","",TEXTBEFORE(TEXTAFTER(A882,"|"),"|"))</f>
        <v/>
      </c>
      <c r="D882">
        <f>IF(A882="","",TEXTAFTER(A882,"|",2))</f>
        <v/>
      </c>
      <c r="E882">
        <f>IF(A882="","",SUMIF(Tickets[TripKey],A882,Tickets[TP]))</f>
        <v/>
      </c>
      <c r="F882">
        <f>IF(A882="","",SUMIF(Tickets[TripKey],A882,Tickets[Revenue]))</f>
        <v/>
      </c>
      <c r="G882">
        <f>IF(A882="","",SUMIF(Tickets[TripKey],A882,Tickets[PK]))</f>
        <v/>
      </c>
      <c r="H882">
        <f>IF(A882="","",IFERROR(XLOOKUP(A882,Tickets[TripKey],Tickets[VehClean]),""))</f>
        <v/>
      </c>
      <c r="I882">
        <f>IF(A882="","",IFERROR(XLOOKUP(A882,Tickets[TripKey],Tickets[RouteLen]),0))</f>
        <v/>
      </c>
      <c r="J882">
        <f>IF(A882="","",IFERROR(XLOOKUP(A882,Tickets[TripKey],Tickets[Capacity]),0))</f>
        <v/>
      </c>
      <c r="K882">
        <f>IF(A882="","",I882*J882)</f>
        <v/>
      </c>
      <c r="L882">
        <f>IF(A882="","",IFERROR(MINIFS(Tickets[Trip Start Time],Tickets[TripKey],A882),""))</f>
        <v/>
      </c>
    </row>
    <row r="883">
      <c r="B883" s="8">
        <f>IF(A883="","",IFERROR(DATEVALUE(TEXTBEFORE(A883,"|")),--LEFT(A883,10)))</f>
        <v/>
      </c>
      <c r="C883">
        <f>IF(A883="","",TEXTBEFORE(TEXTAFTER(A883,"|"),"|"))</f>
        <v/>
      </c>
      <c r="D883">
        <f>IF(A883="","",TEXTAFTER(A883,"|",2))</f>
        <v/>
      </c>
      <c r="E883">
        <f>IF(A883="","",SUMIF(Tickets[TripKey],A883,Tickets[TP]))</f>
        <v/>
      </c>
      <c r="F883">
        <f>IF(A883="","",SUMIF(Tickets[TripKey],A883,Tickets[Revenue]))</f>
        <v/>
      </c>
      <c r="G883">
        <f>IF(A883="","",SUMIF(Tickets[TripKey],A883,Tickets[PK]))</f>
        <v/>
      </c>
      <c r="H883">
        <f>IF(A883="","",IFERROR(XLOOKUP(A883,Tickets[TripKey],Tickets[VehClean]),""))</f>
        <v/>
      </c>
      <c r="I883">
        <f>IF(A883="","",IFERROR(XLOOKUP(A883,Tickets[TripKey],Tickets[RouteLen]),0))</f>
        <v/>
      </c>
      <c r="J883">
        <f>IF(A883="","",IFERROR(XLOOKUP(A883,Tickets[TripKey],Tickets[Capacity]),0))</f>
        <v/>
      </c>
      <c r="K883">
        <f>IF(A883="","",I883*J883)</f>
        <v/>
      </c>
      <c r="L883">
        <f>IF(A883="","",IFERROR(MINIFS(Tickets[Trip Start Time],Tickets[TripKey],A883),""))</f>
        <v/>
      </c>
    </row>
    <row r="884">
      <c r="B884" s="8">
        <f>IF(A884="","",IFERROR(DATEVALUE(TEXTBEFORE(A884,"|")),--LEFT(A884,10)))</f>
        <v/>
      </c>
      <c r="C884">
        <f>IF(A884="","",TEXTBEFORE(TEXTAFTER(A884,"|"),"|"))</f>
        <v/>
      </c>
      <c r="D884">
        <f>IF(A884="","",TEXTAFTER(A884,"|",2))</f>
        <v/>
      </c>
      <c r="E884">
        <f>IF(A884="","",SUMIF(Tickets[TripKey],A884,Tickets[TP]))</f>
        <v/>
      </c>
      <c r="F884">
        <f>IF(A884="","",SUMIF(Tickets[TripKey],A884,Tickets[Revenue]))</f>
        <v/>
      </c>
      <c r="G884">
        <f>IF(A884="","",SUMIF(Tickets[TripKey],A884,Tickets[PK]))</f>
        <v/>
      </c>
      <c r="H884">
        <f>IF(A884="","",IFERROR(XLOOKUP(A884,Tickets[TripKey],Tickets[VehClean]),""))</f>
        <v/>
      </c>
      <c r="I884">
        <f>IF(A884="","",IFERROR(XLOOKUP(A884,Tickets[TripKey],Tickets[RouteLen]),0))</f>
        <v/>
      </c>
      <c r="J884">
        <f>IF(A884="","",IFERROR(XLOOKUP(A884,Tickets[TripKey],Tickets[Capacity]),0))</f>
        <v/>
      </c>
      <c r="K884">
        <f>IF(A884="","",I884*J884)</f>
        <v/>
      </c>
      <c r="L884">
        <f>IF(A884="","",IFERROR(MINIFS(Tickets[Trip Start Time],Tickets[TripKey],A884),""))</f>
        <v/>
      </c>
    </row>
    <row r="885">
      <c r="B885" s="8">
        <f>IF(A885="","",IFERROR(DATEVALUE(TEXTBEFORE(A885,"|")),--LEFT(A885,10)))</f>
        <v/>
      </c>
      <c r="C885">
        <f>IF(A885="","",TEXTBEFORE(TEXTAFTER(A885,"|"),"|"))</f>
        <v/>
      </c>
      <c r="D885">
        <f>IF(A885="","",TEXTAFTER(A885,"|",2))</f>
        <v/>
      </c>
      <c r="E885">
        <f>IF(A885="","",SUMIF(Tickets[TripKey],A885,Tickets[TP]))</f>
        <v/>
      </c>
      <c r="F885">
        <f>IF(A885="","",SUMIF(Tickets[TripKey],A885,Tickets[Revenue]))</f>
        <v/>
      </c>
      <c r="G885">
        <f>IF(A885="","",SUMIF(Tickets[TripKey],A885,Tickets[PK]))</f>
        <v/>
      </c>
      <c r="H885">
        <f>IF(A885="","",IFERROR(XLOOKUP(A885,Tickets[TripKey],Tickets[VehClean]),""))</f>
        <v/>
      </c>
      <c r="I885">
        <f>IF(A885="","",IFERROR(XLOOKUP(A885,Tickets[TripKey],Tickets[RouteLen]),0))</f>
        <v/>
      </c>
      <c r="J885">
        <f>IF(A885="","",IFERROR(XLOOKUP(A885,Tickets[TripKey],Tickets[Capacity]),0))</f>
        <v/>
      </c>
      <c r="K885">
        <f>IF(A885="","",I885*J885)</f>
        <v/>
      </c>
      <c r="L885">
        <f>IF(A885="","",IFERROR(MINIFS(Tickets[Trip Start Time],Tickets[TripKey],A885),""))</f>
        <v/>
      </c>
    </row>
    <row r="886">
      <c r="B886" s="8">
        <f>IF(A886="","",IFERROR(DATEVALUE(TEXTBEFORE(A886,"|")),--LEFT(A886,10)))</f>
        <v/>
      </c>
      <c r="C886">
        <f>IF(A886="","",TEXTBEFORE(TEXTAFTER(A886,"|"),"|"))</f>
        <v/>
      </c>
      <c r="D886">
        <f>IF(A886="","",TEXTAFTER(A886,"|",2))</f>
        <v/>
      </c>
      <c r="E886">
        <f>IF(A886="","",SUMIF(Tickets[TripKey],A886,Tickets[TP]))</f>
        <v/>
      </c>
      <c r="F886">
        <f>IF(A886="","",SUMIF(Tickets[TripKey],A886,Tickets[Revenue]))</f>
        <v/>
      </c>
      <c r="G886">
        <f>IF(A886="","",SUMIF(Tickets[TripKey],A886,Tickets[PK]))</f>
        <v/>
      </c>
      <c r="H886">
        <f>IF(A886="","",IFERROR(XLOOKUP(A886,Tickets[TripKey],Tickets[VehClean]),""))</f>
        <v/>
      </c>
      <c r="I886">
        <f>IF(A886="","",IFERROR(XLOOKUP(A886,Tickets[TripKey],Tickets[RouteLen]),0))</f>
        <v/>
      </c>
      <c r="J886">
        <f>IF(A886="","",IFERROR(XLOOKUP(A886,Tickets[TripKey],Tickets[Capacity]),0))</f>
        <v/>
      </c>
      <c r="K886">
        <f>IF(A886="","",I886*J886)</f>
        <v/>
      </c>
      <c r="L886">
        <f>IF(A886="","",IFERROR(MINIFS(Tickets[Trip Start Time],Tickets[TripKey],A886),""))</f>
        <v/>
      </c>
    </row>
    <row r="887">
      <c r="B887" s="8">
        <f>IF(A887="","",IFERROR(DATEVALUE(TEXTBEFORE(A887,"|")),--LEFT(A887,10)))</f>
        <v/>
      </c>
      <c r="C887">
        <f>IF(A887="","",TEXTBEFORE(TEXTAFTER(A887,"|"),"|"))</f>
        <v/>
      </c>
      <c r="D887">
        <f>IF(A887="","",TEXTAFTER(A887,"|",2))</f>
        <v/>
      </c>
      <c r="E887">
        <f>IF(A887="","",SUMIF(Tickets[TripKey],A887,Tickets[TP]))</f>
        <v/>
      </c>
      <c r="F887">
        <f>IF(A887="","",SUMIF(Tickets[TripKey],A887,Tickets[Revenue]))</f>
        <v/>
      </c>
      <c r="G887">
        <f>IF(A887="","",SUMIF(Tickets[TripKey],A887,Tickets[PK]))</f>
        <v/>
      </c>
      <c r="H887">
        <f>IF(A887="","",IFERROR(XLOOKUP(A887,Tickets[TripKey],Tickets[VehClean]),""))</f>
        <v/>
      </c>
      <c r="I887">
        <f>IF(A887="","",IFERROR(XLOOKUP(A887,Tickets[TripKey],Tickets[RouteLen]),0))</f>
        <v/>
      </c>
      <c r="J887">
        <f>IF(A887="","",IFERROR(XLOOKUP(A887,Tickets[TripKey],Tickets[Capacity]),0))</f>
        <v/>
      </c>
      <c r="K887">
        <f>IF(A887="","",I887*J887)</f>
        <v/>
      </c>
      <c r="L887">
        <f>IF(A887="","",IFERROR(MINIFS(Tickets[Trip Start Time],Tickets[TripKey],A887),""))</f>
        <v/>
      </c>
    </row>
    <row r="888">
      <c r="B888" s="8">
        <f>IF(A888="","",IFERROR(DATEVALUE(TEXTBEFORE(A888,"|")),--LEFT(A888,10)))</f>
        <v/>
      </c>
      <c r="C888">
        <f>IF(A888="","",TEXTBEFORE(TEXTAFTER(A888,"|"),"|"))</f>
        <v/>
      </c>
      <c r="D888">
        <f>IF(A888="","",TEXTAFTER(A888,"|",2))</f>
        <v/>
      </c>
      <c r="E888">
        <f>IF(A888="","",SUMIF(Tickets[TripKey],A888,Tickets[TP]))</f>
        <v/>
      </c>
      <c r="F888">
        <f>IF(A888="","",SUMIF(Tickets[TripKey],A888,Tickets[Revenue]))</f>
        <v/>
      </c>
      <c r="G888">
        <f>IF(A888="","",SUMIF(Tickets[TripKey],A888,Tickets[PK]))</f>
        <v/>
      </c>
      <c r="H888">
        <f>IF(A888="","",IFERROR(XLOOKUP(A888,Tickets[TripKey],Tickets[VehClean]),""))</f>
        <v/>
      </c>
      <c r="I888">
        <f>IF(A888="","",IFERROR(XLOOKUP(A888,Tickets[TripKey],Tickets[RouteLen]),0))</f>
        <v/>
      </c>
      <c r="J888">
        <f>IF(A888="","",IFERROR(XLOOKUP(A888,Tickets[TripKey],Tickets[Capacity]),0))</f>
        <v/>
      </c>
      <c r="K888">
        <f>IF(A888="","",I888*J888)</f>
        <v/>
      </c>
      <c r="L888">
        <f>IF(A888="","",IFERROR(MINIFS(Tickets[Trip Start Time],Tickets[TripKey],A888),""))</f>
        <v/>
      </c>
    </row>
    <row r="889">
      <c r="B889" s="8">
        <f>IF(A889="","",IFERROR(DATEVALUE(TEXTBEFORE(A889,"|")),--LEFT(A889,10)))</f>
        <v/>
      </c>
      <c r="C889">
        <f>IF(A889="","",TEXTBEFORE(TEXTAFTER(A889,"|"),"|"))</f>
        <v/>
      </c>
      <c r="D889">
        <f>IF(A889="","",TEXTAFTER(A889,"|",2))</f>
        <v/>
      </c>
      <c r="E889">
        <f>IF(A889="","",SUMIF(Tickets[TripKey],A889,Tickets[TP]))</f>
        <v/>
      </c>
      <c r="F889">
        <f>IF(A889="","",SUMIF(Tickets[TripKey],A889,Tickets[Revenue]))</f>
        <v/>
      </c>
      <c r="G889">
        <f>IF(A889="","",SUMIF(Tickets[TripKey],A889,Tickets[PK]))</f>
        <v/>
      </c>
      <c r="H889">
        <f>IF(A889="","",IFERROR(XLOOKUP(A889,Tickets[TripKey],Tickets[VehClean]),""))</f>
        <v/>
      </c>
      <c r="I889">
        <f>IF(A889="","",IFERROR(XLOOKUP(A889,Tickets[TripKey],Tickets[RouteLen]),0))</f>
        <v/>
      </c>
      <c r="J889">
        <f>IF(A889="","",IFERROR(XLOOKUP(A889,Tickets[TripKey],Tickets[Capacity]),0))</f>
        <v/>
      </c>
      <c r="K889">
        <f>IF(A889="","",I889*J889)</f>
        <v/>
      </c>
      <c r="L889">
        <f>IF(A889="","",IFERROR(MINIFS(Tickets[Trip Start Time],Tickets[TripKey],A889),""))</f>
        <v/>
      </c>
    </row>
    <row r="890">
      <c r="B890" s="8">
        <f>IF(A890="","",IFERROR(DATEVALUE(TEXTBEFORE(A890,"|")),--LEFT(A890,10)))</f>
        <v/>
      </c>
      <c r="C890">
        <f>IF(A890="","",TEXTBEFORE(TEXTAFTER(A890,"|"),"|"))</f>
        <v/>
      </c>
      <c r="D890">
        <f>IF(A890="","",TEXTAFTER(A890,"|",2))</f>
        <v/>
      </c>
      <c r="E890">
        <f>IF(A890="","",SUMIF(Tickets[TripKey],A890,Tickets[TP]))</f>
        <v/>
      </c>
      <c r="F890">
        <f>IF(A890="","",SUMIF(Tickets[TripKey],A890,Tickets[Revenue]))</f>
        <v/>
      </c>
      <c r="G890">
        <f>IF(A890="","",SUMIF(Tickets[TripKey],A890,Tickets[PK]))</f>
        <v/>
      </c>
      <c r="H890">
        <f>IF(A890="","",IFERROR(XLOOKUP(A890,Tickets[TripKey],Tickets[VehClean]),""))</f>
        <v/>
      </c>
      <c r="I890">
        <f>IF(A890="","",IFERROR(XLOOKUP(A890,Tickets[TripKey],Tickets[RouteLen]),0))</f>
        <v/>
      </c>
      <c r="J890">
        <f>IF(A890="","",IFERROR(XLOOKUP(A890,Tickets[TripKey],Tickets[Capacity]),0))</f>
        <v/>
      </c>
      <c r="K890">
        <f>IF(A890="","",I890*J890)</f>
        <v/>
      </c>
      <c r="L890">
        <f>IF(A890="","",IFERROR(MINIFS(Tickets[Trip Start Time],Tickets[TripKey],A890),""))</f>
        <v/>
      </c>
    </row>
    <row r="891">
      <c r="B891" s="8">
        <f>IF(A891="","",IFERROR(DATEVALUE(TEXTBEFORE(A891,"|")),--LEFT(A891,10)))</f>
        <v/>
      </c>
      <c r="C891">
        <f>IF(A891="","",TEXTBEFORE(TEXTAFTER(A891,"|"),"|"))</f>
        <v/>
      </c>
      <c r="D891">
        <f>IF(A891="","",TEXTAFTER(A891,"|",2))</f>
        <v/>
      </c>
      <c r="E891">
        <f>IF(A891="","",SUMIF(Tickets[TripKey],A891,Tickets[TP]))</f>
        <v/>
      </c>
      <c r="F891">
        <f>IF(A891="","",SUMIF(Tickets[TripKey],A891,Tickets[Revenue]))</f>
        <v/>
      </c>
      <c r="G891">
        <f>IF(A891="","",SUMIF(Tickets[TripKey],A891,Tickets[PK]))</f>
        <v/>
      </c>
      <c r="H891">
        <f>IF(A891="","",IFERROR(XLOOKUP(A891,Tickets[TripKey],Tickets[VehClean]),""))</f>
        <v/>
      </c>
      <c r="I891">
        <f>IF(A891="","",IFERROR(XLOOKUP(A891,Tickets[TripKey],Tickets[RouteLen]),0))</f>
        <v/>
      </c>
      <c r="J891">
        <f>IF(A891="","",IFERROR(XLOOKUP(A891,Tickets[TripKey],Tickets[Capacity]),0))</f>
        <v/>
      </c>
      <c r="K891">
        <f>IF(A891="","",I891*J891)</f>
        <v/>
      </c>
      <c r="L891">
        <f>IF(A891="","",IFERROR(MINIFS(Tickets[Trip Start Time],Tickets[TripKey],A891),""))</f>
        <v/>
      </c>
    </row>
    <row r="892">
      <c r="B892" s="8">
        <f>IF(A892="","",IFERROR(DATEVALUE(TEXTBEFORE(A892,"|")),--LEFT(A892,10)))</f>
        <v/>
      </c>
      <c r="C892">
        <f>IF(A892="","",TEXTBEFORE(TEXTAFTER(A892,"|"),"|"))</f>
        <v/>
      </c>
      <c r="D892">
        <f>IF(A892="","",TEXTAFTER(A892,"|",2))</f>
        <v/>
      </c>
      <c r="E892">
        <f>IF(A892="","",SUMIF(Tickets[TripKey],A892,Tickets[TP]))</f>
        <v/>
      </c>
      <c r="F892">
        <f>IF(A892="","",SUMIF(Tickets[TripKey],A892,Tickets[Revenue]))</f>
        <v/>
      </c>
      <c r="G892">
        <f>IF(A892="","",SUMIF(Tickets[TripKey],A892,Tickets[PK]))</f>
        <v/>
      </c>
      <c r="H892">
        <f>IF(A892="","",IFERROR(XLOOKUP(A892,Tickets[TripKey],Tickets[VehClean]),""))</f>
        <v/>
      </c>
      <c r="I892">
        <f>IF(A892="","",IFERROR(XLOOKUP(A892,Tickets[TripKey],Tickets[RouteLen]),0))</f>
        <v/>
      </c>
      <c r="J892">
        <f>IF(A892="","",IFERROR(XLOOKUP(A892,Tickets[TripKey],Tickets[Capacity]),0))</f>
        <v/>
      </c>
      <c r="K892">
        <f>IF(A892="","",I892*J892)</f>
        <v/>
      </c>
      <c r="L892">
        <f>IF(A892="","",IFERROR(MINIFS(Tickets[Trip Start Time],Tickets[TripKey],A892),""))</f>
        <v/>
      </c>
    </row>
    <row r="893">
      <c r="B893" s="8">
        <f>IF(A893="","",IFERROR(DATEVALUE(TEXTBEFORE(A893,"|")),--LEFT(A893,10)))</f>
        <v/>
      </c>
      <c r="C893">
        <f>IF(A893="","",TEXTBEFORE(TEXTAFTER(A893,"|"),"|"))</f>
        <v/>
      </c>
      <c r="D893">
        <f>IF(A893="","",TEXTAFTER(A893,"|",2))</f>
        <v/>
      </c>
      <c r="E893">
        <f>IF(A893="","",SUMIF(Tickets[TripKey],A893,Tickets[TP]))</f>
        <v/>
      </c>
      <c r="F893">
        <f>IF(A893="","",SUMIF(Tickets[TripKey],A893,Tickets[Revenue]))</f>
        <v/>
      </c>
      <c r="G893">
        <f>IF(A893="","",SUMIF(Tickets[TripKey],A893,Tickets[PK]))</f>
        <v/>
      </c>
      <c r="H893">
        <f>IF(A893="","",IFERROR(XLOOKUP(A893,Tickets[TripKey],Tickets[VehClean]),""))</f>
        <v/>
      </c>
      <c r="I893">
        <f>IF(A893="","",IFERROR(XLOOKUP(A893,Tickets[TripKey],Tickets[RouteLen]),0))</f>
        <v/>
      </c>
      <c r="J893">
        <f>IF(A893="","",IFERROR(XLOOKUP(A893,Tickets[TripKey],Tickets[Capacity]),0))</f>
        <v/>
      </c>
      <c r="K893">
        <f>IF(A893="","",I893*J893)</f>
        <v/>
      </c>
      <c r="L893">
        <f>IF(A893="","",IFERROR(MINIFS(Tickets[Trip Start Time],Tickets[TripKey],A893),""))</f>
        <v/>
      </c>
    </row>
    <row r="894">
      <c r="B894" s="8">
        <f>IF(A894="","",IFERROR(DATEVALUE(TEXTBEFORE(A894,"|")),--LEFT(A894,10)))</f>
        <v/>
      </c>
      <c r="C894">
        <f>IF(A894="","",TEXTBEFORE(TEXTAFTER(A894,"|"),"|"))</f>
        <v/>
      </c>
      <c r="D894">
        <f>IF(A894="","",TEXTAFTER(A894,"|",2))</f>
        <v/>
      </c>
      <c r="E894">
        <f>IF(A894="","",SUMIF(Tickets[TripKey],A894,Tickets[TP]))</f>
        <v/>
      </c>
      <c r="F894">
        <f>IF(A894="","",SUMIF(Tickets[TripKey],A894,Tickets[Revenue]))</f>
        <v/>
      </c>
      <c r="G894">
        <f>IF(A894="","",SUMIF(Tickets[TripKey],A894,Tickets[PK]))</f>
        <v/>
      </c>
      <c r="H894">
        <f>IF(A894="","",IFERROR(XLOOKUP(A894,Tickets[TripKey],Tickets[VehClean]),""))</f>
        <v/>
      </c>
      <c r="I894">
        <f>IF(A894="","",IFERROR(XLOOKUP(A894,Tickets[TripKey],Tickets[RouteLen]),0))</f>
        <v/>
      </c>
      <c r="J894">
        <f>IF(A894="","",IFERROR(XLOOKUP(A894,Tickets[TripKey],Tickets[Capacity]),0))</f>
        <v/>
      </c>
      <c r="K894">
        <f>IF(A894="","",I894*J894)</f>
        <v/>
      </c>
      <c r="L894">
        <f>IF(A894="","",IFERROR(MINIFS(Tickets[Trip Start Time],Tickets[TripKey],A894),""))</f>
        <v/>
      </c>
    </row>
    <row r="895">
      <c r="B895" s="8">
        <f>IF(A895="","",IFERROR(DATEVALUE(TEXTBEFORE(A895,"|")),--LEFT(A895,10)))</f>
        <v/>
      </c>
      <c r="C895">
        <f>IF(A895="","",TEXTBEFORE(TEXTAFTER(A895,"|"),"|"))</f>
        <v/>
      </c>
      <c r="D895">
        <f>IF(A895="","",TEXTAFTER(A895,"|",2))</f>
        <v/>
      </c>
      <c r="E895">
        <f>IF(A895="","",SUMIF(Tickets[TripKey],A895,Tickets[TP]))</f>
        <v/>
      </c>
      <c r="F895">
        <f>IF(A895="","",SUMIF(Tickets[TripKey],A895,Tickets[Revenue]))</f>
        <v/>
      </c>
      <c r="G895">
        <f>IF(A895="","",SUMIF(Tickets[TripKey],A895,Tickets[PK]))</f>
        <v/>
      </c>
      <c r="H895">
        <f>IF(A895="","",IFERROR(XLOOKUP(A895,Tickets[TripKey],Tickets[VehClean]),""))</f>
        <v/>
      </c>
      <c r="I895">
        <f>IF(A895="","",IFERROR(XLOOKUP(A895,Tickets[TripKey],Tickets[RouteLen]),0))</f>
        <v/>
      </c>
      <c r="J895">
        <f>IF(A895="","",IFERROR(XLOOKUP(A895,Tickets[TripKey],Tickets[Capacity]),0))</f>
        <v/>
      </c>
      <c r="K895">
        <f>IF(A895="","",I895*J895)</f>
        <v/>
      </c>
      <c r="L895">
        <f>IF(A895="","",IFERROR(MINIFS(Tickets[Trip Start Time],Tickets[TripKey],A895),""))</f>
        <v/>
      </c>
    </row>
    <row r="896">
      <c r="B896" s="8">
        <f>IF(A896="","",IFERROR(DATEVALUE(TEXTBEFORE(A896,"|")),--LEFT(A896,10)))</f>
        <v/>
      </c>
      <c r="C896">
        <f>IF(A896="","",TEXTBEFORE(TEXTAFTER(A896,"|"),"|"))</f>
        <v/>
      </c>
      <c r="D896">
        <f>IF(A896="","",TEXTAFTER(A896,"|",2))</f>
        <v/>
      </c>
      <c r="E896">
        <f>IF(A896="","",SUMIF(Tickets[TripKey],A896,Tickets[TP]))</f>
        <v/>
      </c>
      <c r="F896">
        <f>IF(A896="","",SUMIF(Tickets[TripKey],A896,Tickets[Revenue]))</f>
        <v/>
      </c>
      <c r="G896">
        <f>IF(A896="","",SUMIF(Tickets[TripKey],A896,Tickets[PK]))</f>
        <v/>
      </c>
      <c r="H896">
        <f>IF(A896="","",IFERROR(XLOOKUP(A896,Tickets[TripKey],Tickets[VehClean]),""))</f>
        <v/>
      </c>
      <c r="I896">
        <f>IF(A896="","",IFERROR(XLOOKUP(A896,Tickets[TripKey],Tickets[RouteLen]),0))</f>
        <v/>
      </c>
      <c r="J896">
        <f>IF(A896="","",IFERROR(XLOOKUP(A896,Tickets[TripKey],Tickets[Capacity]),0))</f>
        <v/>
      </c>
      <c r="K896">
        <f>IF(A896="","",I896*J896)</f>
        <v/>
      </c>
      <c r="L896">
        <f>IF(A896="","",IFERROR(MINIFS(Tickets[Trip Start Time],Tickets[TripKey],A896),""))</f>
        <v/>
      </c>
    </row>
    <row r="897">
      <c r="B897" s="8">
        <f>IF(A897="","",IFERROR(DATEVALUE(TEXTBEFORE(A897,"|")),--LEFT(A897,10)))</f>
        <v/>
      </c>
      <c r="C897">
        <f>IF(A897="","",TEXTBEFORE(TEXTAFTER(A897,"|"),"|"))</f>
        <v/>
      </c>
      <c r="D897">
        <f>IF(A897="","",TEXTAFTER(A897,"|",2))</f>
        <v/>
      </c>
      <c r="E897">
        <f>IF(A897="","",SUMIF(Tickets[TripKey],A897,Tickets[TP]))</f>
        <v/>
      </c>
      <c r="F897">
        <f>IF(A897="","",SUMIF(Tickets[TripKey],A897,Tickets[Revenue]))</f>
        <v/>
      </c>
      <c r="G897">
        <f>IF(A897="","",SUMIF(Tickets[TripKey],A897,Tickets[PK]))</f>
        <v/>
      </c>
      <c r="H897">
        <f>IF(A897="","",IFERROR(XLOOKUP(A897,Tickets[TripKey],Tickets[VehClean]),""))</f>
        <v/>
      </c>
      <c r="I897">
        <f>IF(A897="","",IFERROR(XLOOKUP(A897,Tickets[TripKey],Tickets[RouteLen]),0))</f>
        <v/>
      </c>
      <c r="J897">
        <f>IF(A897="","",IFERROR(XLOOKUP(A897,Tickets[TripKey],Tickets[Capacity]),0))</f>
        <v/>
      </c>
      <c r="K897">
        <f>IF(A897="","",I897*J897)</f>
        <v/>
      </c>
      <c r="L897">
        <f>IF(A897="","",IFERROR(MINIFS(Tickets[Trip Start Time],Tickets[TripKey],A897),""))</f>
        <v/>
      </c>
    </row>
    <row r="898">
      <c r="B898" s="8">
        <f>IF(A898="","",IFERROR(DATEVALUE(TEXTBEFORE(A898,"|")),--LEFT(A898,10)))</f>
        <v/>
      </c>
      <c r="C898">
        <f>IF(A898="","",TEXTBEFORE(TEXTAFTER(A898,"|"),"|"))</f>
        <v/>
      </c>
      <c r="D898">
        <f>IF(A898="","",TEXTAFTER(A898,"|",2))</f>
        <v/>
      </c>
      <c r="E898">
        <f>IF(A898="","",SUMIF(Tickets[TripKey],A898,Tickets[TP]))</f>
        <v/>
      </c>
      <c r="F898">
        <f>IF(A898="","",SUMIF(Tickets[TripKey],A898,Tickets[Revenue]))</f>
        <v/>
      </c>
      <c r="G898">
        <f>IF(A898="","",SUMIF(Tickets[TripKey],A898,Tickets[PK]))</f>
        <v/>
      </c>
      <c r="H898">
        <f>IF(A898="","",IFERROR(XLOOKUP(A898,Tickets[TripKey],Tickets[VehClean]),""))</f>
        <v/>
      </c>
      <c r="I898">
        <f>IF(A898="","",IFERROR(XLOOKUP(A898,Tickets[TripKey],Tickets[RouteLen]),0))</f>
        <v/>
      </c>
      <c r="J898">
        <f>IF(A898="","",IFERROR(XLOOKUP(A898,Tickets[TripKey],Tickets[Capacity]),0))</f>
        <v/>
      </c>
      <c r="K898">
        <f>IF(A898="","",I898*J898)</f>
        <v/>
      </c>
      <c r="L898">
        <f>IF(A898="","",IFERROR(MINIFS(Tickets[Trip Start Time],Tickets[TripKey],A898),""))</f>
        <v/>
      </c>
    </row>
    <row r="899">
      <c r="B899" s="8">
        <f>IF(A899="","",IFERROR(DATEVALUE(TEXTBEFORE(A899,"|")),--LEFT(A899,10)))</f>
        <v/>
      </c>
      <c r="C899">
        <f>IF(A899="","",TEXTBEFORE(TEXTAFTER(A899,"|"),"|"))</f>
        <v/>
      </c>
      <c r="D899">
        <f>IF(A899="","",TEXTAFTER(A899,"|",2))</f>
        <v/>
      </c>
      <c r="E899">
        <f>IF(A899="","",SUMIF(Tickets[TripKey],A899,Tickets[TP]))</f>
        <v/>
      </c>
      <c r="F899">
        <f>IF(A899="","",SUMIF(Tickets[TripKey],A899,Tickets[Revenue]))</f>
        <v/>
      </c>
      <c r="G899">
        <f>IF(A899="","",SUMIF(Tickets[TripKey],A899,Tickets[PK]))</f>
        <v/>
      </c>
      <c r="H899">
        <f>IF(A899="","",IFERROR(XLOOKUP(A899,Tickets[TripKey],Tickets[VehClean]),""))</f>
        <v/>
      </c>
      <c r="I899">
        <f>IF(A899="","",IFERROR(XLOOKUP(A899,Tickets[TripKey],Tickets[RouteLen]),0))</f>
        <v/>
      </c>
      <c r="J899">
        <f>IF(A899="","",IFERROR(XLOOKUP(A899,Tickets[TripKey],Tickets[Capacity]),0))</f>
        <v/>
      </c>
      <c r="K899">
        <f>IF(A899="","",I899*J899)</f>
        <v/>
      </c>
      <c r="L899">
        <f>IF(A899="","",IFERROR(MINIFS(Tickets[Trip Start Time],Tickets[TripKey],A899),""))</f>
        <v/>
      </c>
    </row>
    <row r="900">
      <c r="B900" s="8">
        <f>IF(A900="","",IFERROR(DATEVALUE(TEXTBEFORE(A900,"|")),--LEFT(A900,10)))</f>
        <v/>
      </c>
      <c r="C900">
        <f>IF(A900="","",TEXTBEFORE(TEXTAFTER(A900,"|"),"|"))</f>
        <v/>
      </c>
      <c r="D900">
        <f>IF(A900="","",TEXTAFTER(A900,"|",2))</f>
        <v/>
      </c>
      <c r="E900">
        <f>IF(A900="","",SUMIF(Tickets[TripKey],A900,Tickets[TP]))</f>
        <v/>
      </c>
      <c r="F900">
        <f>IF(A900="","",SUMIF(Tickets[TripKey],A900,Tickets[Revenue]))</f>
        <v/>
      </c>
      <c r="G900">
        <f>IF(A900="","",SUMIF(Tickets[TripKey],A900,Tickets[PK]))</f>
        <v/>
      </c>
      <c r="H900">
        <f>IF(A900="","",IFERROR(XLOOKUP(A900,Tickets[TripKey],Tickets[VehClean]),""))</f>
        <v/>
      </c>
      <c r="I900">
        <f>IF(A900="","",IFERROR(XLOOKUP(A900,Tickets[TripKey],Tickets[RouteLen]),0))</f>
        <v/>
      </c>
      <c r="J900">
        <f>IF(A900="","",IFERROR(XLOOKUP(A900,Tickets[TripKey],Tickets[Capacity]),0))</f>
        <v/>
      </c>
      <c r="K900">
        <f>IF(A900="","",I900*J900)</f>
        <v/>
      </c>
      <c r="L900">
        <f>IF(A900="","",IFERROR(MINIFS(Tickets[Trip Start Time],Tickets[TripKey],A900),""))</f>
        <v/>
      </c>
    </row>
    <row r="901">
      <c r="B901" s="8">
        <f>IF(A901="","",IFERROR(DATEVALUE(TEXTBEFORE(A901,"|")),--LEFT(A901,10)))</f>
        <v/>
      </c>
      <c r="C901">
        <f>IF(A901="","",TEXTBEFORE(TEXTAFTER(A901,"|"),"|"))</f>
        <v/>
      </c>
      <c r="D901">
        <f>IF(A901="","",TEXTAFTER(A901,"|",2))</f>
        <v/>
      </c>
      <c r="E901">
        <f>IF(A901="","",SUMIF(Tickets[TripKey],A901,Tickets[TP]))</f>
        <v/>
      </c>
      <c r="F901">
        <f>IF(A901="","",SUMIF(Tickets[TripKey],A901,Tickets[Revenue]))</f>
        <v/>
      </c>
      <c r="G901">
        <f>IF(A901="","",SUMIF(Tickets[TripKey],A901,Tickets[PK]))</f>
        <v/>
      </c>
      <c r="H901">
        <f>IF(A901="","",IFERROR(XLOOKUP(A901,Tickets[TripKey],Tickets[VehClean]),""))</f>
        <v/>
      </c>
      <c r="I901">
        <f>IF(A901="","",IFERROR(XLOOKUP(A901,Tickets[TripKey],Tickets[RouteLen]),0))</f>
        <v/>
      </c>
      <c r="J901">
        <f>IF(A901="","",IFERROR(XLOOKUP(A901,Tickets[TripKey],Tickets[Capacity]),0))</f>
        <v/>
      </c>
      <c r="K901">
        <f>IF(A901="","",I901*J901)</f>
        <v/>
      </c>
      <c r="L901">
        <f>IF(A901="","",IFERROR(MINIFS(Tickets[Trip Start Time],Tickets[TripKey],A901),""))</f>
        <v/>
      </c>
    </row>
    <row r="902">
      <c r="B902" s="8">
        <f>IF(A902="","",IFERROR(DATEVALUE(TEXTBEFORE(A902,"|")),--LEFT(A902,10)))</f>
        <v/>
      </c>
      <c r="C902">
        <f>IF(A902="","",TEXTBEFORE(TEXTAFTER(A902,"|"),"|"))</f>
        <v/>
      </c>
      <c r="D902">
        <f>IF(A902="","",TEXTAFTER(A902,"|",2))</f>
        <v/>
      </c>
      <c r="E902">
        <f>IF(A902="","",SUMIF(Tickets[TripKey],A902,Tickets[TP]))</f>
        <v/>
      </c>
      <c r="F902">
        <f>IF(A902="","",SUMIF(Tickets[TripKey],A902,Tickets[Revenue]))</f>
        <v/>
      </c>
      <c r="G902">
        <f>IF(A902="","",SUMIF(Tickets[TripKey],A902,Tickets[PK]))</f>
        <v/>
      </c>
      <c r="H902">
        <f>IF(A902="","",IFERROR(XLOOKUP(A902,Tickets[TripKey],Tickets[VehClean]),""))</f>
        <v/>
      </c>
      <c r="I902">
        <f>IF(A902="","",IFERROR(XLOOKUP(A902,Tickets[TripKey],Tickets[RouteLen]),0))</f>
        <v/>
      </c>
      <c r="J902">
        <f>IF(A902="","",IFERROR(XLOOKUP(A902,Tickets[TripKey],Tickets[Capacity]),0))</f>
        <v/>
      </c>
      <c r="K902">
        <f>IF(A902="","",I902*J902)</f>
        <v/>
      </c>
      <c r="L902">
        <f>IF(A902="","",IFERROR(MINIFS(Tickets[Trip Start Time],Tickets[TripKey],A902),""))</f>
        <v/>
      </c>
    </row>
    <row r="903">
      <c r="B903" s="8">
        <f>IF(A903="","",IFERROR(DATEVALUE(TEXTBEFORE(A903,"|")),--LEFT(A903,10)))</f>
        <v/>
      </c>
      <c r="C903">
        <f>IF(A903="","",TEXTBEFORE(TEXTAFTER(A903,"|"),"|"))</f>
        <v/>
      </c>
      <c r="D903">
        <f>IF(A903="","",TEXTAFTER(A903,"|",2))</f>
        <v/>
      </c>
      <c r="E903">
        <f>IF(A903="","",SUMIF(Tickets[TripKey],A903,Tickets[TP]))</f>
        <v/>
      </c>
      <c r="F903">
        <f>IF(A903="","",SUMIF(Tickets[TripKey],A903,Tickets[Revenue]))</f>
        <v/>
      </c>
      <c r="G903">
        <f>IF(A903="","",SUMIF(Tickets[TripKey],A903,Tickets[PK]))</f>
        <v/>
      </c>
      <c r="H903">
        <f>IF(A903="","",IFERROR(XLOOKUP(A903,Tickets[TripKey],Tickets[VehClean]),""))</f>
        <v/>
      </c>
      <c r="I903">
        <f>IF(A903="","",IFERROR(XLOOKUP(A903,Tickets[TripKey],Tickets[RouteLen]),0))</f>
        <v/>
      </c>
      <c r="J903">
        <f>IF(A903="","",IFERROR(XLOOKUP(A903,Tickets[TripKey],Tickets[Capacity]),0))</f>
        <v/>
      </c>
      <c r="K903">
        <f>IF(A903="","",I903*J903)</f>
        <v/>
      </c>
      <c r="L903">
        <f>IF(A903="","",IFERROR(MINIFS(Tickets[Trip Start Time],Tickets[TripKey],A903),""))</f>
        <v/>
      </c>
    </row>
    <row r="904">
      <c r="B904" s="8">
        <f>IF(A904="","",IFERROR(DATEVALUE(TEXTBEFORE(A904,"|")),--LEFT(A904,10)))</f>
        <v/>
      </c>
      <c r="C904">
        <f>IF(A904="","",TEXTBEFORE(TEXTAFTER(A904,"|"),"|"))</f>
        <v/>
      </c>
      <c r="D904">
        <f>IF(A904="","",TEXTAFTER(A904,"|",2))</f>
        <v/>
      </c>
      <c r="E904">
        <f>IF(A904="","",SUMIF(Tickets[TripKey],A904,Tickets[TP]))</f>
        <v/>
      </c>
      <c r="F904">
        <f>IF(A904="","",SUMIF(Tickets[TripKey],A904,Tickets[Revenue]))</f>
        <v/>
      </c>
      <c r="G904">
        <f>IF(A904="","",SUMIF(Tickets[TripKey],A904,Tickets[PK]))</f>
        <v/>
      </c>
      <c r="H904">
        <f>IF(A904="","",IFERROR(XLOOKUP(A904,Tickets[TripKey],Tickets[VehClean]),""))</f>
        <v/>
      </c>
      <c r="I904">
        <f>IF(A904="","",IFERROR(XLOOKUP(A904,Tickets[TripKey],Tickets[RouteLen]),0))</f>
        <v/>
      </c>
      <c r="J904">
        <f>IF(A904="","",IFERROR(XLOOKUP(A904,Tickets[TripKey],Tickets[Capacity]),0))</f>
        <v/>
      </c>
      <c r="K904">
        <f>IF(A904="","",I904*J904)</f>
        <v/>
      </c>
      <c r="L904">
        <f>IF(A904="","",IFERROR(MINIFS(Tickets[Trip Start Time],Tickets[TripKey],A904),""))</f>
        <v/>
      </c>
    </row>
    <row r="905">
      <c r="B905" s="8">
        <f>IF(A905="","",IFERROR(DATEVALUE(TEXTBEFORE(A905,"|")),--LEFT(A905,10)))</f>
        <v/>
      </c>
      <c r="C905">
        <f>IF(A905="","",TEXTBEFORE(TEXTAFTER(A905,"|"),"|"))</f>
        <v/>
      </c>
      <c r="D905">
        <f>IF(A905="","",TEXTAFTER(A905,"|",2))</f>
        <v/>
      </c>
      <c r="E905">
        <f>IF(A905="","",SUMIF(Tickets[TripKey],A905,Tickets[TP]))</f>
        <v/>
      </c>
      <c r="F905">
        <f>IF(A905="","",SUMIF(Tickets[TripKey],A905,Tickets[Revenue]))</f>
        <v/>
      </c>
      <c r="G905">
        <f>IF(A905="","",SUMIF(Tickets[TripKey],A905,Tickets[PK]))</f>
        <v/>
      </c>
      <c r="H905">
        <f>IF(A905="","",IFERROR(XLOOKUP(A905,Tickets[TripKey],Tickets[VehClean]),""))</f>
        <v/>
      </c>
      <c r="I905">
        <f>IF(A905="","",IFERROR(XLOOKUP(A905,Tickets[TripKey],Tickets[RouteLen]),0))</f>
        <v/>
      </c>
      <c r="J905">
        <f>IF(A905="","",IFERROR(XLOOKUP(A905,Tickets[TripKey],Tickets[Capacity]),0))</f>
        <v/>
      </c>
      <c r="K905">
        <f>IF(A905="","",I905*J905)</f>
        <v/>
      </c>
      <c r="L905">
        <f>IF(A905="","",IFERROR(MINIFS(Tickets[Trip Start Time],Tickets[TripKey],A905),""))</f>
        <v/>
      </c>
    </row>
    <row r="906">
      <c r="B906" s="8">
        <f>IF(A906="","",IFERROR(DATEVALUE(TEXTBEFORE(A906,"|")),--LEFT(A906,10)))</f>
        <v/>
      </c>
      <c r="C906">
        <f>IF(A906="","",TEXTBEFORE(TEXTAFTER(A906,"|"),"|"))</f>
        <v/>
      </c>
      <c r="D906">
        <f>IF(A906="","",TEXTAFTER(A906,"|",2))</f>
        <v/>
      </c>
      <c r="E906">
        <f>IF(A906="","",SUMIF(Tickets[TripKey],A906,Tickets[TP]))</f>
        <v/>
      </c>
      <c r="F906">
        <f>IF(A906="","",SUMIF(Tickets[TripKey],A906,Tickets[Revenue]))</f>
        <v/>
      </c>
      <c r="G906">
        <f>IF(A906="","",SUMIF(Tickets[TripKey],A906,Tickets[PK]))</f>
        <v/>
      </c>
      <c r="H906">
        <f>IF(A906="","",IFERROR(XLOOKUP(A906,Tickets[TripKey],Tickets[VehClean]),""))</f>
        <v/>
      </c>
      <c r="I906">
        <f>IF(A906="","",IFERROR(XLOOKUP(A906,Tickets[TripKey],Tickets[RouteLen]),0))</f>
        <v/>
      </c>
      <c r="J906">
        <f>IF(A906="","",IFERROR(XLOOKUP(A906,Tickets[TripKey],Tickets[Capacity]),0))</f>
        <v/>
      </c>
      <c r="K906">
        <f>IF(A906="","",I906*J906)</f>
        <v/>
      </c>
      <c r="L906">
        <f>IF(A906="","",IFERROR(MINIFS(Tickets[Trip Start Time],Tickets[TripKey],A906),""))</f>
        <v/>
      </c>
    </row>
    <row r="907">
      <c r="B907" s="8">
        <f>IF(A907="","",IFERROR(DATEVALUE(TEXTBEFORE(A907,"|")),--LEFT(A907,10)))</f>
        <v/>
      </c>
      <c r="C907">
        <f>IF(A907="","",TEXTBEFORE(TEXTAFTER(A907,"|"),"|"))</f>
        <v/>
      </c>
      <c r="D907">
        <f>IF(A907="","",TEXTAFTER(A907,"|",2))</f>
        <v/>
      </c>
      <c r="E907">
        <f>IF(A907="","",SUMIF(Tickets[TripKey],A907,Tickets[TP]))</f>
        <v/>
      </c>
      <c r="F907">
        <f>IF(A907="","",SUMIF(Tickets[TripKey],A907,Tickets[Revenue]))</f>
        <v/>
      </c>
      <c r="G907">
        <f>IF(A907="","",SUMIF(Tickets[TripKey],A907,Tickets[PK]))</f>
        <v/>
      </c>
      <c r="H907">
        <f>IF(A907="","",IFERROR(XLOOKUP(A907,Tickets[TripKey],Tickets[VehClean]),""))</f>
        <v/>
      </c>
      <c r="I907">
        <f>IF(A907="","",IFERROR(XLOOKUP(A907,Tickets[TripKey],Tickets[RouteLen]),0))</f>
        <v/>
      </c>
      <c r="J907">
        <f>IF(A907="","",IFERROR(XLOOKUP(A907,Tickets[TripKey],Tickets[Capacity]),0))</f>
        <v/>
      </c>
      <c r="K907">
        <f>IF(A907="","",I907*J907)</f>
        <v/>
      </c>
      <c r="L907">
        <f>IF(A907="","",IFERROR(MINIFS(Tickets[Trip Start Time],Tickets[TripKey],A907),""))</f>
        <v/>
      </c>
    </row>
    <row r="908">
      <c r="B908" s="8">
        <f>IF(A908="","",IFERROR(DATEVALUE(TEXTBEFORE(A908,"|")),--LEFT(A908,10)))</f>
        <v/>
      </c>
      <c r="C908">
        <f>IF(A908="","",TEXTBEFORE(TEXTAFTER(A908,"|"),"|"))</f>
        <v/>
      </c>
      <c r="D908">
        <f>IF(A908="","",TEXTAFTER(A908,"|",2))</f>
        <v/>
      </c>
      <c r="E908">
        <f>IF(A908="","",SUMIF(Tickets[TripKey],A908,Tickets[TP]))</f>
        <v/>
      </c>
      <c r="F908">
        <f>IF(A908="","",SUMIF(Tickets[TripKey],A908,Tickets[Revenue]))</f>
        <v/>
      </c>
      <c r="G908">
        <f>IF(A908="","",SUMIF(Tickets[TripKey],A908,Tickets[PK]))</f>
        <v/>
      </c>
      <c r="H908">
        <f>IF(A908="","",IFERROR(XLOOKUP(A908,Tickets[TripKey],Tickets[VehClean]),""))</f>
        <v/>
      </c>
      <c r="I908">
        <f>IF(A908="","",IFERROR(XLOOKUP(A908,Tickets[TripKey],Tickets[RouteLen]),0))</f>
        <v/>
      </c>
      <c r="J908">
        <f>IF(A908="","",IFERROR(XLOOKUP(A908,Tickets[TripKey],Tickets[Capacity]),0))</f>
        <v/>
      </c>
      <c r="K908">
        <f>IF(A908="","",I908*J908)</f>
        <v/>
      </c>
      <c r="L908">
        <f>IF(A908="","",IFERROR(MINIFS(Tickets[Trip Start Time],Tickets[TripKey],A908),""))</f>
        <v/>
      </c>
    </row>
    <row r="909">
      <c r="B909" s="8">
        <f>IF(A909="","",IFERROR(DATEVALUE(TEXTBEFORE(A909,"|")),--LEFT(A909,10)))</f>
        <v/>
      </c>
      <c r="C909">
        <f>IF(A909="","",TEXTBEFORE(TEXTAFTER(A909,"|"),"|"))</f>
        <v/>
      </c>
      <c r="D909">
        <f>IF(A909="","",TEXTAFTER(A909,"|",2))</f>
        <v/>
      </c>
      <c r="E909">
        <f>IF(A909="","",SUMIF(Tickets[TripKey],A909,Tickets[TP]))</f>
        <v/>
      </c>
      <c r="F909">
        <f>IF(A909="","",SUMIF(Tickets[TripKey],A909,Tickets[Revenue]))</f>
        <v/>
      </c>
      <c r="G909">
        <f>IF(A909="","",SUMIF(Tickets[TripKey],A909,Tickets[PK]))</f>
        <v/>
      </c>
      <c r="H909">
        <f>IF(A909="","",IFERROR(XLOOKUP(A909,Tickets[TripKey],Tickets[VehClean]),""))</f>
        <v/>
      </c>
      <c r="I909">
        <f>IF(A909="","",IFERROR(XLOOKUP(A909,Tickets[TripKey],Tickets[RouteLen]),0))</f>
        <v/>
      </c>
      <c r="J909">
        <f>IF(A909="","",IFERROR(XLOOKUP(A909,Tickets[TripKey],Tickets[Capacity]),0))</f>
        <v/>
      </c>
      <c r="K909">
        <f>IF(A909="","",I909*J909)</f>
        <v/>
      </c>
      <c r="L909">
        <f>IF(A909="","",IFERROR(MINIFS(Tickets[Trip Start Time],Tickets[TripKey],A909),""))</f>
        <v/>
      </c>
    </row>
    <row r="910">
      <c r="B910" s="8">
        <f>IF(A910="","",IFERROR(DATEVALUE(TEXTBEFORE(A910,"|")),--LEFT(A910,10)))</f>
        <v/>
      </c>
      <c r="C910">
        <f>IF(A910="","",TEXTBEFORE(TEXTAFTER(A910,"|"),"|"))</f>
        <v/>
      </c>
      <c r="D910">
        <f>IF(A910="","",TEXTAFTER(A910,"|",2))</f>
        <v/>
      </c>
      <c r="E910">
        <f>IF(A910="","",SUMIF(Tickets[TripKey],A910,Tickets[TP]))</f>
        <v/>
      </c>
      <c r="F910">
        <f>IF(A910="","",SUMIF(Tickets[TripKey],A910,Tickets[Revenue]))</f>
        <v/>
      </c>
      <c r="G910">
        <f>IF(A910="","",SUMIF(Tickets[TripKey],A910,Tickets[PK]))</f>
        <v/>
      </c>
      <c r="H910">
        <f>IF(A910="","",IFERROR(XLOOKUP(A910,Tickets[TripKey],Tickets[VehClean]),""))</f>
        <v/>
      </c>
      <c r="I910">
        <f>IF(A910="","",IFERROR(XLOOKUP(A910,Tickets[TripKey],Tickets[RouteLen]),0))</f>
        <v/>
      </c>
      <c r="J910">
        <f>IF(A910="","",IFERROR(XLOOKUP(A910,Tickets[TripKey],Tickets[Capacity]),0))</f>
        <v/>
      </c>
      <c r="K910">
        <f>IF(A910="","",I910*J910)</f>
        <v/>
      </c>
      <c r="L910">
        <f>IF(A910="","",IFERROR(MINIFS(Tickets[Trip Start Time],Tickets[TripKey],A910),""))</f>
        <v/>
      </c>
    </row>
    <row r="911">
      <c r="B911" s="8">
        <f>IF(A911="","",IFERROR(DATEVALUE(TEXTBEFORE(A911,"|")),--LEFT(A911,10)))</f>
        <v/>
      </c>
      <c r="C911">
        <f>IF(A911="","",TEXTBEFORE(TEXTAFTER(A911,"|"),"|"))</f>
        <v/>
      </c>
      <c r="D911">
        <f>IF(A911="","",TEXTAFTER(A911,"|",2))</f>
        <v/>
      </c>
      <c r="E911">
        <f>IF(A911="","",SUMIF(Tickets[TripKey],A911,Tickets[TP]))</f>
        <v/>
      </c>
      <c r="F911">
        <f>IF(A911="","",SUMIF(Tickets[TripKey],A911,Tickets[Revenue]))</f>
        <v/>
      </c>
      <c r="G911">
        <f>IF(A911="","",SUMIF(Tickets[TripKey],A911,Tickets[PK]))</f>
        <v/>
      </c>
      <c r="H911">
        <f>IF(A911="","",IFERROR(XLOOKUP(A911,Tickets[TripKey],Tickets[VehClean]),""))</f>
        <v/>
      </c>
      <c r="I911">
        <f>IF(A911="","",IFERROR(XLOOKUP(A911,Tickets[TripKey],Tickets[RouteLen]),0))</f>
        <v/>
      </c>
      <c r="J911">
        <f>IF(A911="","",IFERROR(XLOOKUP(A911,Tickets[TripKey],Tickets[Capacity]),0))</f>
        <v/>
      </c>
      <c r="K911">
        <f>IF(A911="","",I911*J911)</f>
        <v/>
      </c>
      <c r="L911">
        <f>IF(A911="","",IFERROR(MINIFS(Tickets[Trip Start Time],Tickets[TripKey],A911),""))</f>
        <v/>
      </c>
    </row>
    <row r="912">
      <c r="B912" s="8">
        <f>IF(A912="","",IFERROR(DATEVALUE(TEXTBEFORE(A912,"|")),--LEFT(A912,10)))</f>
        <v/>
      </c>
      <c r="C912">
        <f>IF(A912="","",TEXTBEFORE(TEXTAFTER(A912,"|"),"|"))</f>
        <v/>
      </c>
      <c r="D912">
        <f>IF(A912="","",TEXTAFTER(A912,"|",2))</f>
        <v/>
      </c>
      <c r="E912">
        <f>IF(A912="","",SUMIF(Tickets[TripKey],A912,Tickets[TP]))</f>
        <v/>
      </c>
      <c r="F912">
        <f>IF(A912="","",SUMIF(Tickets[TripKey],A912,Tickets[Revenue]))</f>
        <v/>
      </c>
      <c r="G912">
        <f>IF(A912="","",SUMIF(Tickets[TripKey],A912,Tickets[PK]))</f>
        <v/>
      </c>
      <c r="H912">
        <f>IF(A912="","",IFERROR(XLOOKUP(A912,Tickets[TripKey],Tickets[VehClean]),""))</f>
        <v/>
      </c>
      <c r="I912">
        <f>IF(A912="","",IFERROR(XLOOKUP(A912,Tickets[TripKey],Tickets[RouteLen]),0))</f>
        <v/>
      </c>
      <c r="J912">
        <f>IF(A912="","",IFERROR(XLOOKUP(A912,Tickets[TripKey],Tickets[Capacity]),0))</f>
        <v/>
      </c>
      <c r="K912">
        <f>IF(A912="","",I912*J912)</f>
        <v/>
      </c>
      <c r="L912">
        <f>IF(A912="","",IFERROR(MINIFS(Tickets[Trip Start Time],Tickets[TripKey],A912),""))</f>
        <v/>
      </c>
    </row>
    <row r="913">
      <c r="B913" s="8">
        <f>IF(A913="","",IFERROR(DATEVALUE(TEXTBEFORE(A913,"|")),--LEFT(A913,10)))</f>
        <v/>
      </c>
      <c r="C913">
        <f>IF(A913="","",TEXTBEFORE(TEXTAFTER(A913,"|"),"|"))</f>
        <v/>
      </c>
      <c r="D913">
        <f>IF(A913="","",TEXTAFTER(A913,"|",2))</f>
        <v/>
      </c>
      <c r="E913">
        <f>IF(A913="","",SUMIF(Tickets[TripKey],A913,Tickets[TP]))</f>
        <v/>
      </c>
      <c r="F913">
        <f>IF(A913="","",SUMIF(Tickets[TripKey],A913,Tickets[Revenue]))</f>
        <v/>
      </c>
      <c r="G913">
        <f>IF(A913="","",SUMIF(Tickets[TripKey],A913,Tickets[PK]))</f>
        <v/>
      </c>
      <c r="H913">
        <f>IF(A913="","",IFERROR(XLOOKUP(A913,Tickets[TripKey],Tickets[VehClean]),""))</f>
        <v/>
      </c>
      <c r="I913">
        <f>IF(A913="","",IFERROR(XLOOKUP(A913,Tickets[TripKey],Tickets[RouteLen]),0))</f>
        <v/>
      </c>
      <c r="J913">
        <f>IF(A913="","",IFERROR(XLOOKUP(A913,Tickets[TripKey],Tickets[Capacity]),0))</f>
        <v/>
      </c>
      <c r="K913">
        <f>IF(A913="","",I913*J913)</f>
        <v/>
      </c>
      <c r="L913">
        <f>IF(A913="","",IFERROR(MINIFS(Tickets[Trip Start Time],Tickets[TripKey],A913),""))</f>
        <v/>
      </c>
    </row>
    <row r="914">
      <c r="B914" s="8">
        <f>IF(A914="","",IFERROR(DATEVALUE(TEXTBEFORE(A914,"|")),--LEFT(A914,10)))</f>
        <v/>
      </c>
      <c r="C914">
        <f>IF(A914="","",TEXTBEFORE(TEXTAFTER(A914,"|"),"|"))</f>
        <v/>
      </c>
      <c r="D914">
        <f>IF(A914="","",TEXTAFTER(A914,"|",2))</f>
        <v/>
      </c>
      <c r="E914">
        <f>IF(A914="","",SUMIF(Tickets[TripKey],A914,Tickets[TP]))</f>
        <v/>
      </c>
      <c r="F914">
        <f>IF(A914="","",SUMIF(Tickets[TripKey],A914,Tickets[Revenue]))</f>
        <v/>
      </c>
      <c r="G914">
        <f>IF(A914="","",SUMIF(Tickets[TripKey],A914,Tickets[PK]))</f>
        <v/>
      </c>
      <c r="H914">
        <f>IF(A914="","",IFERROR(XLOOKUP(A914,Tickets[TripKey],Tickets[VehClean]),""))</f>
        <v/>
      </c>
      <c r="I914">
        <f>IF(A914="","",IFERROR(XLOOKUP(A914,Tickets[TripKey],Tickets[RouteLen]),0))</f>
        <v/>
      </c>
      <c r="J914">
        <f>IF(A914="","",IFERROR(XLOOKUP(A914,Tickets[TripKey],Tickets[Capacity]),0))</f>
        <v/>
      </c>
      <c r="K914">
        <f>IF(A914="","",I914*J914)</f>
        <v/>
      </c>
      <c r="L914">
        <f>IF(A914="","",IFERROR(MINIFS(Tickets[Trip Start Time],Tickets[TripKey],A914),""))</f>
        <v/>
      </c>
    </row>
    <row r="915">
      <c r="B915" s="8">
        <f>IF(A915="","",IFERROR(DATEVALUE(TEXTBEFORE(A915,"|")),--LEFT(A915,10)))</f>
        <v/>
      </c>
      <c r="C915">
        <f>IF(A915="","",TEXTBEFORE(TEXTAFTER(A915,"|"),"|"))</f>
        <v/>
      </c>
      <c r="D915">
        <f>IF(A915="","",TEXTAFTER(A915,"|",2))</f>
        <v/>
      </c>
      <c r="E915">
        <f>IF(A915="","",SUMIF(Tickets[TripKey],A915,Tickets[TP]))</f>
        <v/>
      </c>
      <c r="F915">
        <f>IF(A915="","",SUMIF(Tickets[TripKey],A915,Tickets[Revenue]))</f>
        <v/>
      </c>
      <c r="G915">
        <f>IF(A915="","",SUMIF(Tickets[TripKey],A915,Tickets[PK]))</f>
        <v/>
      </c>
      <c r="H915">
        <f>IF(A915="","",IFERROR(XLOOKUP(A915,Tickets[TripKey],Tickets[VehClean]),""))</f>
        <v/>
      </c>
      <c r="I915">
        <f>IF(A915="","",IFERROR(XLOOKUP(A915,Tickets[TripKey],Tickets[RouteLen]),0))</f>
        <v/>
      </c>
      <c r="J915">
        <f>IF(A915="","",IFERROR(XLOOKUP(A915,Tickets[TripKey],Tickets[Capacity]),0))</f>
        <v/>
      </c>
      <c r="K915">
        <f>IF(A915="","",I915*J915)</f>
        <v/>
      </c>
      <c r="L915">
        <f>IF(A915="","",IFERROR(MINIFS(Tickets[Trip Start Time],Tickets[TripKey],A915),""))</f>
        <v/>
      </c>
    </row>
    <row r="916">
      <c r="B916" s="8">
        <f>IF(A916="","",IFERROR(DATEVALUE(TEXTBEFORE(A916,"|")),--LEFT(A916,10)))</f>
        <v/>
      </c>
      <c r="C916">
        <f>IF(A916="","",TEXTBEFORE(TEXTAFTER(A916,"|"),"|"))</f>
        <v/>
      </c>
      <c r="D916">
        <f>IF(A916="","",TEXTAFTER(A916,"|",2))</f>
        <v/>
      </c>
      <c r="E916">
        <f>IF(A916="","",SUMIF(Tickets[TripKey],A916,Tickets[TP]))</f>
        <v/>
      </c>
      <c r="F916">
        <f>IF(A916="","",SUMIF(Tickets[TripKey],A916,Tickets[Revenue]))</f>
        <v/>
      </c>
      <c r="G916">
        <f>IF(A916="","",SUMIF(Tickets[TripKey],A916,Tickets[PK]))</f>
        <v/>
      </c>
      <c r="H916">
        <f>IF(A916="","",IFERROR(XLOOKUP(A916,Tickets[TripKey],Tickets[VehClean]),""))</f>
        <v/>
      </c>
      <c r="I916">
        <f>IF(A916="","",IFERROR(XLOOKUP(A916,Tickets[TripKey],Tickets[RouteLen]),0))</f>
        <v/>
      </c>
      <c r="J916">
        <f>IF(A916="","",IFERROR(XLOOKUP(A916,Tickets[TripKey],Tickets[Capacity]),0))</f>
        <v/>
      </c>
      <c r="K916">
        <f>IF(A916="","",I916*J916)</f>
        <v/>
      </c>
      <c r="L916">
        <f>IF(A916="","",IFERROR(MINIFS(Tickets[Trip Start Time],Tickets[TripKey],A916),""))</f>
        <v/>
      </c>
    </row>
    <row r="917">
      <c r="B917" s="8">
        <f>IF(A917="","",IFERROR(DATEVALUE(TEXTBEFORE(A917,"|")),--LEFT(A917,10)))</f>
        <v/>
      </c>
      <c r="C917">
        <f>IF(A917="","",TEXTBEFORE(TEXTAFTER(A917,"|"),"|"))</f>
        <v/>
      </c>
      <c r="D917">
        <f>IF(A917="","",TEXTAFTER(A917,"|",2))</f>
        <v/>
      </c>
      <c r="E917">
        <f>IF(A917="","",SUMIF(Tickets[TripKey],A917,Tickets[TP]))</f>
        <v/>
      </c>
      <c r="F917">
        <f>IF(A917="","",SUMIF(Tickets[TripKey],A917,Tickets[Revenue]))</f>
        <v/>
      </c>
      <c r="G917">
        <f>IF(A917="","",SUMIF(Tickets[TripKey],A917,Tickets[PK]))</f>
        <v/>
      </c>
      <c r="H917">
        <f>IF(A917="","",IFERROR(XLOOKUP(A917,Tickets[TripKey],Tickets[VehClean]),""))</f>
        <v/>
      </c>
      <c r="I917">
        <f>IF(A917="","",IFERROR(XLOOKUP(A917,Tickets[TripKey],Tickets[RouteLen]),0))</f>
        <v/>
      </c>
      <c r="J917">
        <f>IF(A917="","",IFERROR(XLOOKUP(A917,Tickets[TripKey],Tickets[Capacity]),0))</f>
        <v/>
      </c>
      <c r="K917">
        <f>IF(A917="","",I917*J917)</f>
        <v/>
      </c>
      <c r="L917">
        <f>IF(A917="","",IFERROR(MINIFS(Tickets[Trip Start Time],Tickets[TripKey],A917),""))</f>
        <v/>
      </c>
    </row>
    <row r="918">
      <c r="B918" s="8">
        <f>IF(A918="","",IFERROR(DATEVALUE(TEXTBEFORE(A918,"|")),--LEFT(A918,10)))</f>
        <v/>
      </c>
      <c r="C918">
        <f>IF(A918="","",TEXTBEFORE(TEXTAFTER(A918,"|"),"|"))</f>
        <v/>
      </c>
      <c r="D918">
        <f>IF(A918="","",TEXTAFTER(A918,"|",2))</f>
        <v/>
      </c>
      <c r="E918">
        <f>IF(A918="","",SUMIF(Tickets[TripKey],A918,Tickets[TP]))</f>
        <v/>
      </c>
      <c r="F918">
        <f>IF(A918="","",SUMIF(Tickets[TripKey],A918,Tickets[Revenue]))</f>
        <v/>
      </c>
      <c r="G918">
        <f>IF(A918="","",SUMIF(Tickets[TripKey],A918,Tickets[PK]))</f>
        <v/>
      </c>
      <c r="H918">
        <f>IF(A918="","",IFERROR(XLOOKUP(A918,Tickets[TripKey],Tickets[VehClean]),""))</f>
        <v/>
      </c>
      <c r="I918">
        <f>IF(A918="","",IFERROR(XLOOKUP(A918,Tickets[TripKey],Tickets[RouteLen]),0))</f>
        <v/>
      </c>
      <c r="J918">
        <f>IF(A918="","",IFERROR(XLOOKUP(A918,Tickets[TripKey],Tickets[Capacity]),0))</f>
        <v/>
      </c>
      <c r="K918">
        <f>IF(A918="","",I918*J918)</f>
        <v/>
      </c>
      <c r="L918">
        <f>IF(A918="","",IFERROR(MINIFS(Tickets[Trip Start Time],Tickets[TripKey],A918),""))</f>
        <v/>
      </c>
    </row>
    <row r="919">
      <c r="B919" s="8">
        <f>IF(A919="","",IFERROR(DATEVALUE(TEXTBEFORE(A919,"|")),--LEFT(A919,10)))</f>
        <v/>
      </c>
      <c r="C919">
        <f>IF(A919="","",TEXTBEFORE(TEXTAFTER(A919,"|"),"|"))</f>
        <v/>
      </c>
      <c r="D919">
        <f>IF(A919="","",TEXTAFTER(A919,"|",2))</f>
        <v/>
      </c>
      <c r="E919">
        <f>IF(A919="","",SUMIF(Tickets[TripKey],A919,Tickets[TP]))</f>
        <v/>
      </c>
      <c r="F919">
        <f>IF(A919="","",SUMIF(Tickets[TripKey],A919,Tickets[Revenue]))</f>
        <v/>
      </c>
      <c r="G919">
        <f>IF(A919="","",SUMIF(Tickets[TripKey],A919,Tickets[PK]))</f>
        <v/>
      </c>
      <c r="H919">
        <f>IF(A919="","",IFERROR(XLOOKUP(A919,Tickets[TripKey],Tickets[VehClean]),""))</f>
        <v/>
      </c>
      <c r="I919">
        <f>IF(A919="","",IFERROR(XLOOKUP(A919,Tickets[TripKey],Tickets[RouteLen]),0))</f>
        <v/>
      </c>
      <c r="J919">
        <f>IF(A919="","",IFERROR(XLOOKUP(A919,Tickets[TripKey],Tickets[Capacity]),0))</f>
        <v/>
      </c>
      <c r="K919">
        <f>IF(A919="","",I919*J919)</f>
        <v/>
      </c>
      <c r="L919">
        <f>IF(A919="","",IFERROR(MINIFS(Tickets[Trip Start Time],Tickets[TripKey],A919),""))</f>
        <v/>
      </c>
    </row>
    <row r="920">
      <c r="B920" s="8">
        <f>IF(A920="","",IFERROR(DATEVALUE(TEXTBEFORE(A920,"|")),--LEFT(A920,10)))</f>
        <v/>
      </c>
      <c r="C920">
        <f>IF(A920="","",TEXTBEFORE(TEXTAFTER(A920,"|"),"|"))</f>
        <v/>
      </c>
      <c r="D920">
        <f>IF(A920="","",TEXTAFTER(A920,"|",2))</f>
        <v/>
      </c>
      <c r="E920">
        <f>IF(A920="","",SUMIF(Tickets[TripKey],A920,Tickets[TP]))</f>
        <v/>
      </c>
      <c r="F920">
        <f>IF(A920="","",SUMIF(Tickets[TripKey],A920,Tickets[Revenue]))</f>
        <v/>
      </c>
      <c r="G920">
        <f>IF(A920="","",SUMIF(Tickets[TripKey],A920,Tickets[PK]))</f>
        <v/>
      </c>
      <c r="H920">
        <f>IF(A920="","",IFERROR(XLOOKUP(A920,Tickets[TripKey],Tickets[VehClean]),""))</f>
        <v/>
      </c>
      <c r="I920">
        <f>IF(A920="","",IFERROR(XLOOKUP(A920,Tickets[TripKey],Tickets[RouteLen]),0))</f>
        <v/>
      </c>
      <c r="J920">
        <f>IF(A920="","",IFERROR(XLOOKUP(A920,Tickets[TripKey],Tickets[Capacity]),0))</f>
        <v/>
      </c>
      <c r="K920">
        <f>IF(A920="","",I920*J920)</f>
        <v/>
      </c>
      <c r="L920">
        <f>IF(A920="","",IFERROR(MINIFS(Tickets[Trip Start Time],Tickets[TripKey],A920),""))</f>
        <v/>
      </c>
    </row>
    <row r="921">
      <c r="B921" s="8">
        <f>IF(A921="","",IFERROR(DATEVALUE(TEXTBEFORE(A921,"|")),--LEFT(A921,10)))</f>
        <v/>
      </c>
      <c r="C921">
        <f>IF(A921="","",TEXTBEFORE(TEXTAFTER(A921,"|"),"|"))</f>
        <v/>
      </c>
      <c r="D921">
        <f>IF(A921="","",TEXTAFTER(A921,"|",2))</f>
        <v/>
      </c>
      <c r="E921">
        <f>IF(A921="","",SUMIF(Tickets[TripKey],A921,Tickets[TP]))</f>
        <v/>
      </c>
      <c r="F921">
        <f>IF(A921="","",SUMIF(Tickets[TripKey],A921,Tickets[Revenue]))</f>
        <v/>
      </c>
      <c r="G921">
        <f>IF(A921="","",SUMIF(Tickets[TripKey],A921,Tickets[PK]))</f>
        <v/>
      </c>
      <c r="H921">
        <f>IF(A921="","",IFERROR(XLOOKUP(A921,Tickets[TripKey],Tickets[VehClean]),""))</f>
        <v/>
      </c>
      <c r="I921">
        <f>IF(A921="","",IFERROR(XLOOKUP(A921,Tickets[TripKey],Tickets[RouteLen]),0))</f>
        <v/>
      </c>
      <c r="J921">
        <f>IF(A921="","",IFERROR(XLOOKUP(A921,Tickets[TripKey],Tickets[Capacity]),0))</f>
        <v/>
      </c>
      <c r="K921">
        <f>IF(A921="","",I921*J921)</f>
        <v/>
      </c>
      <c r="L921">
        <f>IF(A921="","",IFERROR(MINIFS(Tickets[Trip Start Time],Tickets[TripKey],A921),""))</f>
        <v/>
      </c>
    </row>
    <row r="922">
      <c r="B922" s="8">
        <f>IF(A922="","",IFERROR(DATEVALUE(TEXTBEFORE(A922,"|")),--LEFT(A922,10)))</f>
        <v/>
      </c>
      <c r="C922">
        <f>IF(A922="","",TEXTBEFORE(TEXTAFTER(A922,"|"),"|"))</f>
        <v/>
      </c>
      <c r="D922">
        <f>IF(A922="","",TEXTAFTER(A922,"|",2))</f>
        <v/>
      </c>
      <c r="E922">
        <f>IF(A922="","",SUMIF(Tickets[TripKey],A922,Tickets[TP]))</f>
        <v/>
      </c>
      <c r="F922">
        <f>IF(A922="","",SUMIF(Tickets[TripKey],A922,Tickets[Revenue]))</f>
        <v/>
      </c>
      <c r="G922">
        <f>IF(A922="","",SUMIF(Tickets[TripKey],A922,Tickets[PK]))</f>
        <v/>
      </c>
      <c r="H922">
        <f>IF(A922="","",IFERROR(XLOOKUP(A922,Tickets[TripKey],Tickets[VehClean]),""))</f>
        <v/>
      </c>
      <c r="I922">
        <f>IF(A922="","",IFERROR(XLOOKUP(A922,Tickets[TripKey],Tickets[RouteLen]),0))</f>
        <v/>
      </c>
      <c r="J922">
        <f>IF(A922="","",IFERROR(XLOOKUP(A922,Tickets[TripKey],Tickets[Capacity]),0))</f>
        <v/>
      </c>
      <c r="K922">
        <f>IF(A922="","",I922*J922)</f>
        <v/>
      </c>
      <c r="L922">
        <f>IF(A922="","",IFERROR(MINIFS(Tickets[Trip Start Time],Tickets[TripKey],A922),""))</f>
        <v/>
      </c>
    </row>
    <row r="923">
      <c r="B923" s="8">
        <f>IF(A923="","",IFERROR(DATEVALUE(TEXTBEFORE(A923,"|")),--LEFT(A923,10)))</f>
        <v/>
      </c>
      <c r="C923">
        <f>IF(A923="","",TEXTBEFORE(TEXTAFTER(A923,"|"),"|"))</f>
        <v/>
      </c>
      <c r="D923">
        <f>IF(A923="","",TEXTAFTER(A923,"|",2))</f>
        <v/>
      </c>
      <c r="E923">
        <f>IF(A923="","",SUMIF(Tickets[TripKey],A923,Tickets[TP]))</f>
        <v/>
      </c>
      <c r="F923">
        <f>IF(A923="","",SUMIF(Tickets[TripKey],A923,Tickets[Revenue]))</f>
        <v/>
      </c>
      <c r="G923">
        <f>IF(A923="","",SUMIF(Tickets[TripKey],A923,Tickets[PK]))</f>
        <v/>
      </c>
      <c r="H923">
        <f>IF(A923="","",IFERROR(XLOOKUP(A923,Tickets[TripKey],Tickets[VehClean]),""))</f>
        <v/>
      </c>
      <c r="I923">
        <f>IF(A923="","",IFERROR(XLOOKUP(A923,Tickets[TripKey],Tickets[RouteLen]),0))</f>
        <v/>
      </c>
      <c r="J923">
        <f>IF(A923="","",IFERROR(XLOOKUP(A923,Tickets[TripKey],Tickets[Capacity]),0))</f>
        <v/>
      </c>
      <c r="K923">
        <f>IF(A923="","",I923*J923)</f>
        <v/>
      </c>
      <c r="L923">
        <f>IF(A923="","",IFERROR(MINIFS(Tickets[Trip Start Time],Tickets[TripKey],A923),""))</f>
        <v/>
      </c>
    </row>
    <row r="924">
      <c r="B924" s="8">
        <f>IF(A924="","",IFERROR(DATEVALUE(TEXTBEFORE(A924,"|")),--LEFT(A924,10)))</f>
        <v/>
      </c>
      <c r="C924">
        <f>IF(A924="","",TEXTBEFORE(TEXTAFTER(A924,"|"),"|"))</f>
        <v/>
      </c>
      <c r="D924">
        <f>IF(A924="","",TEXTAFTER(A924,"|",2))</f>
        <v/>
      </c>
      <c r="E924">
        <f>IF(A924="","",SUMIF(Tickets[TripKey],A924,Tickets[TP]))</f>
        <v/>
      </c>
      <c r="F924">
        <f>IF(A924="","",SUMIF(Tickets[TripKey],A924,Tickets[Revenue]))</f>
        <v/>
      </c>
      <c r="G924">
        <f>IF(A924="","",SUMIF(Tickets[TripKey],A924,Tickets[PK]))</f>
        <v/>
      </c>
      <c r="H924">
        <f>IF(A924="","",IFERROR(XLOOKUP(A924,Tickets[TripKey],Tickets[VehClean]),""))</f>
        <v/>
      </c>
      <c r="I924">
        <f>IF(A924="","",IFERROR(XLOOKUP(A924,Tickets[TripKey],Tickets[RouteLen]),0))</f>
        <v/>
      </c>
      <c r="J924">
        <f>IF(A924="","",IFERROR(XLOOKUP(A924,Tickets[TripKey],Tickets[Capacity]),0))</f>
        <v/>
      </c>
      <c r="K924">
        <f>IF(A924="","",I924*J924)</f>
        <v/>
      </c>
      <c r="L924">
        <f>IF(A924="","",IFERROR(MINIFS(Tickets[Trip Start Time],Tickets[TripKey],A924),""))</f>
        <v/>
      </c>
    </row>
    <row r="925">
      <c r="B925" s="8">
        <f>IF(A925="","",IFERROR(DATEVALUE(TEXTBEFORE(A925,"|")),--LEFT(A925,10)))</f>
        <v/>
      </c>
      <c r="C925">
        <f>IF(A925="","",TEXTBEFORE(TEXTAFTER(A925,"|"),"|"))</f>
        <v/>
      </c>
      <c r="D925">
        <f>IF(A925="","",TEXTAFTER(A925,"|",2))</f>
        <v/>
      </c>
      <c r="E925">
        <f>IF(A925="","",SUMIF(Tickets[TripKey],A925,Tickets[TP]))</f>
        <v/>
      </c>
      <c r="F925">
        <f>IF(A925="","",SUMIF(Tickets[TripKey],A925,Tickets[Revenue]))</f>
        <v/>
      </c>
      <c r="G925">
        <f>IF(A925="","",SUMIF(Tickets[TripKey],A925,Tickets[PK]))</f>
        <v/>
      </c>
      <c r="H925">
        <f>IF(A925="","",IFERROR(XLOOKUP(A925,Tickets[TripKey],Tickets[VehClean]),""))</f>
        <v/>
      </c>
      <c r="I925">
        <f>IF(A925="","",IFERROR(XLOOKUP(A925,Tickets[TripKey],Tickets[RouteLen]),0))</f>
        <v/>
      </c>
      <c r="J925">
        <f>IF(A925="","",IFERROR(XLOOKUP(A925,Tickets[TripKey],Tickets[Capacity]),0))</f>
        <v/>
      </c>
      <c r="K925">
        <f>IF(A925="","",I925*J925)</f>
        <v/>
      </c>
      <c r="L925">
        <f>IF(A925="","",IFERROR(MINIFS(Tickets[Trip Start Time],Tickets[TripKey],A925),""))</f>
        <v/>
      </c>
    </row>
    <row r="926">
      <c r="B926" s="8">
        <f>IF(A926="","",IFERROR(DATEVALUE(TEXTBEFORE(A926,"|")),--LEFT(A926,10)))</f>
        <v/>
      </c>
      <c r="C926">
        <f>IF(A926="","",TEXTBEFORE(TEXTAFTER(A926,"|"),"|"))</f>
        <v/>
      </c>
      <c r="D926">
        <f>IF(A926="","",TEXTAFTER(A926,"|",2))</f>
        <v/>
      </c>
      <c r="E926">
        <f>IF(A926="","",SUMIF(Tickets[TripKey],A926,Tickets[TP]))</f>
        <v/>
      </c>
      <c r="F926">
        <f>IF(A926="","",SUMIF(Tickets[TripKey],A926,Tickets[Revenue]))</f>
        <v/>
      </c>
      <c r="G926">
        <f>IF(A926="","",SUMIF(Tickets[TripKey],A926,Tickets[PK]))</f>
        <v/>
      </c>
      <c r="H926">
        <f>IF(A926="","",IFERROR(XLOOKUP(A926,Tickets[TripKey],Tickets[VehClean]),""))</f>
        <v/>
      </c>
      <c r="I926">
        <f>IF(A926="","",IFERROR(XLOOKUP(A926,Tickets[TripKey],Tickets[RouteLen]),0))</f>
        <v/>
      </c>
      <c r="J926">
        <f>IF(A926="","",IFERROR(XLOOKUP(A926,Tickets[TripKey],Tickets[Capacity]),0))</f>
        <v/>
      </c>
      <c r="K926">
        <f>IF(A926="","",I926*J926)</f>
        <v/>
      </c>
      <c r="L926">
        <f>IF(A926="","",IFERROR(MINIFS(Tickets[Trip Start Time],Tickets[TripKey],A926),""))</f>
        <v/>
      </c>
    </row>
    <row r="927">
      <c r="B927" s="8">
        <f>IF(A927="","",IFERROR(DATEVALUE(TEXTBEFORE(A927,"|")),--LEFT(A927,10)))</f>
        <v/>
      </c>
      <c r="C927">
        <f>IF(A927="","",TEXTBEFORE(TEXTAFTER(A927,"|"),"|"))</f>
        <v/>
      </c>
      <c r="D927">
        <f>IF(A927="","",TEXTAFTER(A927,"|",2))</f>
        <v/>
      </c>
      <c r="E927">
        <f>IF(A927="","",SUMIF(Tickets[TripKey],A927,Tickets[TP]))</f>
        <v/>
      </c>
      <c r="F927">
        <f>IF(A927="","",SUMIF(Tickets[TripKey],A927,Tickets[Revenue]))</f>
        <v/>
      </c>
      <c r="G927">
        <f>IF(A927="","",SUMIF(Tickets[TripKey],A927,Tickets[PK]))</f>
        <v/>
      </c>
      <c r="H927">
        <f>IF(A927="","",IFERROR(XLOOKUP(A927,Tickets[TripKey],Tickets[VehClean]),""))</f>
        <v/>
      </c>
      <c r="I927">
        <f>IF(A927="","",IFERROR(XLOOKUP(A927,Tickets[TripKey],Tickets[RouteLen]),0))</f>
        <v/>
      </c>
      <c r="J927">
        <f>IF(A927="","",IFERROR(XLOOKUP(A927,Tickets[TripKey],Tickets[Capacity]),0))</f>
        <v/>
      </c>
      <c r="K927">
        <f>IF(A927="","",I927*J927)</f>
        <v/>
      </c>
      <c r="L927">
        <f>IF(A927="","",IFERROR(MINIFS(Tickets[Trip Start Time],Tickets[TripKey],A927),""))</f>
        <v/>
      </c>
    </row>
    <row r="928">
      <c r="B928" s="8">
        <f>IF(A928="","",IFERROR(DATEVALUE(TEXTBEFORE(A928,"|")),--LEFT(A928,10)))</f>
        <v/>
      </c>
      <c r="C928">
        <f>IF(A928="","",TEXTBEFORE(TEXTAFTER(A928,"|"),"|"))</f>
        <v/>
      </c>
      <c r="D928">
        <f>IF(A928="","",TEXTAFTER(A928,"|",2))</f>
        <v/>
      </c>
      <c r="E928">
        <f>IF(A928="","",SUMIF(Tickets[TripKey],A928,Tickets[TP]))</f>
        <v/>
      </c>
      <c r="F928">
        <f>IF(A928="","",SUMIF(Tickets[TripKey],A928,Tickets[Revenue]))</f>
        <v/>
      </c>
      <c r="G928">
        <f>IF(A928="","",SUMIF(Tickets[TripKey],A928,Tickets[PK]))</f>
        <v/>
      </c>
      <c r="H928">
        <f>IF(A928="","",IFERROR(XLOOKUP(A928,Tickets[TripKey],Tickets[VehClean]),""))</f>
        <v/>
      </c>
      <c r="I928">
        <f>IF(A928="","",IFERROR(XLOOKUP(A928,Tickets[TripKey],Tickets[RouteLen]),0))</f>
        <v/>
      </c>
      <c r="J928">
        <f>IF(A928="","",IFERROR(XLOOKUP(A928,Tickets[TripKey],Tickets[Capacity]),0))</f>
        <v/>
      </c>
      <c r="K928">
        <f>IF(A928="","",I928*J928)</f>
        <v/>
      </c>
      <c r="L928">
        <f>IF(A928="","",IFERROR(MINIFS(Tickets[Trip Start Time],Tickets[TripKey],A928),""))</f>
        <v/>
      </c>
    </row>
    <row r="929">
      <c r="B929" s="8">
        <f>IF(A929="","",IFERROR(DATEVALUE(TEXTBEFORE(A929,"|")),--LEFT(A929,10)))</f>
        <v/>
      </c>
      <c r="C929">
        <f>IF(A929="","",TEXTBEFORE(TEXTAFTER(A929,"|"),"|"))</f>
        <v/>
      </c>
      <c r="D929">
        <f>IF(A929="","",TEXTAFTER(A929,"|",2))</f>
        <v/>
      </c>
      <c r="E929">
        <f>IF(A929="","",SUMIF(Tickets[TripKey],A929,Tickets[TP]))</f>
        <v/>
      </c>
      <c r="F929">
        <f>IF(A929="","",SUMIF(Tickets[TripKey],A929,Tickets[Revenue]))</f>
        <v/>
      </c>
      <c r="G929">
        <f>IF(A929="","",SUMIF(Tickets[TripKey],A929,Tickets[PK]))</f>
        <v/>
      </c>
      <c r="H929">
        <f>IF(A929="","",IFERROR(XLOOKUP(A929,Tickets[TripKey],Tickets[VehClean]),""))</f>
        <v/>
      </c>
      <c r="I929">
        <f>IF(A929="","",IFERROR(XLOOKUP(A929,Tickets[TripKey],Tickets[RouteLen]),0))</f>
        <v/>
      </c>
      <c r="J929">
        <f>IF(A929="","",IFERROR(XLOOKUP(A929,Tickets[TripKey],Tickets[Capacity]),0))</f>
        <v/>
      </c>
      <c r="K929">
        <f>IF(A929="","",I929*J929)</f>
        <v/>
      </c>
      <c r="L929">
        <f>IF(A929="","",IFERROR(MINIFS(Tickets[Trip Start Time],Tickets[TripKey],A929),""))</f>
        <v/>
      </c>
    </row>
    <row r="930">
      <c r="B930" s="8">
        <f>IF(A930="","",IFERROR(DATEVALUE(TEXTBEFORE(A930,"|")),--LEFT(A930,10)))</f>
        <v/>
      </c>
      <c r="C930">
        <f>IF(A930="","",TEXTBEFORE(TEXTAFTER(A930,"|"),"|"))</f>
        <v/>
      </c>
      <c r="D930">
        <f>IF(A930="","",TEXTAFTER(A930,"|",2))</f>
        <v/>
      </c>
      <c r="E930">
        <f>IF(A930="","",SUMIF(Tickets[TripKey],A930,Tickets[TP]))</f>
        <v/>
      </c>
      <c r="F930">
        <f>IF(A930="","",SUMIF(Tickets[TripKey],A930,Tickets[Revenue]))</f>
        <v/>
      </c>
      <c r="G930">
        <f>IF(A930="","",SUMIF(Tickets[TripKey],A930,Tickets[PK]))</f>
        <v/>
      </c>
      <c r="H930">
        <f>IF(A930="","",IFERROR(XLOOKUP(A930,Tickets[TripKey],Tickets[VehClean]),""))</f>
        <v/>
      </c>
      <c r="I930">
        <f>IF(A930="","",IFERROR(XLOOKUP(A930,Tickets[TripKey],Tickets[RouteLen]),0))</f>
        <v/>
      </c>
      <c r="J930">
        <f>IF(A930="","",IFERROR(XLOOKUP(A930,Tickets[TripKey],Tickets[Capacity]),0))</f>
        <v/>
      </c>
      <c r="K930">
        <f>IF(A930="","",I930*J930)</f>
        <v/>
      </c>
      <c r="L930">
        <f>IF(A930="","",IFERROR(MINIFS(Tickets[Trip Start Time],Tickets[TripKey],A930),""))</f>
        <v/>
      </c>
    </row>
    <row r="931">
      <c r="B931" s="8">
        <f>IF(A931="","",IFERROR(DATEVALUE(TEXTBEFORE(A931,"|")),--LEFT(A931,10)))</f>
        <v/>
      </c>
      <c r="C931">
        <f>IF(A931="","",TEXTBEFORE(TEXTAFTER(A931,"|"),"|"))</f>
        <v/>
      </c>
      <c r="D931">
        <f>IF(A931="","",TEXTAFTER(A931,"|",2))</f>
        <v/>
      </c>
      <c r="E931">
        <f>IF(A931="","",SUMIF(Tickets[TripKey],A931,Tickets[TP]))</f>
        <v/>
      </c>
      <c r="F931">
        <f>IF(A931="","",SUMIF(Tickets[TripKey],A931,Tickets[Revenue]))</f>
        <v/>
      </c>
      <c r="G931">
        <f>IF(A931="","",SUMIF(Tickets[TripKey],A931,Tickets[PK]))</f>
        <v/>
      </c>
      <c r="H931">
        <f>IF(A931="","",IFERROR(XLOOKUP(A931,Tickets[TripKey],Tickets[VehClean]),""))</f>
        <v/>
      </c>
      <c r="I931">
        <f>IF(A931="","",IFERROR(XLOOKUP(A931,Tickets[TripKey],Tickets[RouteLen]),0))</f>
        <v/>
      </c>
      <c r="J931">
        <f>IF(A931="","",IFERROR(XLOOKUP(A931,Tickets[TripKey],Tickets[Capacity]),0))</f>
        <v/>
      </c>
      <c r="K931">
        <f>IF(A931="","",I931*J931)</f>
        <v/>
      </c>
      <c r="L931">
        <f>IF(A931="","",IFERROR(MINIFS(Tickets[Trip Start Time],Tickets[TripKey],A931),""))</f>
        <v/>
      </c>
    </row>
    <row r="932">
      <c r="B932" s="8">
        <f>IF(A932="","",IFERROR(DATEVALUE(TEXTBEFORE(A932,"|")),--LEFT(A932,10)))</f>
        <v/>
      </c>
      <c r="C932">
        <f>IF(A932="","",TEXTBEFORE(TEXTAFTER(A932,"|"),"|"))</f>
        <v/>
      </c>
      <c r="D932">
        <f>IF(A932="","",TEXTAFTER(A932,"|",2))</f>
        <v/>
      </c>
      <c r="E932">
        <f>IF(A932="","",SUMIF(Tickets[TripKey],A932,Tickets[TP]))</f>
        <v/>
      </c>
      <c r="F932">
        <f>IF(A932="","",SUMIF(Tickets[TripKey],A932,Tickets[Revenue]))</f>
        <v/>
      </c>
      <c r="G932">
        <f>IF(A932="","",SUMIF(Tickets[TripKey],A932,Tickets[PK]))</f>
        <v/>
      </c>
      <c r="H932">
        <f>IF(A932="","",IFERROR(XLOOKUP(A932,Tickets[TripKey],Tickets[VehClean]),""))</f>
        <v/>
      </c>
      <c r="I932">
        <f>IF(A932="","",IFERROR(XLOOKUP(A932,Tickets[TripKey],Tickets[RouteLen]),0))</f>
        <v/>
      </c>
      <c r="J932">
        <f>IF(A932="","",IFERROR(XLOOKUP(A932,Tickets[TripKey],Tickets[Capacity]),0))</f>
        <v/>
      </c>
      <c r="K932">
        <f>IF(A932="","",I932*J932)</f>
        <v/>
      </c>
      <c r="L932">
        <f>IF(A932="","",IFERROR(MINIFS(Tickets[Trip Start Time],Tickets[TripKey],A932),""))</f>
        <v/>
      </c>
    </row>
    <row r="933">
      <c r="B933" s="8">
        <f>IF(A933="","",IFERROR(DATEVALUE(TEXTBEFORE(A933,"|")),--LEFT(A933,10)))</f>
        <v/>
      </c>
      <c r="C933">
        <f>IF(A933="","",TEXTBEFORE(TEXTAFTER(A933,"|"),"|"))</f>
        <v/>
      </c>
      <c r="D933">
        <f>IF(A933="","",TEXTAFTER(A933,"|",2))</f>
        <v/>
      </c>
      <c r="E933">
        <f>IF(A933="","",SUMIF(Tickets[TripKey],A933,Tickets[TP]))</f>
        <v/>
      </c>
      <c r="F933">
        <f>IF(A933="","",SUMIF(Tickets[TripKey],A933,Tickets[Revenue]))</f>
        <v/>
      </c>
      <c r="G933">
        <f>IF(A933="","",SUMIF(Tickets[TripKey],A933,Tickets[PK]))</f>
        <v/>
      </c>
      <c r="H933">
        <f>IF(A933="","",IFERROR(XLOOKUP(A933,Tickets[TripKey],Tickets[VehClean]),""))</f>
        <v/>
      </c>
      <c r="I933">
        <f>IF(A933="","",IFERROR(XLOOKUP(A933,Tickets[TripKey],Tickets[RouteLen]),0))</f>
        <v/>
      </c>
      <c r="J933">
        <f>IF(A933="","",IFERROR(XLOOKUP(A933,Tickets[TripKey],Tickets[Capacity]),0))</f>
        <v/>
      </c>
      <c r="K933">
        <f>IF(A933="","",I933*J933)</f>
        <v/>
      </c>
      <c r="L933">
        <f>IF(A933="","",IFERROR(MINIFS(Tickets[Trip Start Time],Tickets[TripKey],A933),""))</f>
        <v/>
      </c>
    </row>
    <row r="934">
      <c r="B934" s="8">
        <f>IF(A934="","",IFERROR(DATEVALUE(TEXTBEFORE(A934,"|")),--LEFT(A934,10)))</f>
        <v/>
      </c>
      <c r="C934">
        <f>IF(A934="","",TEXTBEFORE(TEXTAFTER(A934,"|"),"|"))</f>
        <v/>
      </c>
      <c r="D934">
        <f>IF(A934="","",TEXTAFTER(A934,"|",2))</f>
        <v/>
      </c>
      <c r="E934">
        <f>IF(A934="","",SUMIF(Tickets[TripKey],A934,Tickets[TP]))</f>
        <v/>
      </c>
      <c r="F934">
        <f>IF(A934="","",SUMIF(Tickets[TripKey],A934,Tickets[Revenue]))</f>
        <v/>
      </c>
      <c r="G934">
        <f>IF(A934="","",SUMIF(Tickets[TripKey],A934,Tickets[PK]))</f>
        <v/>
      </c>
      <c r="H934">
        <f>IF(A934="","",IFERROR(XLOOKUP(A934,Tickets[TripKey],Tickets[VehClean]),""))</f>
        <v/>
      </c>
      <c r="I934">
        <f>IF(A934="","",IFERROR(XLOOKUP(A934,Tickets[TripKey],Tickets[RouteLen]),0))</f>
        <v/>
      </c>
      <c r="J934">
        <f>IF(A934="","",IFERROR(XLOOKUP(A934,Tickets[TripKey],Tickets[Capacity]),0))</f>
        <v/>
      </c>
      <c r="K934">
        <f>IF(A934="","",I934*J934)</f>
        <v/>
      </c>
      <c r="L934">
        <f>IF(A934="","",IFERROR(MINIFS(Tickets[Trip Start Time],Tickets[TripKey],A934),""))</f>
        <v/>
      </c>
    </row>
    <row r="935">
      <c r="B935" s="8">
        <f>IF(A935="","",IFERROR(DATEVALUE(TEXTBEFORE(A935,"|")),--LEFT(A935,10)))</f>
        <v/>
      </c>
      <c r="C935">
        <f>IF(A935="","",TEXTBEFORE(TEXTAFTER(A935,"|"),"|"))</f>
        <v/>
      </c>
      <c r="D935">
        <f>IF(A935="","",TEXTAFTER(A935,"|",2))</f>
        <v/>
      </c>
      <c r="E935">
        <f>IF(A935="","",SUMIF(Tickets[TripKey],A935,Tickets[TP]))</f>
        <v/>
      </c>
      <c r="F935">
        <f>IF(A935="","",SUMIF(Tickets[TripKey],A935,Tickets[Revenue]))</f>
        <v/>
      </c>
      <c r="G935">
        <f>IF(A935="","",SUMIF(Tickets[TripKey],A935,Tickets[PK]))</f>
        <v/>
      </c>
      <c r="H935">
        <f>IF(A935="","",IFERROR(XLOOKUP(A935,Tickets[TripKey],Tickets[VehClean]),""))</f>
        <v/>
      </c>
      <c r="I935">
        <f>IF(A935="","",IFERROR(XLOOKUP(A935,Tickets[TripKey],Tickets[RouteLen]),0))</f>
        <v/>
      </c>
      <c r="J935">
        <f>IF(A935="","",IFERROR(XLOOKUP(A935,Tickets[TripKey],Tickets[Capacity]),0))</f>
        <v/>
      </c>
      <c r="K935">
        <f>IF(A935="","",I935*J935)</f>
        <v/>
      </c>
      <c r="L935">
        <f>IF(A935="","",IFERROR(MINIFS(Tickets[Trip Start Time],Tickets[TripKey],A935),""))</f>
        <v/>
      </c>
    </row>
    <row r="936">
      <c r="B936" s="8">
        <f>IF(A936="","",IFERROR(DATEVALUE(TEXTBEFORE(A936,"|")),--LEFT(A936,10)))</f>
        <v/>
      </c>
      <c r="C936">
        <f>IF(A936="","",TEXTBEFORE(TEXTAFTER(A936,"|"),"|"))</f>
        <v/>
      </c>
      <c r="D936">
        <f>IF(A936="","",TEXTAFTER(A936,"|",2))</f>
        <v/>
      </c>
      <c r="E936">
        <f>IF(A936="","",SUMIF(Tickets[TripKey],A936,Tickets[TP]))</f>
        <v/>
      </c>
      <c r="F936">
        <f>IF(A936="","",SUMIF(Tickets[TripKey],A936,Tickets[Revenue]))</f>
        <v/>
      </c>
      <c r="G936">
        <f>IF(A936="","",SUMIF(Tickets[TripKey],A936,Tickets[PK]))</f>
        <v/>
      </c>
      <c r="H936">
        <f>IF(A936="","",IFERROR(XLOOKUP(A936,Tickets[TripKey],Tickets[VehClean]),""))</f>
        <v/>
      </c>
      <c r="I936">
        <f>IF(A936="","",IFERROR(XLOOKUP(A936,Tickets[TripKey],Tickets[RouteLen]),0))</f>
        <v/>
      </c>
      <c r="J936">
        <f>IF(A936="","",IFERROR(XLOOKUP(A936,Tickets[TripKey],Tickets[Capacity]),0))</f>
        <v/>
      </c>
      <c r="K936">
        <f>IF(A936="","",I936*J936)</f>
        <v/>
      </c>
      <c r="L936">
        <f>IF(A936="","",IFERROR(MINIFS(Tickets[Trip Start Time],Tickets[TripKey],A936),""))</f>
        <v/>
      </c>
    </row>
    <row r="937">
      <c r="B937" s="8">
        <f>IF(A937="","",IFERROR(DATEVALUE(TEXTBEFORE(A937,"|")),--LEFT(A937,10)))</f>
        <v/>
      </c>
      <c r="C937">
        <f>IF(A937="","",TEXTBEFORE(TEXTAFTER(A937,"|"),"|"))</f>
        <v/>
      </c>
      <c r="D937">
        <f>IF(A937="","",TEXTAFTER(A937,"|",2))</f>
        <v/>
      </c>
      <c r="E937">
        <f>IF(A937="","",SUMIF(Tickets[TripKey],A937,Tickets[TP]))</f>
        <v/>
      </c>
      <c r="F937">
        <f>IF(A937="","",SUMIF(Tickets[TripKey],A937,Tickets[Revenue]))</f>
        <v/>
      </c>
      <c r="G937">
        <f>IF(A937="","",SUMIF(Tickets[TripKey],A937,Tickets[PK]))</f>
        <v/>
      </c>
      <c r="H937">
        <f>IF(A937="","",IFERROR(XLOOKUP(A937,Tickets[TripKey],Tickets[VehClean]),""))</f>
        <v/>
      </c>
      <c r="I937">
        <f>IF(A937="","",IFERROR(XLOOKUP(A937,Tickets[TripKey],Tickets[RouteLen]),0))</f>
        <v/>
      </c>
      <c r="J937">
        <f>IF(A937="","",IFERROR(XLOOKUP(A937,Tickets[TripKey],Tickets[Capacity]),0))</f>
        <v/>
      </c>
      <c r="K937">
        <f>IF(A937="","",I937*J937)</f>
        <v/>
      </c>
      <c r="L937">
        <f>IF(A937="","",IFERROR(MINIFS(Tickets[Trip Start Time],Tickets[TripKey],A937),""))</f>
        <v/>
      </c>
    </row>
    <row r="938">
      <c r="B938" s="8">
        <f>IF(A938="","",IFERROR(DATEVALUE(TEXTBEFORE(A938,"|")),--LEFT(A938,10)))</f>
        <v/>
      </c>
      <c r="C938">
        <f>IF(A938="","",TEXTBEFORE(TEXTAFTER(A938,"|"),"|"))</f>
        <v/>
      </c>
      <c r="D938">
        <f>IF(A938="","",TEXTAFTER(A938,"|",2))</f>
        <v/>
      </c>
      <c r="E938">
        <f>IF(A938="","",SUMIF(Tickets[TripKey],A938,Tickets[TP]))</f>
        <v/>
      </c>
      <c r="F938">
        <f>IF(A938="","",SUMIF(Tickets[TripKey],A938,Tickets[Revenue]))</f>
        <v/>
      </c>
      <c r="G938">
        <f>IF(A938="","",SUMIF(Tickets[TripKey],A938,Tickets[PK]))</f>
        <v/>
      </c>
      <c r="H938">
        <f>IF(A938="","",IFERROR(XLOOKUP(A938,Tickets[TripKey],Tickets[VehClean]),""))</f>
        <v/>
      </c>
      <c r="I938">
        <f>IF(A938="","",IFERROR(XLOOKUP(A938,Tickets[TripKey],Tickets[RouteLen]),0))</f>
        <v/>
      </c>
      <c r="J938">
        <f>IF(A938="","",IFERROR(XLOOKUP(A938,Tickets[TripKey],Tickets[Capacity]),0))</f>
        <v/>
      </c>
      <c r="K938">
        <f>IF(A938="","",I938*J938)</f>
        <v/>
      </c>
      <c r="L938">
        <f>IF(A938="","",IFERROR(MINIFS(Tickets[Trip Start Time],Tickets[TripKey],A938),""))</f>
        <v/>
      </c>
    </row>
    <row r="939">
      <c r="B939" s="8">
        <f>IF(A939="","",IFERROR(DATEVALUE(TEXTBEFORE(A939,"|")),--LEFT(A939,10)))</f>
        <v/>
      </c>
      <c r="C939">
        <f>IF(A939="","",TEXTBEFORE(TEXTAFTER(A939,"|"),"|"))</f>
        <v/>
      </c>
      <c r="D939">
        <f>IF(A939="","",TEXTAFTER(A939,"|",2))</f>
        <v/>
      </c>
      <c r="E939">
        <f>IF(A939="","",SUMIF(Tickets[TripKey],A939,Tickets[TP]))</f>
        <v/>
      </c>
      <c r="F939">
        <f>IF(A939="","",SUMIF(Tickets[TripKey],A939,Tickets[Revenue]))</f>
        <v/>
      </c>
      <c r="G939">
        <f>IF(A939="","",SUMIF(Tickets[TripKey],A939,Tickets[PK]))</f>
        <v/>
      </c>
      <c r="H939">
        <f>IF(A939="","",IFERROR(XLOOKUP(A939,Tickets[TripKey],Tickets[VehClean]),""))</f>
        <v/>
      </c>
      <c r="I939">
        <f>IF(A939="","",IFERROR(XLOOKUP(A939,Tickets[TripKey],Tickets[RouteLen]),0))</f>
        <v/>
      </c>
      <c r="J939">
        <f>IF(A939="","",IFERROR(XLOOKUP(A939,Tickets[TripKey],Tickets[Capacity]),0))</f>
        <v/>
      </c>
      <c r="K939">
        <f>IF(A939="","",I939*J939)</f>
        <v/>
      </c>
      <c r="L939">
        <f>IF(A939="","",IFERROR(MINIFS(Tickets[Trip Start Time],Tickets[TripKey],A939),""))</f>
        <v/>
      </c>
    </row>
    <row r="940">
      <c r="B940" s="8">
        <f>IF(A940="","",IFERROR(DATEVALUE(TEXTBEFORE(A940,"|")),--LEFT(A940,10)))</f>
        <v/>
      </c>
      <c r="C940">
        <f>IF(A940="","",TEXTBEFORE(TEXTAFTER(A940,"|"),"|"))</f>
        <v/>
      </c>
      <c r="D940">
        <f>IF(A940="","",TEXTAFTER(A940,"|",2))</f>
        <v/>
      </c>
      <c r="E940">
        <f>IF(A940="","",SUMIF(Tickets[TripKey],A940,Tickets[TP]))</f>
        <v/>
      </c>
      <c r="F940">
        <f>IF(A940="","",SUMIF(Tickets[TripKey],A940,Tickets[Revenue]))</f>
        <v/>
      </c>
      <c r="G940">
        <f>IF(A940="","",SUMIF(Tickets[TripKey],A940,Tickets[PK]))</f>
        <v/>
      </c>
      <c r="H940">
        <f>IF(A940="","",IFERROR(XLOOKUP(A940,Tickets[TripKey],Tickets[VehClean]),""))</f>
        <v/>
      </c>
      <c r="I940">
        <f>IF(A940="","",IFERROR(XLOOKUP(A940,Tickets[TripKey],Tickets[RouteLen]),0))</f>
        <v/>
      </c>
      <c r="J940">
        <f>IF(A940="","",IFERROR(XLOOKUP(A940,Tickets[TripKey],Tickets[Capacity]),0))</f>
        <v/>
      </c>
      <c r="K940">
        <f>IF(A940="","",I940*J940)</f>
        <v/>
      </c>
      <c r="L940">
        <f>IF(A940="","",IFERROR(MINIFS(Tickets[Trip Start Time],Tickets[TripKey],A940),""))</f>
        <v/>
      </c>
    </row>
    <row r="941">
      <c r="B941" s="8">
        <f>IF(A941="","",IFERROR(DATEVALUE(TEXTBEFORE(A941,"|")),--LEFT(A941,10)))</f>
        <v/>
      </c>
      <c r="C941">
        <f>IF(A941="","",TEXTBEFORE(TEXTAFTER(A941,"|"),"|"))</f>
        <v/>
      </c>
      <c r="D941">
        <f>IF(A941="","",TEXTAFTER(A941,"|",2))</f>
        <v/>
      </c>
      <c r="E941">
        <f>IF(A941="","",SUMIF(Tickets[TripKey],A941,Tickets[TP]))</f>
        <v/>
      </c>
      <c r="F941">
        <f>IF(A941="","",SUMIF(Tickets[TripKey],A941,Tickets[Revenue]))</f>
        <v/>
      </c>
      <c r="G941">
        <f>IF(A941="","",SUMIF(Tickets[TripKey],A941,Tickets[PK]))</f>
        <v/>
      </c>
      <c r="H941">
        <f>IF(A941="","",IFERROR(XLOOKUP(A941,Tickets[TripKey],Tickets[VehClean]),""))</f>
        <v/>
      </c>
      <c r="I941">
        <f>IF(A941="","",IFERROR(XLOOKUP(A941,Tickets[TripKey],Tickets[RouteLen]),0))</f>
        <v/>
      </c>
      <c r="J941">
        <f>IF(A941="","",IFERROR(XLOOKUP(A941,Tickets[TripKey],Tickets[Capacity]),0))</f>
        <v/>
      </c>
      <c r="K941">
        <f>IF(A941="","",I941*J941)</f>
        <v/>
      </c>
      <c r="L941">
        <f>IF(A941="","",IFERROR(MINIFS(Tickets[Trip Start Time],Tickets[TripKey],A941),""))</f>
        <v/>
      </c>
    </row>
    <row r="942">
      <c r="B942" s="8">
        <f>IF(A942="","",IFERROR(DATEVALUE(TEXTBEFORE(A942,"|")),--LEFT(A942,10)))</f>
        <v/>
      </c>
      <c r="C942">
        <f>IF(A942="","",TEXTBEFORE(TEXTAFTER(A942,"|"),"|"))</f>
        <v/>
      </c>
      <c r="D942">
        <f>IF(A942="","",TEXTAFTER(A942,"|",2))</f>
        <v/>
      </c>
      <c r="E942">
        <f>IF(A942="","",SUMIF(Tickets[TripKey],A942,Tickets[TP]))</f>
        <v/>
      </c>
      <c r="F942">
        <f>IF(A942="","",SUMIF(Tickets[TripKey],A942,Tickets[Revenue]))</f>
        <v/>
      </c>
      <c r="G942">
        <f>IF(A942="","",SUMIF(Tickets[TripKey],A942,Tickets[PK]))</f>
        <v/>
      </c>
      <c r="H942">
        <f>IF(A942="","",IFERROR(XLOOKUP(A942,Tickets[TripKey],Tickets[VehClean]),""))</f>
        <v/>
      </c>
      <c r="I942">
        <f>IF(A942="","",IFERROR(XLOOKUP(A942,Tickets[TripKey],Tickets[RouteLen]),0))</f>
        <v/>
      </c>
      <c r="J942">
        <f>IF(A942="","",IFERROR(XLOOKUP(A942,Tickets[TripKey],Tickets[Capacity]),0))</f>
        <v/>
      </c>
      <c r="K942">
        <f>IF(A942="","",I942*J942)</f>
        <v/>
      </c>
      <c r="L942">
        <f>IF(A942="","",IFERROR(MINIFS(Tickets[Trip Start Time],Tickets[TripKey],A942),""))</f>
        <v/>
      </c>
    </row>
    <row r="943">
      <c r="B943" s="8">
        <f>IF(A943="","",IFERROR(DATEVALUE(TEXTBEFORE(A943,"|")),--LEFT(A943,10)))</f>
        <v/>
      </c>
      <c r="C943">
        <f>IF(A943="","",TEXTBEFORE(TEXTAFTER(A943,"|"),"|"))</f>
        <v/>
      </c>
      <c r="D943">
        <f>IF(A943="","",TEXTAFTER(A943,"|",2))</f>
        <v/>
      </c>
      <c r="E943">
        <f>IF(A943="","",SUMIF(Tickets[TripKey],A943,Tickets[TP]))</f>
        <v/>
      </c>
      <c r="F943">
        <f>IF(A943="","",SUMIF(Tickets[TripKey],A943,Tickets[Revenue]))</f>
        <v/>
      </c>
      <c r="G943">
        <f>IF(A943="","",SUMIF(Tickets[TripKey],A943,Tickets[PK]))</f>
        <v/>
      </c>
      <c r="H943">
        <f>IF(A943="","",IFERROR(XLOOKUP(A943,Tickets[TripKey],Tickets[VehClean]),""))</f>
        <v/>
      </c>
      <c r="I943">
        <f>IF(A943="","",IFERROR(XLOOKUP(A943,Tickets[TripKey],Tickets[RouteLen]),0))</f>
        <v/>
      </c>
      <c r="J943">
        <f>IF(A943="","",IFERROR(XLOOKUP(A943,Tickets[TripKey],Tickets[Capacity]),0))</f>
        <v/>
      </c>
      <c r="K943">
        <f>IF(A943="","",I943*J943)</f>
        <v/>
      </c>
      <c r="L943">
        <f>IF(A943="","",IFERROR(MINIFS(Tickets[Trip Start Time],Tickets[TripKey],A943),""))</f>
        <v/>
      </c>
    </row>
    <row r="944">
      <c r="B944" s="8">
        <f>IF(A944="","",IFERROR(DATEVALUE(TEXTBEFORE(A944,"|")),--LEFT(A944,10)))</f>
        <v/>
      </c>
      <c r="C944">
        <f>IF(A944="","",TEXTBEFORE(TEXTAFTER(A944,"|"),"|"))</f>
        <v/>
      </c>
      <c r="D944">
        <f>IF(A944="","",TEXTAFTER(A944,"|",2))</f>
        <v/>
      </c>
      <c r="E944">
        <f>IF(A944="","",SUMIF(Tickets[TripKey],A944,Tickets[TP]))</f>
        <v/>
      </c>
      <c r="F944">
        <f>IF(A944="","",SUMIF(Tickets[TripKey],A944,Tickets[Revenue]))</f>
        <v/>
      </c>
      <c r="G944">
        <f>IF(A944="","",SUMIF(Tickets[TripKey],A944,Tickets[PK]))</f>
        <v/>
      </c>
      <c r="H944">
        <f>IF(A944="","",IFERROR(XLOOKUP(A944,Tickets[TripKey],Tickets[VehClean]),""))</f>
        <v/>
      </c>
      <c r="I944">
        <f>IF(A944="","",IFERROR(XLOOKUP(A944,Tickets[TripKey],Tickets[RouteLen]),0))</f>
        <v/>
      </c>
      <c r="J944">
        <f>IF(A944="","",IFERROR(XLOOKUP(A944,Tickets[TripKey],Tickets[Capacity]),0))</f>
        <v/>
      </c>
      <c r="K944">
        <f>IF(A944="","",I944*J944)</f>
        <v/>
      </c>
      <c r="L944">
        <f>IF(A944="","",IFERROR(MINIFS(Tickets[Trip Start Time],Tickets[TripKey],A944),""))</f>
        <v/>
      </c>
    </row>
    <row r="945">
      <c r="B945" s="8">
        <f>IF(A945="","",IFERROR(DATEVALUE(TEXTBEFORE(A945,"|")),--LEFT(A945,10)))</f>
        <v/>
      </c>
      <c r="C945">
        <f>IF(A945="","",TEXTBEFORE(TEXTAFTER(A945,"|"),"|"))</f>
        <v/>
      </c>
      <c r="D945">
        <f>IF(A945="","",TEXTAFTER(A945,"|",2))</f>
        <v/>
      </c>
      <c r="E945">
        <f>IF(A945="","",SUMIF(Tickets[TripKey],A945,Tickets[TP]))</f>
        <v/>
      </c>
      <c r="F945">
        <f>IF(A945="","",SUMIF(Tickets[TripKey],A945,Tickets[Revenue]))</f>
        <v/>
      </c>
      <c r="G945">
        <f>IF(A945="","",SUMIF(Tickets[TripKey],A945,Tickets[PK]))</f>
        <v/>
      </c>
      <c r="H945">
        <f>IF(A945="","",IFERROR(XLOOKUP(A945,Tickets[TripKey],Tickets[VehClean]),""))</f>
        <v/>
      </c>
      <c r="I945">
        <f>IF(A945="","",IFERROR(XLOOKUP(A945,Tickets[TripKey],Tickets[RouteLen]),0))</f>
        <v/>
      </c>
      <c r="J945">
        <f>IF(A945="","",IFERROR(XLOOKUP(A945,Tickets[TripKey],Tickets[Capacity]),0))</f>
        <v/>
      </c>
      <c r="K945">
        <f>IF(A945="","",I945*J945)</f>
        <v/>
      </c>
      <c r="L945">
        <f>IF(A945="","",IFERROR(MINIFS(Tickets[Trip Start Time],Tickets[TripKey],A945),""))</f>
        <v/>
      </c>
    </row>
    <row r="946">
      <c r="B946" s="8">
        <f>IF(A946="","",IFERROR(DATEVALUE(TEXTBEFORE(A946,"|")),--LEFT(A946,10)))</f>
        <v/>
      </c>
      <c r="C946">
        <f>IF(A946="","",TEXTBEFORE(TEXTAFTER(A946,"|"),"|"))</f>
        <v/>
      </c>
      <c r="D946">
        <f>IF(A946="","",TEXTAFTER(A946,"|",2))</f>
        <v/>
      </c>
      <c r="E946">
        <f>IF(A946="","",SUMIF(Tickets[TripKey],A946,Tickets[TP]))</f>
        <v/>
      </c>
      <c r="F946">
        <f>IF(A946="","",SUMIF(Tickets[TripKey],A946,Tickets[Revenue]))</f>
        <v/>
      </c>
      <c r="G946">
        <f>IF(A946="","",SUMIF(Tickets[TripKey],A946,Tickets[PK]))</f>
        <v/>
      </c>
      <c r="H946">
        <f>IF(A946="","",IFERROR(XLOOKUP(A946,Tickets[TripKey],Tickets[VehClean]),""))</f>
        <v/>
      </c>
      <c r="I946">
        <f>IF(A946="","",IFERROR(XLOOKUP(A946,Tickets[TripKey],Tickets[RouteLen]),0))</f>
        <v/>
      </c>
      <c r="J946">
        <f>IF(A946="","",IFERROR(XLOOKUP(A946,Tickets[TripKey],Tickets[Capacity]),0))</f>
        <v/>
      </c>
      <c r="K946">
        <f>IF(A946="","",I946*J946)</f>
        <v/>
      </c>
      <c r="L946">
        <f>IF(A946="","",IFERROR(MINIFS(Tickets[Trip Start Time],Tickets[TripKey],A946),""))</f>
        <v/>
      </c>
    </row>
    <row r="947">
      <c r="B947" s="8">
        <f>IF(A947="","",IFERROR(DATEVALUE(TEXTBEFORE(A947,"|")),--LEFT(A947,10)))</f>
        <v/>
      </c>
      <c r="C947">
        <f>IF(A947="","",TEXTBEFORE(TEXTAFTER(A947,"|"),"|"))</f>
        <v/>
      </c>
      <c r="D947">
        <f>IF(A947="","",TEXTAFTER(A947,"|",2))</f>
        <v/>
      </c>
      <c r="E947">
        <f>IF(A947="","",SUMIF(Tickets[TripKey],A947,Tickets[TP]))</f>
        <v/>
      </c>
      <c r="F947">
        <f>IF(A947="","",SUMIF(Tickets[TripKey],A947,Tickets[Revenue]))</f>
        <v/>
      </c>
      <c r="G947">
        <f>IF(A947="","",SUMIF(Tickets[TripKey],A947,Tickets[PK]))</f>
        <v/>
      </c>
      <c r="H947">
        <f>IF(A947="","",IFERROR(XLOOKUP(A947,Tickets[TripKey],Tickets[VehClean]),""))</f>
        <v/>
      </c>
      <c r="I947">
        <f>IF(A947="","",IFERROR(XLOOKUP(A947,Tickets[TripKey],Tickets[RouteLen]),0))</f>
        <v/>
      </c>
      <c r="J947">
        <f>IF(A947="","",IFERROR(XLOOKUP(A947,Tickets[TripKey],Tickets[Capacity]),0))</f>
        <v/>
      </c>
      <c r="K947">
        <f>IF(A947="","",I947*J947)</f>
        <v/>
      </c>
      <c r="L947">
        <f>IF(A947="","",IFERROR(MINIFS(Tickets[Trip Start Time],Tickets[TripKey],A947),""))</f>
        <v/>
      </c>
    </row>
    <row r="948">
      <c r="B948" s="8">
        <f>IF(A948="","",IFERROR(DATEVALUE(TEXTBEFORE(A948,"|")),--LEFT(A948,10)))</f>
        <v/>
      </c>
      <c r="C948">
        <f>IF(A948="","",TEXTBEFORE(TEXTAFTER(A948,"|"),"|"))</f>
        <v/>
      </c>
      <c r="D948">
        <f>IF(A948="","",TEXTAFTER(A948,"|",2))</f>
        <v/>
      </c>
      <c r="E948">
        <f>IF(A948="","",SUMIF(Tickets[TripKey],A948,Tickets[TP]))</f>
        <v/>
      </c>
      <c r="F948">
        <f>IF(A948="","",SUMIF(Tickets[TripKey],A948,Tickets[Revenue]))</f>
        <v/>
      </c>
      <c r="G948">
        <f>IF(A948="","",SUMIF(Tickets[TripKey],A948,Tickets[PK]))</f>
        <v/>
      </c>
      <c r="H948">
        <f>IF(A948="","",IFERROR(XLOOKUP(A948,Tickets[TripKey],Tickets[VehClean]),""))</f>
        <v/>
      </c>
      <c r="I948">
        <f>IF(A948="","",IFERROR(XLOOKUP(A948,Tickets[TripKey],Tickets[RouteLen]),0))</f>
        <v/>
      </c>
      <c r="J948">
        <f>IF(A948="","",IFERROR(XLOOKUP(A948,Tickets[TripKey],Tickets[Capacity]),0))</f>
        <v/>
      </c>
      <c r="K948">
        <f>IF(A948="","",I948*J948)</f>
        <v/>
      </c>
      <c r="L948">
        <f>IF(A948="","",IFERROR(MINIFS(Tickets[Trip Start Time],Tickets[TripKey],A948),""))</f>
        <v/>
      </c>
    </row>
    <row r="949">
      <c r="B949" s="8">
        <f>IF(A949="","",IFERROR(DATEVALUE(TEXTBEFORE(A949,"|")),--LEFT(A949,10)))</f>
        <v/>
      </c>
      <c r="C949">
        <f>IF(A949="","",TEXTBEFORE(TEXTAFTER(A949,"|"),"|"))</f>
        <v/>
      </c>
      <c r="D949">
        <f>IF(A949="","",TEXTAFTER(A949,"|",2))</f>
        <v/>
      </c>
      <c r="E949">
        <f>IF(A949="","",SUMIF(Tickets[TripKey],A949,Tickets[TP]))</f>
        <v/>
      </c>
      <c r="F949">
        <f>IF(A949="","",SUMIF(Tickets[TripKey],A949,Tickets[Revenue]))</f>
        <v/>
      </c>
      <c r="G949">
        <f>IF(A949="","",SUMIF(Tickets[TripKey],A949,Tickets[PK]))</f>
        <v/>
      </c>
      <c r="H949">
        <f>IF(A949="","",IFERROR(XLOOKUP(A949,Tickets[TripKey],Tickets[VehClean]),""))</f>
        <v/>
      </c>
      <c r="I949">
        <f>IF(A949="","",IFERROR(XLOOKUP(A949,Tickets[TripKey],Tickets[RouteLen]),0))</f>
        <v/>
      </c>
      <c r="J949">
        <f>IF(A949="","",IFERROR(XLOOKUP(A949,Tickets[TripKey],Tickets[Capacity]),0))</f>
        <v/>
      </c>
      <c r="K949">
        <f>IF(A949="","",I949*J949)</f>
        <v/>
      </c>
      <c r="L949">
        <f>IF(A949="","",IFERROR(MINIFS(Tickets[Trip Start Time],Tickets[TripKey],A949),""))</f>
        <v/>
      </c>
    </row>
    <row r="950">
      <c r="B950" s="8">
        <f>IF(A950="","",IFERROR(DATEVALUE(TEXTBEFORE(A950,"|")),--LEFT(A950,10)))</f>
        <v/>
      </c>
      <c r="C950">
        <f>IF(A950="","",TEXTBEFORE(TEXTAFTER(A950,"|"),"|"))</f>
        <v/>
      </c>
      <c r="D950">
        <f>IF(A950="","",TEXTAFTER(A950,"|",2))</f>
        <v/>
      </c>
      <c r="E950">
        <f>IF(A950="","",SUMIF(Tickets[TripKey],A950,Tickets[TP]))</f>
        <v/>
      </c>
      <c r="F950">
        <f>IF(A950="","",SUMIF(Tickets[TripKey],A950,Tickets[Revenue]))</f>
        <v/>
      </c>
      <c r="G950">
        <f>IF(A950="","",SUMIF(Tickets[TripKey],A950,Tickets[PK]))</f>
        <v/>
      </c>
      <c r="H950">
        <f>IF(A950="","",IFERROR(XLOOKUP(A950,Tickets[TripKey],Tickets[VehClean]),""))</f>
        <v/>
      </c>
      <c r="I950">
        <f>IF(A950="","",IFERROR(XLOOKUP(A950,Tickets[TripKey],Tickets[RouteLen]),0))</f>
        <v/>
      </c>
      <c r="J950">
        <f>IF(A950="","",IFERROR(XLOOKUP(A950,Tickets[TripKey],Tickets[Capacity]),0))</f>
        <v/>
      </c>
      <c r="K950">
        <f>IF(A950="","",I950*J950)</f>
        <v/>
      </c>
      <c r="L950">
        <f>IF(A950="","",IFERROR(MINIFS(Tickets[Trip Start Time],Tickets[TripKey],A950),""))</f>
        <v/>
      </c>
    </row>
    <row r="951">
      <c r="B951" s="8">
        <f>IF(A951="","",IFERROR(DATEVALUE(TEXTBEFORE(A951,"|")),--LEFT(A951,10)))</f>
        <v/>
      </c>
      <c r="C951">
        <f>IF(A951="","",TEXTBEFORE(TEXTAFTER(A951,"|"),"|"))</f>
        <v/>
      </c>
      <c r="D951">
        <f>IF(A951="","",TEXTAFTER(A951,"|",2))</f>
        <v/>
      </c>
      <c r="E951">
        <f>IF(A951="","",SUMIF(Tickets[TripKey],A951,Tickets[TP]))</f>
        <v/>
      </c>
      <c r="F951">
        <f>IF(A951="","",SUMIF(Tickets[TripKey],A951,Tickets[Revenue]))</f>
        <v/>
      </c>
      <c r="G951">
        <f>IF(A951="","",SUMIF(Tickets[TripKey],A951,Tickets[PK]))</f>
        <v/>
      </c>
      <c r="H951">
        <f>IF(A951="","",IFERROR(XLOOKUP(A951,Tickets[TripKey],Tickets[VehClean]),""))</f>
        <v/>
      </c>
      <c r="I951">
        <f>IF(A951="","",IFERROR(XLOOKUP(A951,Tickets[TripKey],Tickets[RouteLen]),0))</f>
        <v/>
      </c>
      <c r="J951">
        <f>IF(A951="","",IFERROR(XLOOKUP(A951,Tickets[TripKey],Tickets[Capacity]),0))</f>
        <v/>
      </c>
      <c r="K951">
        <f>IF(A951="","",I951*J951)</f>
        <v/>
      </c>
      <c r="L951">
        <f>IF(A951="","",IFERROR(MINIFS(Tickets[Trip Start Time],Tickets[TripKey],A951),""))</f>
        <v/>
      </c>
    </row>
    <row r="952">
      <c r="B952" s="8">
        <f>IF(A952="","",IFERROR(DATEVALUE(TEXTBEFORE(A952,"|")),--LEFT(A952,10)))</f>
        <v/>
      </c>
      <c r="C952">
        <f>IF(A952="","",TEXTBEFORE(TEXTAFTER(A952,"|"),"|"))</f>
        <v/>
      </c>
      <c r="D952">
        <f>IF(A952="","",TEXTAFTER(A952,"|",2))</f>
        <v/>
      </c>
      <c r="E952">
        <f>IF(A952="","",SUMIF(Tickets[TripKey],A952,Tickets[TP]))</f>
        <v/>
      </c>
      <c r="F952">
        <f>IF(A952="","",SUMIF(Tickets[TripKey],A952,Tickets[Revenue]))</f>
        <v/>
      </c>
      <c r="G952">
        <f>IF(A952="","",SUMIF(Tickets[TripKey],A952,Tickets[PK]))</f>
        <v/>
      </c>
      <c r="H952">
        <f>IF(A952="","",IFERROR(XLOOKUP(A952,Tickets[TripKey],Tickets[VehClean]),""))</f>
        <v/>
      </c>
      <c r="I952">
        <f>IF(A952="","",IFERROR(XLOOKUP(A952,Tickets[TripKey],Tickets[RouteLen]),0))</f>
        <v/>
      </c>
      <c r="J952">
        <f>IF(A952="","",IFERROR(XLOOKUP(A952,Tickets[TripKey],Tickets[Capacity]),0))</f>
        <v/>
      </c>
      <c r="K952">
        <f>IF(A952="","",I952*J952)</f>
        <v/>
      </c>
      <c r="L952">
        <f>IF(A952="","",IFERROR(MINIFS(Tickets[Trip Start Time],Tickets[TripKey],A952),""))</f>
        <v/>
      </c>
    </row>
    <row r="953">
      <c r="B953" s="8">
        <f>IF(A953="","",IFERROR(DATEVALUE(TEXTBEFORE(A953,"|")),--LEFT(A953,10)))</f>
        <v/>
      </c>
      <c r="C953">
        <f>IF(A953="","",TEXTBEFORE(TEXTAFTER(A953,"|"),"|"))</f>
        <v/>
      </c>
      <c r="D953">
        <f>IF(A953="","",TEXTAFTER(A953,"|",2))</f>
        <v/>
      </c>
      <c r="E953">
        <f>IF(A953="","",SUMIF(Tickets[TripKey],A953,Tickets[TP]))</f>
        <v/>
      </c>
      <c r="F953">
        <f>IF(A953="","",SUMIF(Tickets[TripKey],A953,Tickets[Revenue]))</f>
        <v/>
      </c>
      <c r="G953">
        <f>IF(A953="","",SUMIF(Tickets[TripKey],A953,Tickets[PK]))</f>
        <v/>
      </c>
      <c r="H953">
        <f>IF(A953="","",IFERROR(XLOOKUP(A953,Tickets[TripKey],Tickets[VehClean]),""))</f>
        <v/>
      </c>
      <c r="I953">
        <f>IF(A953="","",IFERROR(XLOOKUP(A953,Tickets[TripKey],Tickets[RouteLen]),0))</f>
        <v/>
      </c>
      <c r="J953">
        <f>IF(A953="","",IFERROR(XLOOKUP(A953,Tickets[TripKey],Tickets[Capacity]),0))</f>
        <v/>
      </c>
      <c r="K953">
        <f>IF(A953="","",I953*J953)</f>
        <v/>
      </c>
      <c r="L953">
        <f>IF(A953="","",IFERROR(MINIFS(Tickets[Trip Start Time],Tickets[TripKey],A953),""))</f>
        <v/>
      </c>
    </row>
    <row r="954">
      <c r="B954" s="8">
        <f>IF(A954="","",IFERROR(DATEVALUE(TEXTBEFORE(A954,"|")),--LEFT(A954,10)))</f>
        <v/>
      </c>
      <c r="C954">
        <f>IF(A954="","",TEXTBEFORE(TEXTAFTER(A954,"|"),"|"))</f>
        <v/>
      </c>
      <c r="D954">
        <f>IF(A954="","",TEXTAFTER(A954,"|",2))</f>
        <v/>
      </c>
      <c r="E954">
        <f>IF(A954="","",SUMIF(Tickets[TripKey],A954,Tickets[TP]))</f>
        <v/>
      </c>
      <c r="F954">
        <f>IF(A954="","",SUMIF(Tickets[TripKey],A954,Tickets[Revenue]))</f>
        <v/>
      </c>
      <c r="G954">
        <f>IF(A954="","",SUMIF(Tickets[TripKey],A954,Tickets[PK]))</f>
        <v/>
      </c>
      <c r="H954">
        <f>IF(A954="","",IFERROR(XLOOKUP(A954,Tickets[TripKey],Tickets[VehClean]),""))</f>
        <v/>
      </c>
      <c r="I954">
        <f>IF(A954="","",IFERROR(XLOOKUP(A954,Tickets[TripKey],Tickets[RouteLen]),0))</f>
        <v/>
      </c>
      <c r="J954">
        <f>IF(A954="","",IFERROR(XLOOKUP(A954,Tickets[TripKey],Tickets[Capacity]),0))</f>
        <v/>
      </c>
      <c r="K954">
        <f>IF(A954="","",I954*J954)</f>
        <v/>
      </c>
      <c r="L954">
        <f>IF(A954="","",IFERROR(MINIFS(Tickets[Trip Start Time],Tickets[TripKey],A954),""))</f>
        <v/>
      </c>
    </row>
    <row r="955">
      <c r="B955" s="8">
        <f>IF(A955="","",IFERROR(DATEVALUE(TEXTBEFORE(A955,"|")),--LEFT(A955,10)))</f>
        <v/>
      </c>
      <c r="C955">
        <f>IF(A955="","",TEXTBEFORE(TEXTAFTER(A955,"|"),"|"))</f>
        <v/>
      </c>
      <c r="D955">
        <f>IF(A955="","",TEXTAFTER(A955,"|",2))</f>
        <v/>
      </c>
      <c r="E955">
        <f>IF(A955="","",SUMIF(Tickets[TripKey],A955,Tickets[TP]))</f>
        <v/>
      </c>
      <c r="F955">
        <f>IF(A955="","",SUMIF(Tickets[TripKey],A955,Tickets[Revenue]))</f>
        <v/>
      </c>
      <c r="G955">
        <f>IF(A955="","",SUMIF(Tickets[TripKey],A955,Tickets[PK]))</f>
        <v/>
      </c>
      <c r="H955">
        <f>IF(A955="","",IFERROR(XLOOKUP(A955,Tickets[TripKey],Tickets[VehClean]),""))</f>
        <v/>
      </c>
      <c r="I955">
        <f>IF(A955="","",IFERROR(XLOOKUP(A955,Tickets[TripKey],Tickets[RouteLen]),0))</f>
        <v/>
      </c>
      <c r="J955">
        <f>IF(A955="","",IFERROR(XLOOKUP(A955,Tickets[TripKey],Tickets[Capacity]),0))</f>
        <v/>
      </c>
      <c r="K955">
        <f>IF(A955="","",I955*J955)</f>
        <v/>
      </c>
      <c r="L955">
        <f>IF(A955="","",IFERROR(MINIFS(Tickets[Trip Start Time],Tickets[TripKey],A955),""))</f>
        <v/>
      </c>
    </row>
    <row r="956">
      <c r="B956" s="8">
        <f>IF(A956="","",IFERROR(DATEVALUE(TEXTBEFORE(A956,"|")),--LEFT(A956,10)))</f>
        <v/>
      </c>
      <c r="C956">
        <f>IF(A956="","",TEXTBEFORE(TEXTAFTER(A956,"|"),"|"))</f>
        <v/>
      </c>
      <c r="D956">
        <f>IF(A956="","",TEXTAFTER(A956,"|",2))</f>
        <v/>
      </c>
      <c r="E956">
        <f>IF(A956="","",SUMIF(Tickets[TripKey],A956,Tickets[TP]))</f>
        <v/>
      </c>
      <c r="F956">
        <f>IF(A956="","",SUMIF(Tickets[TripKey],A956,Tickets[Revenue]))</f>
        <v/>
      </c>
      <c r="G956">
        <f>IF(A956="","",SUMIF(Tickets[TripKey],A956,Tickets[PK]))</f>
        <v/>
      </c>
      <c r="H956">
        <f>IF(A956="","",IFERROR(XLOOKUP(A956,Tickets[TripKey],Tickets[VehClean]),""))</f>
        <v/>
      </c>
      <c r="I956">
        <f>IF(A956="","",IFERROR(XLOOKUP(A956,Tickets[TripKey],Tickets[RouteLen]),0))</f>
        <v/>
      </c>
      <c r="J956">
        <f>IF(A956="","",IFERROR(XLOOKUP(A956,Tickets[TripKey],Tickets[Capacity]),0))</f>
        <v/>
      </c>
      <c r="K956">
        <f>IF(A956="","",I956*J956)</f>
        <v/>
      </c>
      <c r="L956">
        <f>IF(A956="","",IFERROR(MINIFS(Tickets[Trip Start Time],Tickets[TripKey],A956),""))</f>
        <v/>
      </c>
    </row>
    <row r="957">
      <c r="B957" s="8">
        <f>IF(A957="","",IFERROR(DATEVALUE(TEXTBEFORE(A957,"|")),--LEFT(A957,10)))</f>
        <v/>
      </c>
      <c r="C957">
        <f>IF(A957="","",TEXTBEFORE(TEXTAFTER(A957,"|"),"|"))</f>
        <v/>
      </c>
      <c r="D957">
        <f>IF(A957="","",TEXTAFTER(A957,"|",2))</f>
        <v/>
      </c>
      <c r="E957">
        <f>IF(A957="","",SUMIF(Tickets[TripKey],A957,Tickets[TP]))</f>
        <v/>
      </c>
      <c r="F957">
        <f>IF(A957="","",SUMIF(Tickets[TripKey],A957,Tickets[Revenue]))</f>
        <v/>
      </c>
      <c r="G957">
        <f>IF(A957="","",SUMIF(Tickets[TripKey],A957,Tickets[PK]))</f>
        <v/>
      </c>
      <c r="H957">
        <f>IF(A957="","",IFERROR(XLOOKUP(A957,Tickets[TripKey],Tickets[VehClean]),""))</f>
        <v/>
      </c>
      <c r="I957">
        <f>IF(A957="","",IFERROR(XLOOKUP(A957,Tickets[TripKey],Tickets[RouteLen]),0))</f>
        <v/>
      </c>
      <c r="J957">
        <f>IF(A957="","",IFERROR(XLOOKUP(A957,Tickets[TripKey],Tickets[Capacity]),0))</f>
        <v/>
      </c>
      <c r="K957">
        <f>IF(A957="","",I957*J957)</f>
        <v/>
      </c>
      <c r="L957">
        <f>IF(A957="","",IFERROR(MINIFS(Tickets[Trip Start Time],Tickets[TripKey],A957),""))</f>
        <v/>
      </c>
    </row>
    <row r="958">
      <c r="B958" s="8">
        <f>IF(A958="","",IFERROR(DATEVALUE(TEXTBEFORE(A958,"|")),--LEFT(A958,10)))</f>
        <v/>
      </c>
      <c r="C958">
        <f>IF(A958="","",TEXTBEFORE(TEXTAFTER(A958,"|"),"|"))</f>
        <v/>
      </c>
      <c r="D958">
        <f>IF(A958="","",TEXTAFTER(A958,"|",2))</f>
        <v/>
      </c>
      <c r="E958">
        <f>IF(A958="","",SUMIF(Tickets[TripKey],A958,Tickets[TP]))</f>
        <v/>
      </c>
      <c r="F958">
        <f>IF(A958="","",SUMIF(Tickets[TripKey],A958,Tickets[Revenue]))</f>
        <v/>
      </c>
      <c r="G958">
        <f>IF(A958="","",SUMIF(Tickets[TripKey],A958,Tickets[PK]))</f>
        <v/>
      </c>
      <c r="H958">
        <f>IF(A958="","",IFERROR(XLOOKUP(A958,Tickets[TripKey],Tickets[VehClean]),""))</f>
        <v/>
      </c>
      <c r="I958">
        <f>IF(A958="","",IFERROR(XLOOKUP(A958,Tickets[TripKey],Tickets[RouteLen]),0))</f>
        <v/>
      </c>
      <c r="J958">
        <f>IF(A958="","",IFERROR(XLOOKUP(A958,Tickets[TripKey],Tickets[Capacity]),0))</f>
        <v/>
      </c>
      <c r="K958">
        <f>IF(A958="","",I958*J958)</f>
        <v/>
      </c>
      <c r="L958">
        <f>IF(A958="","",IFERROR(MINIFS(Tickets[Trip Start Time],Tickets[TripKey],A958),""))</f>
        <v/>
      </c>
    </row>
    <row r="959">
      <c r="B959" s="8">
        <f>IF(A959="","",IFERROR(DATEVALUE(TEXTBEFORE(A959,"|")),--LEFT(A959,10)))</f>
        <v/>
      </c>
      <c r="C959">
        <f>IF(A959="","",TEXTBEFORE(TEXTAFTER(A959,"|"),"|"))</f>
        <v/>
      </c>
      <c r="D959">
        <f>IF(A959="","",TEXTAFTER(A959,"|",2))</f>
        <v/>
      </c>
      <c r="E959">
        <f>IF(A959="","",SUMIF(Tickets[TripKey],A959,Tickets[TP]))</f>
        <v/>
      </c>
      <c r="F959">
        <f>IF(A959="","",SUMIF(Tickets[TripKey],A959,Tickets[Revenue]))</f>
        <v/>
      </c>
      <c r="G959">
        <f>IF(A959="","",SUMIF(Tickets[TripKey],A959,Tickets[PK]))</f>
        <v/>
      </c>
      <c r="H959">
        <f>IF(A959="","",IFERROR(XLOOKUP(A959,Tickets[TripKey],Tickets[VehClean]),""))</f>
        <v/>
      </c>
      <c r="I959">
        <f>IF(A959="","",IFERROR(XLOOKUP(A959,Tickets[TripKey],Tickets[RouteLen]),0))</f>
        <v/>
      </c>
      <c r="J959">
        <f>IF(A959="","",IFERROR(XLOOKUP(A959,Tickets[TripKey],Tickets[Capacity]),0))</f>
        <v/>
      </c>
      <c r="K959">
        <f>IF(A959="","",I959*J959)</f>
        <v/>
      </c>
      <c r="L959">
        <f>IF(A959="","",IFERROR(MINIFS(Tickets[Trip Start Time],Tickets[TripKey],A959),""))</f>
        <v/>
      </c>
    </row>
    <row r="960">
      <c r="B960" s="8">
        <f>IF(A960="","",IFERROR(DATEVALUE(TEXTBEFORE(A960,"|")),--LEFT(A960,10)))</f>
        <v/>
      </c>
      <c r="C960">
        <f>IF(A960="","",TEXTBEFORE(TEXTAFTER(A960,"|"),"|"))</f>
        <v/>
      </c>
      <c r="D960">
        <f>IF(A960="","",TEXTAFTER(A960,"|",2))</f>
        <v/>
      </c>
      <c r="E960">
        <f>IF(A960="","",SUMIF(Tickets[TripKey],A960,Tickets[TP]))</f>
        <v/>
      </c>
      <c r="F960">
        <f>IF(A960="","",SUMIF(Tickets[TripKey],A960,Tickets[Revenue]))</f>
        <v/>
      </c>
      <c r="G960">
        <f>IF(A960="","",SUMIF(Tickets[TripKey],A960,Tickets[PK]))</f>
        <v/>
      </c>
      <c r="H960">
        <f>IF(A960="","",IFERROR(XLOOKUP(A960,Tickets[TripKey],Tickets[VehClean]),""))</f>
        <v/>
      </c>
      <c r="I960">
        <f>IF(A960="","",IFERROR(XLOOKUP(A960,Tickets[TripKey],Tickets[RouteLen]),0))</f>
        <v/>
      </c>
      <c r="J960">
        <f>IF(A960="","",IFERROR(XLOOKUP(A960,Tickets[TripKey],Tickets[Capacity]),0))</f>
        <v/>
      </c>
      <c r="K960">
        <f>IF(A960="","",I960*J960)</f>
        <v/>
      </c>
      <c r="L960">
        <f>IF(A960="","",IFERROR(MINIFS(Tickets[Trip Start Time],Tickets[TripKey],A960),""))</f>
        <v/>
      </c>
    </row>
    <row r="961">
      <c r="B961" s="8">
        <f>IF(A961="","",IFERROR(DATEVALUE(TEXTBEFORE(A961,"|")),--LEFT(A961,10)))</f>
        <v/>
      </c>
      <c r="C961">
        <f>IF(A961="","",TEXTBEFORE(TEXTAFTER(A961,"|"),"|"))</f>
        <v/>
      </c>
      <c r="D961">
        <f>IF(A961="","",TEXTAFTER(A961,"|",2))</f>
        <v/>
      </c>
      <c r="E961">
        <f>IF(A961="","",SUMIF(Tickets[TripKey],A961,Tickets[TP]))</f>
        <v/>
      </c>
      <c r="F961">
        <f>IF(A961="","",SUMIF(Tickets[TripKey],A961,Tickets[Revenue]))</f>
        <v/>
      </c>
      <c r="G961">
        <f>IF(A961="","",SUMIF(Tickets[TripKey],A961,Tickets[PK]))</f>
        <v/>
      </c>
      <c r="H961">
        <f>IF(A961="","",IFERROR(XLOOKUP(A961,Tickets[TripKey],Tickets[VehClean]),""))</f>
        <v/>
      </c>
      <c r="I961">
        <f>IF(A961="","",IFERROR(XLOOKUP(A961,Tickets[TripKey],Tickets[RouteLen]),0))</f>
        <v/>
      </c>
      <c r="J961">
        <f>IF(A961="","",IFERROR(XLOOKUP(A961,Tickets[TripKey],Tickets[Capacity]),0))</f>
        <v/>
      </c>
      <c r="K961">
        <f>IF(A961="","",I961*J961)</f>
        <v/>
      </c>
      <c r="L961">
        <f>IF(A961="","",IFERROR(MINIFS(Tickets[Trip Start Time],Tickets[TripKey],A961),""))</f>
        <v/>
      </c>
    </row>
    <row r="962">
      <c r="B962" s="8">
        <f>IF(A962="","",IFERROR(DATEVALUE(TEXTBEFORE(A962,"|")),--LEFT(A962,10)))</f>
        <v/>
      </c>
      <c r="C962">
        <f>IF(A962="","",TEXTBEFORE(TEXTAFTER(A962,"|"),"|"))</f>
        <v/>
      </c>
      <c r="D962">
        <f>IF(A962="","",TEXTAFTER(A962,"|",2))</f>
        <v/>
      </c>
      <c r="E962">
        <f>IF(A962="","",SUMIF(Tickets[TripKey],A962,Tickets[TP]))</f>
        <v/>
      </c>
      <c r="F962">
        <f>IF(A962="","",SUMIF(Tickets[TripKey],A962,Tickets[Revenue]))</f>
        <v/>
      </c>
      <c r="G962">
        <f>IF(A962="","",SUMIF(Tickets[TripKey],A962,Tickets[PK]))</f>
        <v/>
      </c>
      <c r="H962">
        <f>IF(A962="","",IFERROR(XLOOKUP(A962,Tickets[TripKey],Tickets[VehClean]),""))</f>
        <v/>
      </c>
      <c r="I962">
        <f>IF(A962="","",IFERROR(XLOOKUP(A962,Tickets[TripKey],Tickets[RouteLen]),0))</f>
        <v/>
      </c>
      <c r="J962">
        <f>IF(A962="","",IFERROR(XLOOKUP(A962,Tickets[TripKey],Tickets[Capacity]),0))</f>
        <v/>
      </c>
      <c r="K962">
        <f>IF(A962="","",I962*J962)</f>
        <v/>
      </c>
      <c r="L962">
        <f>IF(A962="","",IFERROR(MINIFS(Tickets[Trip Start Time],Tickets[TripKey],A962),""))</f>
        <v/>
      </c>
    </row>
    <row r="963">
      <c r="B963" s="8">
        <f>IF(A963="","",IFERROR(DATEVALUE(TEXTBEFORE(A963,"|")),--LEFT(A963,10)))</f>
        <v/>
      </c>
      <c r="C963">
        <f>IF(A963="","",TEXTBEFORE(TEXTAFTER(A963,"|"),"|"))</f>
        <v/>
      </c>
      <c r="D963">
        <f>IF(A963="","",TEXTAFTER(A963,"|",2))</f>
        <v/>
      </c>
      <c r="E963">
        <f>IF(A963="","",SUMIF(Tickets[TripKey],A963,Tickets[TP]))</f>
        <v/>
      </c>
      <c r="F963">
        <f>IF(A963="","",SUMIF(Tickets[TripKey],A963,Tickets[Revenue]))</f>
        <v/>
      </c>
      <c r="G963">
        <f>IF(A963="","",SUMIF(Tickets[TripKey],A963,Tickets[PK]))</f>
        <v/>
      </c>
      <c r="H963">
        <f>IF(A963="","",IFERROR(XLOOKUP(A963,Tickets[TripKey],Tickets[VehClean]),""))</f>
        <v/>
      </c>
      <c r="I963">
        <f>IF(A963="","",IFERROR(XLOOKUP(A963,Tickets[TripKey],Tickets[RouteLen]),0))</f>
        <v/>
      </c>
      <c r="J963">
        <f>IF(A963="","",IFERROR(XLOOKUP(A963,Tickets[TripKey],Tickets[Capacity]),0))</f>
        <v/>
      </c>
      <c r="K963">
        <f>IF(A963="","",I963*J963)</f>
        <v/>
      </c>
      <c r="L963">
        <f>IF(A963="","",IFERROR(MINIFS(Tickets[Trip Start Time],Tickets[TripKey],A963),""))</f>
        <v/>
      </c>
    </row>
    <row r="964">
      <c r="B964" s="8">
        <f>IF(A964="","",IFERROR(DATEVALUE(TEXTBEFORE(A964,"|")),--LEFT(A964,10)))</f>
        <v/>
      </c>
      <c r="C964">
        <f>IF(A964="","",TEXTBEFORE(TEXTAFTER(A964,"|"),"|"))</f>
        <v/>
      </c>
      <c r="D964">
        <f>IF(A964="","",TEXTAFTER(A964,"|",2))</f>
        <v/>
      </c>
      <c r="E964">
        <f>IF(A964="","",SUMIF(Tickets[TripKey],A964,Tickets[TP]))</f>
        <v/>
      </c>
      <c r="F964">
        <f>IF(A964="","",SUMIF(Tickets[TripKey],A964,Tickets[Revenue]))</f>
        <v/>
      </c>
      <c r="G964">
        <f>IF(A964="","",SUMIF(Tickets[TripKey],A964,Tickets[PK]))</f>
        <v/>
      </c>
      <c r="H964">
        <f>IF(A964="","",IFERROR(XLOOKUP(A964,Tickets[TripKey],Tickets[VehClean]),""))</f>
        <v/>
      </c>
      <c r="I964">
        <f>IF(A964="","",IFERROR(XLOOKUP(A964,Tickets[TripKey],Tickets[RouteLen]),0))</f>
        <v/>
      </c>
      <c r="J964">
        <f>IF(A964="","",IFERROR(XLOOKUP(A964,Tickets[TripKey],Tickets[Capacity]),0))</f>
        <v/>
      </c>
      <c r="K964">
        <f>IF(A964="","",I964*J964)</f>
        <v/>
      </c>
      <c r="L964">
        <f>IF(A964="","",IFERROR(MINIFS(Tickets[Trip Start Time],Tickets[TripKey],A964),""))</f>
        <v/>
      </c>
    </row>
    <row r="965">
      <c r="B965" s="8">
        <f>IF(A965="","",IFERROR(DATEVALUE(TEXTBEFORE(A965,"|")),--LEFT(A965,10)))</f>
        <v/>
      </c>
      <c r="C965">
        <f>IF(A965="","",TEXTBEFORE(TEXTAFTER(A965,"|"),"|"))</f>
        <v/>
      </c>
      <c r="D965">
        <f>IF(A965="","",TEXTAFTER(A965,"|",2))</f>
        <v/>
      </c>
      <c r="E965">
        <f>IF(A965="","",SUMIF(Tickets[TripKey],A965,Tickets[TP]))</f>
        <v/>
      </c>
      <c r="F965">
        <f>IF(A965="","",SUMIF(Tickets[TripKey],A965,Tickets[Revenue]))</f>
        <v/>
      </c>
      <c r="G965">
        <f>IF(A965="","",SUMIF(Tickets[TripKey],A965,Tickets[PK]))</f>
        <v/>
      </c>
      <c r="H965">
        <f>IF(A965="","",IFERROR(XLOOKUP(A965,Tickets[TripKey],Tickets[VehClean]),""))</f>
        <v/>
      </c>
      <c r="I965">
        <f>IF(A965="","",IFERROR(XLOOKUP(A965,Tickets[TripKey],Tickets[RouteLen]),0))</f>
        <v/>
      </c>
      <c r="J965">
        <f>IF(A965="","",IFERROR(XLOOKUP(A965,Tickets[TripKey],Tickets[Capacity]),0))</f>
        <v/>
      </c>
      <c r="K965">
        <f>IF(A965="","",I965*J965)</f>
        <v/>
      </c>
      <c r="L965">
        <f>IF(A965="","",IFERROR(MINIFS(Tickets[Trip Start Time],Tickets[TripKey],A965),""))</f>
        <v/>
      </c>
    </row>
    <row r="966">
      <c r="B966" s="8">
        <f>IF(A966="","",IFERROR(DATEVALUE(TEXTBEFORE(A966,"|")),--LEFT(A966,10)))</f>
        <v/>
      </c>
      <c r="C966">
        <f>IF(A966="","",TEXTBEFORE(TEXTAFTER(A966,"|"),"|"))</f>
        <v/>
      </c>
      <c r="D966">
        <f>IF(A966="","",TEXTAFTER(A966,"|",2))</f>
        <v/>
      </c>
      <c r="E966">
        <f>IF(A966="","",SUMIF(Tickets[TripKey],A966,Tickets[TP]))</f>
        <v/>
      </c>
      <c r="F966">
        <f>IF(A966="","",SUMIF(Tickets[TripKey],A966,Tickets[Revenue]))</f>
        <v/>
      </c>
      <c r="G966">
        <f>IF(A966="","",SUMIF(Tickets[TripKey],A966,Tickets[PK]))</f>
        <v/>
      </c>
      <c r="H966">
        <f>IF(A966="","",IFERROR(XLOOKUP(A966,Tickets[TripKey],Tickets[VehClean]),""))</f>
        <v/>
      </c>
      <c r="I966">
        <f>IF(A966="","",IFERROR(XLOOKUP(A966,Tickets[TripKey],Tickets[RouteLen]),0))</f>
        <v/>
      </c>
      <c r="J966">
        <f>IF(A966="","",IFERROR(XLOOKUP(A966,Tickets[TripKey],Tickets[Capacity]),0))</f>
        <v/>
      </c>
      <c r="K966">
        <f>IF(A966="","",I966*J966)</f>
        <v/>
      </c>
      <c r="L966">
        <f>IF(A966="","",IFERROR(MINIFS(Tickets[Trip Start Time],Tickets[TripKey],A966),""))</f>
        <v/>
      </c>
    </row>
    <row r="967">
      <c r="B967" s="8">
        <f>IF(A967="","",IFERROR(DATEVALUE(TEXTBEFORE(A967,"|")),--LEFT(A967,10)))</f>
        <v/>
      </c>
      <c r="C967">
        <f>IF(A967="","",TEXTBEFORE(TEXTAFTER(A967,"|"),"|"))</f>
        <v/>
      </c>
      <c r="D967">
        <f>IF(A967="","",TEXTAFTER(A967,"|",2))</f>
        <v/>
      </c>
      <c r="E967">
        <f>IF(A967="","",SUMIF(Tickets[TripKey],A967,Tickets[TP]))</f>
        <v/>
      </c>
      <c r="F967">
        <f>IF(A967="","",SUMIF(Tickets[TripKey],A967,Tickets[Revenue]))</f>
        <v/>
      </c>
      <c r="G967">
        <f>IF(A967="","",SUMIF(Tickets[TripKey],A967,Tickets[PK]))</f>
        <v/>
      </c>
      <c r="H967">
        <f>IF(A967="","",IFERROR(XLOOKUP(A967,Tickets[TripKey],Tickets[VehClean]),""))</f>
        <v/>
      </c>
      <c r="I967">
        <f>IF(A967="","",IFERROR(XLOOKUP(A967,Tickets[TripKey],Tickets[RouteLen]),0))</f>
        <v/>
      </c>
      <c r="J967">
        <f>IF(A967="","",IFERROR(XLOOKUP(A967,Tickets[TripKey],Tickets[Capacity]),0))</f>
        <v/>
      </c>
      <c r="K967">
        <f>IF(A967="","",I967*J967)</f>
        <v/>
      </c>
      <c r="L967">
        <f>IF(A967="","",IFERROR(MINIFS(Tickets[Trip Start Time],Tickets[TripKey],A967),""))</f>
        <v/>
      </c>
    </row>
    <row r="968">
      <c r="B968" s="8">
        <f>IF(A968="","",IFERROR(DATEVALUE(TEXTBEFORE(A968,"|")),--LEFT(A968,10)))</f>
        <v/>
      </c>
      <c r="C968">
        <f>IF(A968="","",TEXTBEFORE(TEXTAFTER(A968,"|"),"|"))</f>
        <v/>
      </c>
      <c r="D968">
        <f>IF(A968="","",TEXTAFTER(A968,"|",2))</f>
        <v/>
      </c>
      <c r="E968">
        <f>IF(A968="","",SUMIF(Tickets[TripKey],A968,Tickets[TP]))</f>
        <v/>
      </c>
      <c r="F968">
        <f>IF(A968="","",SUMIF(Tickets[TripKey],A968,Tickets[Revenue]))</f>
        <v/>
      </c>
      <c r="G968">
        <f>IF(A968="","",SUMIF(Tickets[TripKey],A968,Tickets[PK]))</f>
        <v/>
      </c>
      <c r="H968">
        <f>IF(A968="","",IFERROR(XLOOKUP(A968,Tickets[TripKey],Tickets[VehClean]),""))</f>
        <v/>
      </c>
      <c r="I968">
        <f>IF(A968="","",IFERROR(XLOOKUP(A968,Tickets[TripKey],Tickets[RouteLen]),0))</f>
        <v/>
      </c>
      <c r="J968">
        <f>IF(A968="","",IFERROR(XLOOKUP(A968,Tickets[TripKey],Tickets[Capacity]),0))</f>
        <v/>
      </c>
      <c r="K968">
        <f>IF(A968="","",I968*J968)</f>
        <v/>
      </c>
      <c r="L968">
        <f>IF(A968="","",IFERROR(MINIFS(Tickets[Trip Start Time],Tickets[TripKey],A968),""))</f>
        <v/>
      </c>
    </row>
    <row r="969">
      <c r="B969" s="8">
        <f>IF(A969="","",IFERROR(DATEVALUE(TEXTBEFORE(A969,"|")),--LEFT(A969,10)))</f>
        <v/>
      </c>
      <c r="C969">
        <f>IF(A969="","",TEXTBEFORE(TEXTAFTER(A969,"|"),"|"))</f>
        <v/>
      </c>
      <c r="D969">
        <f>IF(A969="","",TEXTAFTER(A969,"|",2))</f>
        <v/>
      </c>
      <c r="E969">
        <f>IF(A969="","",SUMIF(Tickets[TripKey],A969,Tickets[TP]))</f>
        <v/>
      </c>
      <c r="F969">
        <f>IF(A969="","",SUMIF(Tickets[TripKey],A969,Tickets[Revenue]))</f>
        <v/>
      </c>
      <c r="G969">
        <f>IF(A969="","",SUMIF(Tickets[TripKey],A969,Tickets[PK]))</f>
        <v/>
      </c>
      <c r="H969">
        <f>IF(A969="","",IFERROR(XLOOKUP(A969,Tickets[TripKey],Tickets[VehClean]),""))</f>
        <v/>
      </c>
      <c r="I969">
        <f>IF(A969="","",IFERROR(XLOOKUP(A969,Tickets[TripKey],Tickets[RouteLen]),0))</f>
        <v/>
      </c>
      <c r="J969">
        <f>IF(A969="","",IFERROR(XLOOKUP(A969,Tickets[TripKey],Tickets[Capacity]),0))</f>
        <v/>
      </c>
      <c r="K969">
        <f>IF(A969="","",I969*J969)</f>
        <v/>
      </c>
      <c r="L969">
        <f>IF(A969="","",IFERROR(MINIFS(Tickets[Trip Start Time],Tickets[TripKey],A969),""))</f>
        <v/>
      </c>
    </row>
    <row r="970">
      <c r="B970" s="8">
        <f>IF(A970="","",IFERROR(DATEVALUE(TEXTBEFORE(A970,"|")),--LEFT(A970,10)))</f>
        <v/>
      </c>
      <c r="C970">
        <f>IF(A970="","",TEXTBEFORE(TEXTAFTER(A970,"|"),"|"))</f>
        <v/>
      </c>
      <c r="D970">
        <f>IF(A970="","",TEXTAFTER(A970,"|",2))</f>
        <v/>
      </c>
      <c r="E970">
        <f>IF(A970="","",SUMIF(Tickets[TripKey],A970,Tickets[TP]))</f>
        <v/>
      </c>
      <c r="F970">
        <f>IF(A970="","",SUMIF(Tickets[TripKey],A970,Tickets[Revenue]))</f>
        <v/>
      </c>
      <c r="G970">
        <f>IF(A970="","",SUMIF(Tickets[TripKey],A970,Tickets[PK]))</f>
        <v/>
      </c>
      <c r="H970">
        <f>IF(A970="","",IFERROR(XLOOKUP(A970,Tickets[TripKey],Tickets[VehClean]),""))</f>
        <v/>
      </c>
      <c r="I970">
        <f>IF(A970="","",IFERROR(XLOOKUP(A970,Tickets[TripKey],Tickets[RouteLen]),0))</f>
        <v/>
      </c>
      <c r="J970">
        <f>IF(A970="","",IFERROR(XLOOKUP(A970,Tickets[TripKey],Tickets[Capacity]),0))</f>
        <v/>
      </c>
      <c r="K970">
        <f>IF(A970="","",I970*J970)</f>
        <v/>
      </c>
      <c r="L970">
        <f>IF(A970="","",IFERROR(MINIFS(Tickets[Trip Start Time],Tickets[TripKey],A970),""))</f>
        <v/>
      </c>
    </row>
    <row r="971">
      <c r="B971" s="8">
        <f>IF(A971="","",IFERROR(DATEVALUE(TEXTBEFORE(A971,"|")),--LEFT(A971,10)))</f>
        <v/>
      </c>
      <c r="C971">
        <f>IF(A971="","",TEXTBEFORE(TEXTAFTER(A971,"|"),"|"))</f>
        <v/>
      </c>
      <c r="D971">
        <f>IF(A971="","",TEXTAFTER(A971,"|",2))</f>
        <v/>
      </c>
      <c r="E971">
        <f>IF(A971="","",SUMIF(Tickets[TripKey],A971,Tickets[TP]))</f>
        <v/>
      </c>
      <c r="F971">
        <f>IF(A971="","",SUMIF(Tickets[TripKey],A971,Tickets[Revenue]))</f>
        <v/>
      </c>
      <c r="G971">
        <f>IF(A971="","",SUMIF(Tickets[TripKey],A971,Tickets[PK]))</f>
        <v/>
      </c>
      <c r="H971">
        <f>IF(A971="","",IFERROR(XLOOKUP(A971,Tickets[TripKey],Tickets[VehClean]),""))</f>
        <v/>
      </c>
      <c r="I971">
        <f>IF(A971="","",IFERROR(XLOOKUP(A971,Tickets[TripKey],Tickets[RouteLen]),0))</f>
        <v/>
      </c>
      <c r="J971">
        <f>IF(A971="","",IFERROR(XLOOKUP(A971,Tickets[TripKey],Tickets[Capacity]),0))</f>
        <v/>
      </c>
      <c r="K971">
        <f>IF(A971="","",I971*J971)</f>
        <v/>
      </c>
      <c r="L971">
        <f>IF(A971="","",IFERROR(MINIFS(Tickets[Trip Start Time],Tickets[TripKey],A971),""))</f>
        <v/>
      </c>
    </row>
    <row r="972">
      <c r="B972" s="8">
        <f>IF(A972="","",IFERROR(DATEVALUE(TEXTBEFORE(A972,"|")),--LEFT(A972,10)))</f>
        <v/>
      </c>
      <c r="C972">
        <f>IF(A972="","",TEXTBEFORE(TEXTAFTER(A972,"|"),"|"))</f>
        <v/>
      </c>
      <c r="D972">
        <f>IF(A972="","",TEXTAFTER(A972,"|",2))</f>
        <v/>
      </c>
      <c r="E972">
        <f>IF(A972="","",SUMIF(Tickets[TripKey],A972,Tickets[TP]))</f>
        <v/>
      </c>
      <c r="F972">
        <f>IF(A972="","",SUMIF(Tickets[TripKey],A972,Tickets[Revenue]))</f>
        <v/>
      </c>
      <c r="G972">
        <f>IF(A972="","",SUMIF(Tickets[TripKey],A972,Tickets[PK]))</f>
        <v/>
      </c>
      <c r="H972">
        <f>IF(A972="","",IFERROR(XLOOKUP(A972,Tickets[TripKey],Tickets[VehClean]),""))</f>
        <v/>
      </c>
      <c r="I972">
        <f>IF(A972="","",IFERROR(XLOOKUP(A972,Tickets[TripKey],Tickets[RouteLen]),0))</f>
        <v/>
      </c>
      <c r="J972">
        <f>IF(A972="","",IFERROR(XLOOKUP(A972,Tickets[TripKey],Tickets[Capacity]),0))</f>
        <v/>
      </c>
      <c r="K972">
        <f>IF(A972="","",I972*J972)</f>
        <v/>
      </c>
      <c r="L972">
        <f>IF(A972="","",IFERROR(MINIFS(Tickets[Trip Start Time],Tickets[TripKey],A972),""))</f>
        <v/>
      </c>
    </row>
    <row r="973">
      <c r="B973" s="8">
        <f>IF(A973="","",IFERROR(DATEVALUE(TEXTBEFORE(A973,"|")),--LEFT(A973,10)))</f>
        <v/>
      </c>
      <c r="C973">
        <f>IF(A973="","",TEXTBEFORE(TEXTAFTER(A973,"|"),"|"))</f>
        <v/>
      </c>
      <c r="D973">
        <f>IF(A973="","",TEXTAFTER(A973,"|",2))</f>
        <v/>
      </c>
      <c r="E973">
        <f>IF(A973="","",SUMIF(Tickets[TripKey],A973,Tickets[TP]))</f>
        <v/>
      </c>
      <c r="F973">
        <f>IF(A973="","",SUMIF(Tickets[TripKey],A973,Tickets[Revenue]))</f>
        <v/>
      </c>
      <c r="G973">
        <f>IF(A973="","",SUMIF(Tickets[TripKey],A973,Tickets[PK]))</f>
        <v/>
      </c>
      <c r="H973">
        <f>IF(A973="","",IFERROR(XLOOKUP(A973,Tickets[TripKey],Tickets[VehClean]),""))</f>
        <v/>
      </c>
      <c r="I973">
        <f>IF(A973="","",IFERROR(XLOOKUP(A973,Tickets[TripKey],Tickets[RouteLen]),0))</f>
        <v/>
      </c>
      <c r="J973">
        <f>IF(A973="","",IFERROR(XLOOKUP(A973,Tickets[TripKey],Tickets[Capacity]),0))</f>
        <v/>
      </c>
      <c r="K973">
        <f>IF(A973="","",I973*J973)</f>
        <v/>
      </c>
      <c r="L973">
        <f>IF(A973="","",IFERROR(MINIFS(Tickets[Trip Start Time],Tickets[TripKey],A973),""))</f>
        <v/>
      </c>
    </row>
    <row r="974">
      <c r="B974" s="8">
        <f>IF(A974="","",IFERROR(DATEVALUE(TEXTBEFORE(A974,"|")),--LEFT(A974,10)))</f>
        <v/>
      </c>
      <c r="C974">
        <f>IF(A974="","",TEXTBEFORE(TEXTAFTER(A974,"|"),"|"))</f>
        <v/>
      </c>
      <c r="D974">
        <f>IF(A974="","",TEXTAFTER(A974,"|",2))</f>
        <v/>
      </c>
      <c r="E974">
        <f>IF(A974="","",SUMIF(Tickets[TripKey],A974,Tickets[TP]))</f>
        <v/>
      </c>
      <c r="F974">
        <f>IF(A974="","",SUMIF(Tickets[TripKey],A974,Tickets[Revenue]))</f>
        <v/>
      </c>
      <c r="G974">
        <f>IF(A974="","",SUMIF(Tickets[TripKey],A974,Tickets[PK]))</f>
        <v/>
      </c>
      <c r="H974">
        <f>IF(A974="","",IFERROR(XLOOKUP(A974,Tickets[TripKey],Tickets[VehClean]),""))</f>
        <v/>
      </c>
      <c r="I974">
        <f>IF(A974="","",IFERROR(XLOOKUP(A974,Tickets[TripKey],Tickets[RouteLen]),0))</f>
        <v/>
      </c>
      <c r="J974">
        <f>IF(A974="","",IFERROR(XLOOKUP(A974,Tickets[TripKey],Tickets[Capacity]),0))</f>
        <v/>
      </c>
      <c r="K974">
        <f>IF(A974="","",I974*J974)</f>
        <v/>
      </c>
      <c r="L974">
        <f>IF(A974="","",IFERROR(MINIFS(Tickets[Trip Start Time],Tickets[TripKey],A974),""))</f>
        <v/>
      </c>
    </row>
    <row r="975">
      <c r="B975" s="8">
        <f>IF(A975="","",IFERROR(DATEVALUE(TEXTBEFORE(A975,"|")),--LEFT(A975,10)))</f>
        <v/>
      </c>
      <c r="C975">
        <f>IF(A975="","",TEXTBEFORE(TEXTAFTER(A975,"|"),"|"))</f>
        <v/>
      </c>
      <c r="D975">
        <f>IF(A975="","",TEXTAFTER(A975,"|",2))</f>
        <v/>
      </c>
      <c r="E975">
        <f>IF(A975="","",SUMIF(Tickets[TripKey],A975,Tickets[TP]))</f>
        <v/>
      </c>
      <c r="F975">
        <f>IF(A975="","",SUMIF(Tickets[TripKey],A975,Tickets[Revenue]))</f>
        <v/>
      </c>
      <c r="G975">
        <f>IF(A975="","",SUMIF(Tickets[TripKey],A975,Tickets[PK]))</f>
        <v/>
      </c>
      <c r="H975">
        <f>IF(A975="","",IFERROR(XLOOKUP(A975,Tickets[TripKey],Tickets[VehClean]),""))</f>
        <v/>
      </c>
      <c r="I975">
        <f>IF(A975="","",IFERROR(XLOOKUP(A975,Tickets[TripKey],Tickets[RouteLen]),0))</f>
        <v/>
      </c>
      <c r="J975">
        <f>IF(A975="","",IFERROR(XLOOKUP(A975,Tickets[TripKey],Tickets[Capacity]),0))</f>
        <v/>
      </c>
      <c r="K975">
        <f>IF(A975="","",I975*J975)</f>
        <v/>
      </c>
      <c r="L975">
        <f>IF(A975="","",IFERROR(MINIFS(Tickets[Trip Start Time],Tickets[TripKey],A975),""))</f>
        <v/>
      </c>
    </row>
    <row r="976">
      <c r="B976" s="8">
        <f>IF(A976="","",IFERROR(DATEVALUE(TEXTBEFORE(A976,"|")),--LEFT(A976,10)))</f>
        <v/>
      </c>
      <c r="C976">
        <f>IF(A976="","",TEXTBEFORE(TEXTAFTER(A976,"|"),"|"))</f>
        <v/>
      </c>
      <c r="D976">
        <f>IF(A976="","",TEXTAFTER(A976,"|",2))</f>
        <v/>
      </c>
      <c r="E976">
        <f>IF(A976="","",SUMIF(Tickets[TripKey],A976,Tickets[TP]))</f>
        <v/>
      </c>
      <c r="F976">
        <f>IF(A976="","",SUMIF(Tickets[TripKey],A976,Tickets[Revenue]))</f>
        <v/>
      </c>
      <c r="G976">
        <f>IF(A976="","",SUMIF(Tickets[TripKey],A976,Tickets[PK]))</f>
        <v/>
      </c>
      <c r="H976">
        <f>IF(A976="","",IFERROR(XLOOKUP(A976,Tickets[TripKey],Tickets[VehClean]),""))</f>
        <v/>
      </c>
      <c r="I976">
        <f>IF(A976="","",IFERROR(XLOOKUP(A976,Tickets[TripKey],Tickets[RouteLen]),0))</f>
        <v/>
      </c>
      <c r="J976">
        <f>IF(A976="","",IFERROR(XLOOKUP(A976,Tickets[TripKey],Tickets[Capacity]),0))</f>
        <v/>
      </c>
      <c r="K976">
        <f>IF(A976="","",I976*J976)</f>
        <v/>
      </c>
      <c r="L976">
        <f>IF(A976="","",IFERROR(MINIFS(Tickets[Trip Start Time],Tickets[TripKey],A976),""))</f>
        <v/>
      </c>
    </row>
    <row r="977">
      <c r="B977" s="8">
        <f>IF(A977="","",IFERROR(DATEVALUE(TEXTBEFORE(A977,"|")),--LEFT(A977,10)))</f>
        <v/>
      </c>
      <c r="C977">
        <f>IF(A977="","",TEXTBEFORE(TEXTAFTER(A977,"|"),"|"))</f>
        <v/>
      </c>
      <c r="D977">
        <f>IF(A977="","",TEXTAFTER(A977,"|",2))</f>
        <v/>
      </c>
      <c r="E977">
        <f>IF(A977="","",SUMIF(Tickets[TripKey],A977,Tickets[TP]))</f>
        <v/>
      </c>
      <c r="F977">
        <f>IF(A977="","",SUMIF(Tickets[TripKey],A977,Tickets[Revenue]))</f>
        <v/>
      </c>
      <c r="G977">
        <f>IF(A977="","",SUMIF(Tickets[TripKey],A977,Tickets[PK]))</f>
        <v/>
      </c>
      <c r="H977">
        <f>IF(A977="","",IFERROR(XLOOKUP(A977,Tickets[TripKey],Tickets[VehClean]),""))</f>
        <v/>
      </c>
      <c r="I977">
        <f>IF(A977="","",IFERROR(XLOOKUP(A977,Tickets[TripKey],Tickets[RouteLen]),0))</f>
        <v/>
      </c>
      <c r="J977">
        <f>IF(A977="","",IFERROR(XLOOKUP(A977,Tickets[TripKey],Tickets[Capacity]),0))</f>
        <v/>
      </c>
      <c r="K977">
        <f>IF(A977="","",I977*J977)</f>
        <v/>
      </c>
      <c r="L977">
        <f>IF(A977="","",IFERROR(MINIFS(Tickets[Trip Start Time],Tickets[TripKey],A977),""))</f>
        <v/>
      </c>
    </row>
    <row r="978">
      <c r="B978" s="8">
        <f>IF(A978="","",IFERROR(DATEVALUE(TEXTBEFORE(A978,"|")),--LEFT(A978,10)))</f>
        <v/>
      </c>
      <c r="C978">
        <f>IF(A978="","",TEXTBEFORE(TEXTAFTER(A978,"|"),"|"))</f>
        <v/>
      </c>
      <c r="D978">
        <f>IF(A978="","",TEXTAFTER(A978,"|",2))</f>
        <v/>
      </c>
      <c r="E978">
        <f>IF(A978="","",SUMIF(Tickets[TripKey],A978,Tickets[TP]))</f>
        <v/>
      </c>
      <c r="F978">
        <f>IF(A978="","",SUMIF(Tickets[TripKey],A978,Tickets[Revenue]))</f>
        <v/>
      </c>
      <c r="G978">
        <f>IF(A978="","",SUMIF(Tickets[TripKey],A978,Tickets[PK]))</f>
        <v/>
      </c>
      <c r="H978">
        <f>IF(A978="","",IFERROR(XLOOKUP(A978,Tickets[TripKey],Tickets[VehClean]),""))</f>
        <v/>
      </c>
      <c r="I978">
        <f>IF(A978="","",IFERROR(XLOOKUP(A978,Tickets[TripKey],Tickets[RouteLen]),0))</f>
        <v/>
      </c>
      <c r="J978">
        <f>IF(A978="","",IFERROR(XLOOKUP(A978,Tickets[TripKey],Tickets[Capacity]),0))</f>
        <v/>
      </c>
      <c r="K978">
        <f>IF(A978="","",I978*J978)</f>
        <v/>
      </c>
      <c r="L978">
        <f>IF(A978="","",IFERROR(MINIFS(Tickets[Trip Start Time],Tickets[TripKey],A978),""))</f>
        <v/>
      </c>
    </row>
    <row r="979">
      <c r="B979" s="8">
        <f>IF(A979="","",IFERROR(DATEVALUE(TEXTBEFORE(A979,"|")),--LEFT(A979,10)))</f>
        <v/>
      </c>
      <c r="C979">
        <f>IF(A979="","",TEXTBEFORE(TEXTAFTER(A979,"|"),"|"))</f>
        <v/>
      </c>
      <c r="D979">
        <f>IF(A979="","",TEXTAFTER(A979,"|",2))</f>
        <v/>
      </c>
      <c r="E979">
        <f>IF(A979="","",SUMIF(Tickets[TripKey],A979,Tickets[TP]))</f>
        <v/>
      </c>
      <c r="F979">
        <f>IF(A979="","",SUMIF(Tickets[TripKey],A979,Tickets[Revenue]))</f>
        <v/>
      </c>
      <c r="G979">
        <f>IF(A979="","",SUMIF(Tickets[TripKey],A979,Tickets[PK]))</f>
        <v/>
      </c>
      <c r="H979">
        <f>IF(A979="","",IFERROR(XLOOKUP(A979,Tickets[TripKey],Tickets[VehClean]),""))</f>
        <v/>
      </c>
      <c r="I979">
        <f>IF(A979="","",IFERROR(XLOOKUP(A979,Tickets[TripKey],Tickets[RouteLen]),0))</f>
        <v/>
      </c>
      <c r="J979">
        <f>IF(A979="","",IFERROR(XLOOKUP(A979,Tickets[TripKey],Tickets[Capacity]),0))</f>
        <v/>
      </c>
      <c r="K979">
        <f>IF(A979="","",I979*J979)</f>
        <v/>
      </c>
      <c r="L979">
        <f>IF(A979="","",IFERROR(MINIFS(Tickets[Trip Start Time],Tickets[TripKey],A979),""))</f>
        <v/>
      </c>
    </row>
    <row r="980">
      <c r="B980" s="8">
        <f>IF(A980="","",IFERROR(DATEVALUE(TEXTBEFORE(A980,"|")),--LEFT(A980,10)))</f>
        <v/>
      </c>
      <c r="C980">
        <f>IF(A980="","",TEXTBEFORE(TEXTAFTER(A980,"|"),"|"))</f>
        <v/>
      </c>
      <c r="D980">
        <f>IF(A980="","",TEXTAFTER(A980,"|",2))</f>
        <v/>
      </c>
      <c r="E980">
        <f>IF(A980="","",SUMIF(Tickets[TripKey],A980,Tickets[TP]))</f>
        <v/>
      </c>
      <c r="F980">
        <f>IF(A980="","",SUMIF(Tickets[TripKey],A980,Tickets[Revenue]))</f>
        <v/>
      </c>
      <c r="G980">
        <f>IF(A980="","",SUMIF(Tickets[TripKey],A980,Tickets[PK]))</f>
        <v/>
      </c>
      <c r="H980">
        <f>IF(A980="","",IFERROR(XLOOKUP(A980,Tickets[TripKey],Tickets[VehClean]),""))</f>
        <v/>
      </c>
      <c r="I980">
        <f>IF(A980="","",IFERROR(XLOOKUP(A980,Tickets[TripKey],Tickets[RouteLen]),0))</f>
        <v/>
      </c>
      <c r="J980">
        <f>IF(A980="","",IFERROR(XLOOKUP(A980,Tickets[TripKey],Tickets[Capacity]),0))</f>
        <v/>
      </c>
      <c r="K980">
        <f>IF(A980="","",I980*J980)</f>
        <v/>
      </c>
      <c r="L980">
        <f>IF(A980="","",IFERROR(MINIFS(Tickets[Trip Start Time],Tickets[TripKey],A980),""))</f>
        <v/>
      </c>
    </row>
    <row r="981">
      <c r="B981" s="8">
        <f>IF(A981="","",IFERROR(DATEVALUE(TEXTBEFORE(A981,"|")),--LEFT(A981,10)))</f>
        <v/>
      </c>
      <c r="C981">
        <f>IF(A981="","",TEXTBEFORE(TEXTAFTER(A981,"|"),"|"))</f>
        <v/>
      </c>
      <c r="D981">
        <f>IF(A981="","",TEXTAFTER(A981,"|",2))</f>
        <v/>
      </c>
      <c r="E981">
        <f>IF(A981="","",SUMIF(Tickets[TripKey],A981,Tickets[TP]))</f>
        <v/>
      </c>
      <c r="F981">
        <f>IF(A981="","",SUMIF(Tickets[TripKey],A981,Tickets[Revenue]))</f>
        <v/>
      </c>
      <c r="G981">
        <f>IF(A981="","",SUMIF(Tickets[TripKey],A981,Tickets[PK]))</f>
        <v/>
      </c>
      <c r="H981">
        <f>IF(A981="","",IFERROR(XLOOKUP(A981,Tickets[TripKey],Tickets[VehClean]),""))</f>
        <v/>
      </c>
      <c r="I981">
        <f>IF(A981="","",IFERROR(XLOOKUP(A981,Tickets[TripKey],Tickets[RouteLen]),0))</f>
        <v/>
      </c>
      <c r="J981">
        <f>IF(A981="","",IFERROR(XLOOKUP(A981,Tickets[TripKey],Tickets[Capacity]),0))</f>
        <v/>
      </c>
      <c r="K981">
        <f>IF(A981="","",I981*J981)</f>
        <v/>
      </c>
      <c r="L981">
        <f>IF(A981="","",IFERROR(MINIFS(Tickets[Trip Start Time],Tickets[TripKey],A981),""))</f>
        <v/>
      </c>
    </row>
    <row r="982">
      <c r="B982" s="8">
        <f>IF(A982="","",IFERROR(DATEVALUE(TEXTBEFORE(A982,"|")),--LEFT(A982,10)))</f>
        <v/>
      </c>
      <c r="C982">
        <f>IF(A982="","",TEXTBEFORE(TEXTAFTER(A982,"|"),"|"))</f>
        <v/>
      </c>
      <c r="D982">
        <f>IF(A982="","",TEXTAFTER(A982,"|",2))</f>
        <v/>
      </c>
      <c r="E982">
        <f>IF(A982="","",SUMIF(Tickets[TripKey],A982,Tickets[TP]))</f>
        <v/>
      </c>
      <c r="F982">
        <f>IF(A982="","",SUMIF(Tickets[TripKey],A982,Tickets[Revenue]))</f>
        <v/>
      </c>
      <c r="G982">
        <f>IF(A982="","",SUMIF(Tickets[TripKey],A982,Tickets[PK]))</f>
        <v/>
      </c>
      <c r="H982">
        <f>IF(A982="","",IFERROR(XLOOKUP(A982,Tickets[TripKey],Tickets[VehClean]),""))</f>
        <v/>
      </c>
      <c r="I982">
        <f>IF(A982="","",IFERROR(XLOOKUP(A982,Tickets[TripKey],Tickets[RouteLen]),0))</f>
        <v/>
      </c>
      <c r="J982">
        <f>IF(A982="","",IFERROR(XLOOKUP(A982,Tickets[TripKey],Tickets[Capacity]),0))</f>
        <v/>
      </c>
      <c r="K982">
        <f>IF(A982="","",I982*J982)</f>
        <v/>
      </c>
      <c r="L982">
        <f>IF(A982="","",IFERROR(MINIFS(Tickets[Trip Start Time],Tickets[TripKey],A982),""))</f>
        <v/>
      </c>
    </row>
    <row r="983">
      <c r="B983" s="8">
        <f>IF(A983="","",IFERROR(DATEVALUE(TEXTBEFORE(A983,"|")),--LEFT(A983,10)))</f>
        <v/>
      </c>
      <c r="C983">
        <f>IF(A983="","",TEXTBEFORE(TEXTAFTER(A983,"|"),"|"))</f>
        <v/>
      </c>
      <c r="D983">
        <f>IF(A983="","",TEXTAFTER(A983,"|",2))</f>
        <v/>
      </c>
      <c r="E983">
        <f>IF(A983="","",SUMIF(Tickets[TripKey],A983,Tickets[TP]))</f>
        <v/>
      </c>
      <c r="F983">
        <f>IF(A983="","",SUMIF(Tickets[TripKey],A983,Tickets[Revenue]))</f>
        <v/>
      </c>
      <c r="G983">
        <f>IF(A983="","",SUMIF(Tickets[TripKey],A983,Tickets[PK]))</f>
        <v/>
      </c>
      <c r="H983">
        <f>IF(A983="","",IFERROR(XLOOKUP(A983,Tickets[TripKey],Tickets[VehClean]),""))</f>
        <v/>
      </c>
      <c r="I983">
        <f>IF(A983="","",IFERROR(XLOOKUP(A983,Tickets[TripKey],Tickets[RouteLen]),0))</f>
        <v/>
      </c>
      <c r="J983">
        <f>IF(A983="","",IFERROR(XLOOKUP(A983,Tickets[TripKey],Tickets[Capacity]),0))</f>
        <v/>
      </c>
      <c r="K983">
        <f>IF(A983="","",I983*J983)</f>
        <v/>
      </c>
      <c r="L983">
        <f>IF(A983="","",IFERROR(MINIFS(Tickets[Trip Start Time],Tickets[TripKey],A983),""))</f>
        <v/>
      </c>
    </row>
    <row r="984">
      <c r="B984" s="8">
        <f>IF(A984="","",IFERROR(DATEVALUE(TEXTBEFORE(A984,"|")),--LEFT(A984,10)))</f>
        <v/>
      </c>
      <c r="C984">
        <f>IF(A984="","",TEXTBEFORE(TEXTAFTER(A984,"|"),"|"))</f>
        <v/>
      </c>
      <c r="D984">
        <f>IF(A984="","",TEXTAFTER(A984,"|",2))</f>
        <v/>
      </c>
      <c r="E984">
        <f>IF(A984="","",SUMIF(Tickets[TripKey],A984,Tickets[TP]))</f>
        <v/>
      </c>
      <c r="F984">
        <f>IF(A984="","",SUMIF(Tickets[TripKey],A984,Tickets[Revenue]))</f>
        <v/>
      </c>
      <c r="G984">
        <f>IF(A984="","",SUMIF(Tickets[TripKey],A984,Tickets[PK]))</f>
        <v/>
      </c>
      <c r="H984">
        <f>IF(A984="","",IFERROR(XLOOKUP(A984,Tickets[TripKey],Tickets[VehClean]),""))</f>
        <v/>
      </c>
      <c r="I984">
        <f>IF(A984="","",IFERROR(XLOOKUP(A984,Tickets[TripKey],Tickets[RouteLen]),0))</f>
        <v/>
      </c>
      <c r="J984">
        <f>IF(A984="","",IFERROR(XLOOKUP(A984,Tickets[TripKey],Tickets[Capacity]),0))</f>
        <v/>
      </c>
      <c r="K984">
        <f>IF(A984="","",I984*J984)</f>
        <v/>
      </c>
      <c r="L984">
        <f>IF(A984="","",IFERROR(MINIFS(Tickets[Trip Start Time],Tickets[TripKey],A984),""))</f>
        <v/>
      </c>
    </row>
    <row r="985">
      <c r="B985" s="8">
        <f>IF(A985="","",IFERROR(DATEVALUE(TEXTBEFORE(A985,"|")),--LEFT(A985,10)))</f>
        <v/>
      </c>
      <c r="C985">
        <f>IF(A985="","",TEXTBEFORE(TEXTAFTER(A985,"|"),"|"))</f>
        <v/>
      </c>
      <c r="D985">
        <f>IF(A985="","",TEXTAFTER(A985,"|",2))</f>
        <v/>
      </c>
      <c r="E985">
        <f>IF(A985="","",SUMIF(Tickets[TripKey],A985,Tickets[TP]))</f>
        <v/>
      </c>
      <c r="F985">
        <f>IF(A985="","",SUMIF(Tickets[TripKey],A985,Tickets[Revenue]))</f>
        <v/>
      </c>
      <c r="G985">
        <f>IF(A985="","",SUMIF(Tickets[TripKey],A985,Tickets[PK]))</f>
        <v/>
      </c>
      <c r="H985">
        <f>IF(A985="","",IFERROR(XLOOKUP(A985,Tickets[TripKey],Tickets[VehClean]),""))</f>
        <v/>
      </c>
      <c r="I985">
        <f>IF(A985="","",IFERROR(XLOOKUP(A985,Tickets[TripKey],Tickets[RouteLen]),0))</f>
        <v/>
      </c>
      <c r="J985">
        <f>IF(A985="","",IFERROR(XLOOKUP(A985,Tickets[TripKey],Tickets[Capacity]),0))</f>
        <v/>
      </c>
      <c r="K985">
        <f>IF(A985="","",I985*J985)</f>
        <v/>
      </c>
      <c r="L985">
        <f>IF(A985="","",IFERROR(MINIFS(Tickets[Trip Start Time],Tickets[TripKey],A985),""))</f>
        <v/>
      </c>
    </row>
    <row r="986">
      <c r="B986" s="8">
        <f>IF(A986="","",IFERROR(DATEVALUE(TEXTBEFORE(A986,"|")),--LEFT(A986,10)))</f>
        <v/>
      </c>
      <c r="C986">
        <f>IF(A986="","",TEXTBEFORE(TEXTAFTER(A986,"|"),"|"))</f>
        <v/>
      </c>
      <c r="D986">
        <f>IF(A986="","",TEXTAFTER(A986,"|",2))</f>
        <v/>
      </c>
      <c r="E986">
        <f>IF(A986="","",SUMIF(Tickets[TripKey],A986,Tickets[TP]))</f>
        <v/>
      </c>
      <c r="F986">
        <f>IF(A986="","",SUMIF(Tickets[TripKey],A986,Tickets[Revenue]))</f>
        <v/>
      </c>
      <c r="G986">
        <f>IF(A986="","",SUMIF(Tickets[TripKey],A986,Tickets[PK]))</f>
        <v/>
      </c>
      <c r="H986">
        <f>IF(A986="","",IFERROR(XLOOKUP(A986,Tickets[TripKey],Tickets[VehClean]),""))</f>
        <v/>
      </c>
      <c r="I986">
        <f>IF(A986="","",IFERROR(XLOOKUP(A986,Tickets[TripKey],Tickets[RouteLen]),0))</f>
        <v/>
      </c>
      <c r="J986">
        <f>IF(A986="","",IFERROR(XLOOKUP(A986,Tickets[TripKey],Tickets[Capacity]),0))</f>
        <v/>
      </c>
      <c r="K986">
        <f>IF(A986="","",I986*J986)</f>
        <v/>
      </c>
      <c r="L986">
        <f>IF(A986="","",IFERROR(MINIFS(Tickets[Trip Start Time],Tickets[TripKey],A986),""))</f>
        <v/>
      </c>
    </row>
    <row r="987">
      <c r="B987" s="8">
        <f>IF(A987="","",IFERROR(DATEVALUE(TEXTBEFORE(A987,"|")),--LEFT(A987,10)))</f>
        <v/>
      </c>
      <c r="C987">
        <f>IF(A987="","",TEXTBEFORE(TEXTAFTER(A987,"|"),"|"))</f>
        <v/>
      </c>
      <c r="D987">
        <f>IF(A987="","",TEXTAFTER(A987,"|",2))</f>
        <v/>
      </c>
      <c r="E987">
        <f>IF(A987="","",SUMIF(Tickets[TripKey],A987,Tickets[TP]))</f>
        <v/>
      </c>
      <c r="F987">
        <f>IF(A987="","",SUMIF(Tickets[TripKey],A987,Tickets[Revenue]))</f>
        <v/>
      </c>
      <c r="G987">
        <f>IF(A987="","",SUMIF(Tickets[TripKey],A987,Tickets[PK]))</f>
        <v/>
      </c>
      <c r="H987">
        <f>IF(A987="","",IFERROR(XLOOKUP(A987,Tickets[TripKey],Tickets[VehClean]),""))</f>
        <v/>
      </c>
      <c r="I987">
        <f>IF(A987="","",IFERROR(XLOOKUP(A987,Tickets[TripKey],Tickets[RouteLen]),0))</f>
        <v/>
      </c>
      <c r="J987">
        <f>IF(A987="","",IFERROR(XLOOKUP(A987,Tickets[TripKey],Tickets[Capacity]),0))</f>
        <v/>
      </c>
      <c r="K987">
        <f>IF(A987="","",I987*J987)</f>
        <v/>
      </c>
      <c r="L987">
        <f>IF(A987="","",IFERROR(MINIFS(Tickets[Trip Start Time],Tickets[TripKey],A987),""))</f>
        <v/>
      </c>
    </row>
    <row r="988">
      <c r="B988" s="8">
        <f>IF(A988="","",IFERROR(DATEVALUE(TEXTBEFORE(A988,"|")),--LEFT(A988,10)))</f>
        <v/>
      </c>
      <c r="C988">
        <f>IF(A988="","",TEXTBEFORE(TEXTAFTER(A988,"|"),"|"))</f>
        <v/>
      </c>
      <c r="D988">
        <f>IF(A988="","",TEXTAFTER(A988,"|",2))</f>
        <v/>
      </c>
      <c r="E988">
        <f>IF(A988="","",SUMIF(Tickets[TripKey],A988,Tickets[TP]))</f>
        <v/>
      </c>
      <c r="F988">
        <f>IF(A988="","",SUMIF(Tickets[TripKey],A988,Tickets[Revenue]))</f>
        <v/>
      </c>
      <c r="G988">
        <f>IF(A988="","",SUMIF(Tickets[TripKey],A988,Tickets[PK]))</f>
        <v/>
      </c>
      <c r="H988">
        <f>IF(A988="","",IFERROR(XLOOKUP(A988,Tickets[TripKey],Tickets[VehClean]),""))</f>
        <v/>
      </c>
      <c r="I988">
        <f>IF(A988="","",IFERROR(XLOOKUP(A988,Tickets[TripKey],Tickets[RouteLen]),0))</f>
        <v/>
      </c>
      <c r="J988">
        <f>IF(A988="","",IFERROR(XLOOKUP(A988,Tickets[TripKey],Tickets[Capacity]),0))</f>
        <v/>
      </c>
      <c r="K988">
        <f>IF(A988="","",I988*J988)</f>
        <v/>
      </c>
      <c r="L988">
        <f>IF(A988="","",IFERROR(MINIFS(Tickets[Trip Start Time],Tickets[TripKey],A988),""))</f>
        <v/>
      </c>
    </row>
    <row r="989">
      <c r="B989" s="8">
        <f>IF(A989="","",IFERROR(DATEVALUE(TEXTBEFORE(A989,"|")),--LEFT(A989,10)))</f>
        <v/>
      </c>
      <c r="C989">
        <f>IF(A989="","",TEXTBEFORE(TEXTAFTER(A989,"|"),"|"))</f>
        <v/>
      </c>
      <c r="D989">
        <f>IF(A989="","",TEXTAFTER(A989,"|",2))</f>
        <v/>
      </c>
      <c r="E989">
        <f>IF(A989="","",SUMIF(Tickets[TripKey],A989,Tickets[TP]))</f>
        <v/>
      </c>
      <c r="F989">
        <f>IF(A989="","",SUMIF(Tickets[TripKey],A989,Tickets[Revenue]))</f>
        <v/>
      </c>
      <c r="G989">
        <f>IF(A989="","",SUMIF(Tickets[TripKey],A989,Tickets[PK]))</f>
        <v/>
      </c>
      <c r="H989">
        <f>IF(A989="","",IFERROR(XLOOKUP(A989,Tickets[TripKey],Tickets[VehClean]),""))</f>
        <v/>
      </c>
      <c r="I989">
        <f>IF(A989="","",IFERROR(XLOOKUP(A989,Tickets[TripKey],Tickets[RouteLen]),0))</f>
        <v/>
      </c>
      <c r="J989">
        <f>IF(A989="","",IFERROR(XLOOKUP(A989,Tickets[TripKey],Tickets[Capacity]),0))</f>
        <v/>
      </c>
      <c r="K989">
        <f>IF(A989="","",I989*J989)</f>
        <v/>
      </c>
      <c r="L989">
        <f>IF(A989="","",IFERROR(MINIFS(Tickets[Trip Start Time],Tickets[TripKey],A989),""))</f>
        <v/>
      </c>
    </row>
    <row r="990">
      <c r="B990" s="8">
        <f>IF(A990="","",IFERROR(DATEVALUE(TEXTBEFORE(A990,"|")),--LEFT(A990,10)))</f>
        <v/>
      </c>
      <c r="C990">
        <f>IF(A990="","",TEXTBEFORE(TEXTAFTER(A990,"|"),"|"))</f>
        <v/>
      </c>
      <c r="D990">
        <f>IF(A990="","",TEXTAFTER(A990,"|",2))</f>
        <v/>
      </c>
      <c r="E990">
        <f>IF(A990="","",SUMIF(Tickets[TripKey],A990,Tickets[TP]))</f>
        <v/>
      </c>
      <c r="F990">
        <f>IF(A990="","",SUMIF(Tickets[TripKey],A990,Tickets[Revenue]))</f>
        <v/>
      </c>
      <c r="G990">
        <f>IF(A990="","",SUMIF(Tickets[TripKey],A990,Tickets[PK]))</f>
        <v/>
      </c>
      <c r="H990">
        <f>IF(A990="","",IFERROR(XLOOKUP(A990,Tickets[TripKey],Tickets[VehClean]),""))</f>
        <v/>
      </c>
      <c r="I990">
        <f>IF(A990="","",IFERROR(XLOOKUP(A990,Tickets[TripKey],Tickets[RouteLen]),0))</f>
        <v/>
      </c>
      <c r="J990">
        <f>IF(A990="","",IFERROR(XLOOKUP(A990,Tickets[TripKey],Tickets[Capacity]),0))</f>
        <v/>
      </c>
      <c r="K990">
        <f>IF(A990="","",I990*J990)</f>
        <v/>
      </c>
      <c r="L990">
        <f>IF(A990="","",IFERROR(MINIFS(Tickets[Trip Start Time],Tickets[TripKey],A990),""))</f>
        <v/>
      </c>
    </row>
    <row r="991">
      <c r="B991" s="8">
        <f>IF(A991="","",IFERROR(DATEVALUE(TEXTBEFORE(A991,"|")),--LEFT(A991,10)))</f>
        <v/>
      </c>
      <c r="C991">
        <f>IF(A991="","",TEXTBEFORE(TEXTAFTER(A991,"|"),"|"))</f>
        <v/>
      </c>
      <c r="D991">
        <f>IF(A991="","",TEXTAFTER(A991,"|",2))</f>
        <v/>
      </c>
      <c r="E991">
        <f>IF(A991="","",SUMIF(Tickets[TripKey],A991,Tickets[TP]))</f>
        <v/>
      </c>
      <c r="F991">
        <f>IF(A991="","",SUMIF(Tickets[TripKey],A991,Tickets[Revenue]))</f>
        <v/>
      </c>
      <c r="G991">
        <f>IF(A991="","",SUMIF(Tickets[TripKey],A991,Tickets[PK]))</f>
        <v/>
      </c>
      <c r="H991">
        <f>IF(A991="","",IFERROR(XLOOKUP(A991,Tickets[TripKey],Tickets[VehClean]),""))</f>
        <v/>
      </c>
      <c r="I991">
        <f>IF(A991="","",IFERROR(XLOOKUP(A991,Tickets[TripKey],Tickets[RouteLen]),0))</f>
        <v/>
      </c>
      <c r="J991">
        <f>IF(A991="","",IFERROR(XLOOKUP(A991,Tickets[TripKey],Tickets[Capacity]),0))</f>
        <v/>
      </c>
      <c r="K991">
        <f>IF(A991="","",I991*J991)</f>
        <v/>
      </c>
      <c r="L991">
        <f>IF(A991="","",IFERROR(MINIFS(Tickets[Trip Start Time],Tickets[TripKey],A991),""))</f>
        <v/>
      </c>
    </row>
    <row r="992">
      <c r="B992" s="8">
        <f>IF(A992="","",IFERROR(DATEVALUE(TEXTBEFORE(A992,"|")),--LEFT(A992,10)))</f>
        <v/>
      </c>
      <c r="C992">
        <f>IF(A992="","",TEXTBEFORE(TEXTAFTER(A992,"|"),"|"))</f>
        <v/>
      </c>
      <c r="D992">
        <f>IF(A992="","",TEXTAFTER(A992,"|",2))</f>
        <v/>
      </c>
      <c r="E992">
        <f>IF(A992="","",SUMIF(Tickets[TripKey],A992,Tickets[TP]))</f>
        <v/>
      </c>
      <c r="F992">
        <f>IF(A992="","",SUMIF(Tickets[TripKey],A992,Tickets[Revenue]))</f>
        <v/>
      </c>
      <c r="G992">
        <f>IF(A992="","",SUMIF(Tickets[TripKey],A992,Tickets[PK]))</f>
        <v/>
      </c>
      <c r="H992">
        <f>IF(A992="","",IFERROR(XLOOKUP(A992,Tickets[TripKey],Tickets[VehClean]),""))</f>
        <v/>
      </c>
      <c r="I992">
        <f>IF(A992="","",IFERROR(XLOOKUP(A992,Tickets[TripKey],Tickets[RouteLen]),0))</f>
        <v/>
      </c>
      <c r="J992">
        <f>IF(A992="","",IFERROR(XLOOKUP(A992,Tickets[TripKey],Tickets[Capacity]),0))</f>
        <v/>
      </c>
      <c r="K992">
        <f>IF(A992="","",I992*J992)</f>
        <v/>
      </c>
      <c r="L992">
        <f>IF(A992="","",IFERROR(MINIFS(Tickets[Trip Start Time],Tickets[TripKey],A992),""))</f>
        <v/>
      </c>
    </row>
    <row r="993">
      <c r="B993" s="8">
        <f>IF(A993="","",IFERROR(DATEVALUE(TEXTBEFORE(A993,"|")),--LEFT(A993,10)))</f>
        <v/>
      </c>
      <c r="C993">
        <f>IF(A993="","",TEXTBEFORE(TEXTAFTER(A993,"|"),"|"))</f>
        <v/>
      </c>
      <c r="D993">
        <f>IF(A993="","",TEXTAFTER(A993,"|",2))</f>
        <v/>
      </c>
      <c r="E993">
        <f>IF(A993="","",SUMIF(Tickets[TripKey],A993,Tickets[TP]))</f>
        <v/>
      </c>
      <c r="F993">
        <f>IF(A993="","",SUMIF(Tickets[TripKey],A993,Tickets[Revenue]))</f>
        <v/>
      </c>
      <c r="G993">
        <f>IF(A993="","",SUMIF(Tickets[TripKey],A993,Tickets[PK]))</f>
        <v/>
      </c>
      <c r="H993">
        <f>IF(A993="","",IFERROR(XLOOKUP(A993,Tickets[TripKey],Tickets[VehClean]),""))</f>
        <v/>
      </c>
      <c r="I993">
        <f>IF(A993="","",IFERROR(XLOOKUP(A993,Tickets[TripKey],Tickets[RouteLen]),0))</f>
        <v/>
      </c>
      <c r="J993">
        <f>IF(A993="","",IFERROR(XLOOKUP(A993,Tickets[TripKey],Tickets[Capacity]),0))</f>
        <v/>
      </c>
      <c r="K993">
        <f>IF(A993="","",I993*J993)</f>
        <v/>
      </c>
      <c r="L993">
        <f>IF(A993="","",IFERROR(MINIFS(Tickets[Trip Start Time],Tickets[TripKey],A993),""))</f>
        <v/>
      </c>
    </row>
    <row r="994">
      <c r="B994" s="8">
        <f>IF(A994="","",IFERROR(DATEVALUE(TEXTBEFORE(A994,"|")),--LEFT(A994,10)))</f>
        <v/>
      </c>
      <c r="C994">
        <f>IF(A994="","",TEXTBEFORE(TEXTAFTER(A994,"|"),"|"))</f>
        <v/>
      </c>
      <c r="D994">
        <f>IF(A994="","",TEXTAFTER(A994,"|",2))</f>
        <v/>
      </c>
      <c r="E994">
        <f>IF(A994="","",SUMIF(Tickets[TripKey],A994,Tickets[TP]))</f>
        <v/>
      </c>
      <c r="F994">
        <f>IF(A994="","",SUMIF(Tickets[TripKey],A994,Tickets[Revenue]))</f>
        <v/>
      </c>
      <c r="G994">
        <f>IF(A994="","",SUMIF(Tickets[TripKey],A994,Tickets[PK]))</f>
        <v/>
      </c>
      <c r="H994">
        <f>IF(A994="","",IFERROR(XLOOKUP(A994,Tickets[TripKey],Tickets[VehClean]),""))</f>
        <v/>
      </c>
      <c r="I994">
        <f>IF(A994="","",IFERROR(XLOOKUP(A994,Tickets[TripKey],Tickets[RouteLen]),0))</f>
        <v/>
      </c>
      <c r="J994">
        <f>IF(A994="","",IFERROR(XLOOKUP(A994,Tickets[TripKey],Tickets[Capacity]),0))</f>
        <v/>
      </c>
      <c r="K994">
        <f>IF(A994="","",I994*J994)</f>
        <v/>
      </c>
      <c r="L994">
        <f>IF(A994="","",IFERROR(MINIFS(Tickets[Trip Start Time],Tickets[TripKey],A994),""))</f>
        <v/>
      </c>
    </row>
    <row r="995">
      <c r="B995" s="8">
        <f>IF(A995="","",IFERROR(DATEVALUE(TEXTBEFORE(A995,"|")),--LEFT(A995,10)))</f>
        <v/>
      </c>
      <c r="C995">
        <f>IF(A995="","",TEXTBEFORE(TEXTAFTER(A995,"|"),"|"))</f>
        <v/>
      </c>
      <c r="D995">
        <f>IF(A995="","",TEXTAFTER(A995,"|",2))</f>
        <v/>
      </c>
      <c r="E995">
        <f>IF(A995="","",SUMIF(Tickets[TripKey],A995,Tickets[TP]))</f>
        <v/>
      </c>
      <c r="F995">
        <f>IF(A995="","",SUMIF(Tickets[TripKey],A995,Tickets[Revenue]))</f>
        <v/>
      </c>
      <c r="G995">
        <f>IF(A995="","",SUMIF(Tickets[TripKey],A995,Tickets[PK]))</f>
        <v/>
      </c>
      <c r="H995">
        <f>IF(A995="","",IFERROR(XLOOKUP(A995,Tickets[TripKey],Tickets[VehClean]),""))</f>
        <v/>
      </c>
      <c r="I995">
        <f>IF(A995="","",IFERROR(XLOOKUP(A995,Tickets[TripKey],Tickets[RouteLen]),0))</f>
        <v/>
      </c>
      <c r="J995">
        <f>IF(A995="","",IFERROR(XLOOKUP(A995,Tickets[TripKey],Tickets[Capacity]),0))</f>
        <v/>
      </c>
      <c r="K995">
        <f>IF(A995="","",I995*J995)</f>
        <v/>
      </c>
      <c r="L995">
        <f>IF(A995="","",IFERROR(MINIFS(Tickets[Trip Start Time],Tickets[TripKey],A995),""))</f>
        <v/>
      </c>
    </row>
    <row r="996">
      <c r="B996" s="8">
        <f>IF(A996="","",IFERROR(DATEVALUE(TEXTBEFORE(A996,"|")),--LEFT(A996,10)))</f>
        <v/>
      </c>
      <c r="C996">
        <f>IF(A996="","",TEXTBEFORE(TEXTAFTER(A996,"|"),"|"))</f>
        <v/>
      </c>
      <c r="D996">
        <f>IF(A996="","",TEXTAFTER(A996,"|",2))</f>
        <v/>
      </c>
      <c r="E996">
        <f>IF(A996="","",SUMIF(Tickets[TripKey],A996,Tickets[TP]))</f>
        <v/>
      </c>
      <c r="F996">
        <f>IF(A996="","",SUMIF(Tickets[TripKey],A996,Tickets[Revenue]))</f>
        <v/>
      </c>
      <c r="G996">
        <f>IF(A996="","",SUMIF(Tickets[TripKey],A996,Tickets[PK]))</f>
        <v/>
      </c>
      <c r="H996">
        <f>IF(A996="","",IFERROR(XLOOKUP(A996,Tickets[TripKey],Tickets[VehClean]),""))</f>
        <v/>
      </c>
      <c r="I996">
        <f>IF(A996="","",IFERROR(XLOOKUP(A996,Tickets[TripKey],Tickets[RouteLen]),0))</f>
        <v/>
      </c>
      <c r="J996">
        <f>IF(A996="","",IFERROR(XLOOKUP(A996,Tickets[TripKey],Tickets[Capacity]),0))</f>
        <v/>
      </c>
      <c r="K996">
        <f>IF(A996="","",I996*J996)</f>
        <v/>
      </c>
      <c r="L996">
        <f>IF(A996="","",IFERROR(MINIFS(Tickets[Trip Start Time],Tickets[TripKey],A996),""))</f>
        <v/>
      </c>
    </row>
    <row r="997">
      <c r="B997" s="8">
        <f>IF(A997="","",IFERROR(DATEVALUE(TEXTBEFORE(A997,"|")),--LEFT(A997,10)))</f>
        <v/>
      </c>
      <c r="C997">
        <f>IF(A997="","",TEXTBEFORE(TEXTAFTER(A997,"|"),"|"))</f>
        <v/>
      </c>
      <c r="D997">
        <f>IF(A997="","",TEXTAFTER(A997,"|",2))</f>
        <v/>
      </c>
      <c r="E997">
        <f>IF(A997="","",SUMIF(Tickets[TripKey],A997,Tickets[TP]))</f>
        <v/>
      </c>
      <c r="F997">
        <f>IF(A997="","",SUMIF(Tickets[TripKey],A997,Tickets[Revenue]))</f>
        <v/>
      </c>
      <c r="G997">
        <f>IF(A997="","",SUMIF(Tickets[TripKey],A997,Tickets[PK]))</f>
        <v/>
      </c>
      <c r="H997">
        <f>IF(A997="","",IFERROR(XLOOKUP(A997,Tickets[TripKey],Tickets[VehClean]),""))</f>
        <v/>
      </c>
      <c r="I997">
        <f>IF(A997="","",IFERROR(XLOOKUP(A997,Tickets[TripKey],Tickets[RouteLen]),0))</f>
        <v/>
      </c>
      <c r="J997">
        <f>IF(A997="","",IFERROR(XLOOKUP(A997,Tickets[TripKey],Tickets[Capacity]),0))</f>
        <v/>
      </c>
      <c r="K997">
        <f>IF(A997="","",I997*J997)</f>
        <v/>
      </c>
      <c r="L997">
        <f>IF(A997="","",IFERROR(MINIFS(Tickets[Trip Start Time],Tickets[TripKey],A997),""))</f>
        <v/>
      </c>
    </row>
    <row r="998">
      <c r="B998" s="8">
        <f>IF(A998="","",IFERROR(DATEVALUE(TEXTBEFORE(A998,"|")),--LEFT(A998,10)))</f>
        <v/>
      </c>
      <c r="C998">
        <f>IF(A998="","",TEXTBEFORE(TEXTAFTER(A998,"|"),"|"))</f>
        <v/>
      </c>
      <c r="D998">
        <f>IF(A998="","",TEXTAFTER(A998,"|",2))</f>
        <v/>
      </c>
      <c r="E998">
        <f>IF(A998="","",SUMIF(Tickets[TripKey],A998,Tickets[TP]))</f>
        <v/>
      </c>
      <c r="F998">
        <f>IF(A998="","",SUMIF(Tickets[TripKey],A998,Tickets[Revenue]))</f>
        <v/>
      </c>
      <c r="G998">
        <f>IF(A998="","",SUMIF(Tickets[TripKey],A998,Tickets[PK]))</f>
        <v/>
      </c>
      <c r="H998">
        <f>IF(A998="","",IFERROR(XLOOKUP(A998,Tickets[TripKey],Tickets[VehClean]),""))</f>
        <v/>
      </c>
      <c r="I998">
        <f>IF(A998="","",IFERROR(XLOOKUP(A998,Tickets[TripKey],Tickets[RouteLen]),0))</f>
        <v/>
      </c>
      <c r="J998">
        <f>IF(A998="","",IFERROR(XLOOKUP(A998,Tickets[TripKey],Tickets[Capacity]),0))</f>
        <v/>
      </c>
      <c r="K998">
        <f>IF(A998="","",I998*J998)</f>
        <v/>
      </c>
      <c r="L998">
        <f>IF(A998="","",IFERROR(MINIFS(Tickets[Trip Start Time],Tickets[TripKey],A998),""))</f>
        <v/>
      </c>
    </row>
    <row r="999">
      <c r="B999" s="8">
        <f>IF(A999="","",IFERROR(DATEVALUE(TEXTBEFORE(A999,"|")),--LEFT(A999,10)))</f>
        <v/>
      </c>
      <c r="C999">
        <f>IF(A999="","",TEXTBEFORE(TEXTAFTER(A999,"|"),"|"))</f>
        <v/>
      </c>
      <c r="D999">
        <f>IF(A999="","",TEXTAFTER(A999,"|",2))</f>
        <v/>
      </c>
      <c r="E999">
        <f>IF(A999="","",SUMIF(Tickets[TripKey],A999,Tickets[TP]))</f>
        <v/>
      </c>
      <c r="F999">
        <f>IF(A999="","",SUMIF(Tickets[TripKey],A999,Tickets[Revenue]))</f>
        <v/>
      </c>
      <c r="G999">
        <f>IF(A999="","",SUMIF(Tickets[TripKey],A999,Tickets[PK]))</f>
        <v/>
      </c>
      <c r="H999">
        <f>IF(A999="","",IFERROR(XLOOKUP(A999,Tickets[TripKey],Tickets[VehClean]),""))</f>
        <v/>
      </c>
      <c r="I999">
        <f>IF(A999="","",IFERROR(XLOOKUP(A999,Tickets[TripKey],Tickets[RouteLen]),0))</f>
        <v/>
      </c>
      <c r="J999">
        <f>IF(A999="","",IFERROR(XLOOKUP(A999,Tickets[TripKey],Tickets[Capacity]),0))</f>
        <v/>
      </c>
      <c r="K999">
        <f>IF(A999="","",I999*J999)</f>
        <v/>
      </c>
      <c r="L999">
        <f>IF(A999="","",IFERROR(MINIFS(Tickets[Trip Start Time],Tickets[TripKey],A999),""))</f>
        <v/>
      </c>
    </row>
    <row r="1000">
      <c r="B1000" s="8">
        <f>IF(A1000="","",IFERROR(DATEVALUE(TEXTBEFORE(A1000,"|")),--LEFT(A1000,10)))</f>
        <v/>
      </c>
      <c r="C1000">
        <f>IF(A1000="","",TEXTBEFORE(TEXTAFTER(A1000,"|"),"|"))</f>
        <v/>
      </c>
      <c r="D1000">
        <f>IF(A1000="","",TEXTAFTER(A1000,"|",2))</f>
        <v/>
      </c>
      <c r="E1000">
        <f>IF(A1000="","",SUMIF(Tickets[TripKey],A1000,Tickets[TP]))</f>
        <v/>
      </c>
      <c r="F1000">
        <f>IF(A1000="","",SUMIF(Tickets[TripKey],A1000,Tickets[Revenue]))</f>
        <v/>
      </c>
      <c r="G1000">
        <f>IF(A1000="","",SUMIF(Tickets[TripKey],A1000,Tickets[PK]))</f>
        <v/>
      </c>
      <c r="H1000">
        <f>IF(A1000="","",IFERROR(XLOOKUP(A1000,Tickets[TripKey],Tickets[VehClean]),""))</f>
        <v/>
      </c>
      <c r="I1000">
        <f>IF(A1000="","",IFERROR(XLOOKUP(A1000,Tickets[TripKey],Tickets[RouteLen]),0))</f>
        <v/>
      </c>
      <c r="J1000">
        <f>IF(A1000="","",IFERROR(XLOOKUP(A1000,Tickets[TripKey],Tickets[Capacity]),0))</f>
        <v/>
      </c>
      <c r="K1000">
        <f>IF(A1000="","",I1000*J1000)</f>
        <v/>
      </c>
      <c r="L1000">
        <f>IF(A1000="","",IFERROR(MINIFS(Tickets[Trip Start Time],Tickets[TripKey],A1000),""))</f>
        <v/>
      </c>
    </row>
    <row r="1001">
      <c r="B1001" s="8">
        <f>IF(A1001="","",IFERROR(DATEVALUE(TEXTBEFORE(A1001,"|")),--LEFT(A1001,10)))</f>
        <v/>
      </c>
      <c r="C1001">
        <f>IF(A1001="","",TEXTBEFORE(TEXTAFTER(A1001,"|"),"|"))</f>
        <v/>
      </c>
      <c r="D1001">
        <f>IF(A1001="","",TEXTAFTER(A1001,"|",2))</f>
        <v/>
      </c>
      <c r="E1001">
        <f>IF(A1001="","",SUMIF(Tickets[TripKey],A1001,Tickets[TP]))</f>
        <v/>
      </c>
      <c r="F1001">
        <f>IF(A1001="","",SUMIF(Tickets[TripKey],A1001,Tickets[Revenue]))</f>
        <v/>
      </c>
      <c r="G1001">
        <f>IF(A1001="","",SUMIF(Tickets[TripKey],A1001,Tickets[PK]))</f>
        <v/>
      </c>
      <c r="H1001">
        <f>IF(A1001="","",IFERROR(XLOOKUP(A1001,Tickets[TripKey],Tickets[VehClean]),""))</f>
        <v/>
      </c>
      <c r="I1001">
        <f>IF(A1001="","",IFERROR(XLOOKUP(A1001,Tickets[TripKey],Tickets[RouteLen]),0))</f>
        <v/>
      </c>
      <c r="J1001">
        <f>IF(A1001="","",IFERROR(XLOOKUP(A1001,Tickets[TripKey],Tickets[Capacity]),0))</f>
        <v/>
      </c>
      <c r="K1001">
        <f>IF(A1001="","",I1001*J1001)</f>
        <v/>
      </c>
      <c r="L1001">
        <f>IF(A1001="","",IFERROR(MINIFS(Tickets[Trip Start Time],Tickets[TripKey],A1001),""))</f>
        <v/>
      </c>
    </row>
    <row r="1002">
      <c r="B1002" s="8">
        <f>IF(A1002="","",IFERROR(DATEVALUE(TEXTBEFORE(A1002,"|")),--LEFT(A1002,10)))</f>
        <v/>
      </c>
      <c r="C1002">
        <f>IF(A1002="","",TEXTBEFORE(TEXTAFTER(A1002,"|"),"|"))</f>
        <v/>
      </c>
      <c r="D1002">
        <f>IF(A1002="","",TEXTAFTER(A1002,"|",2))</f>
        <v/>
      </c>
      <c r="E1002">
        <f>IF(A1002="","",SUMIF(Tickets[TripKey],A1002,Tickets[TP]))</f>
        <v/>
      </c>
      <c r="F1002">
        <f>IF(A1002="","",SUMIF(Tickets[TripKey],A1002,Tickets[Revenue]))</f>
        <v/>
      </c>
      <c r="G1002">
        <f>IF(A1002="","",SUMIF(Tickets[TripKey],A1002,Tickets[PK]))</f>
        <v/>
      </c>
      <c r="H1002">
        <f>IF(A1002="","",IFERROR(XLOOKUP(A1002,Tickets[TripKey],Tickets[VehClean]),""))</f>
        <v/>
      </c>
      <c r="I1002">
        <f>IF(A1002="","",IFERROR(XLOOKUP(A1002,Tickets[TripKey],Tickets[RouteLen]),0))</f>
        <v/>
      </c>
      <c r="J1002">
        <f>IF(A1002="","",IFERROR(XLOOKUP(A1002,Tickets[TripKey],Tickets[Capacity]),0))</f>
        <v/>
      </c>
      <c r="K1002">
        <f>IF(A1002="","",I1002*J1002)</f>
        <v/>
      </c>
      <c r="L1002">
        <f>IF(A1002="","",IFERROR(MINIFS(Tickets[Trip Start Time],Tickets[TripKey],A1002),""))</f>
        <v/>
      </c>
    </row>
    <row r="1003">
      <c r="B1003" s="8">
        <f>IF(A1003="","",IFERROR(DATEVALUE(TEXTBEFORE(A1003,"|")),--LEFT(A1003,10)))</f>
        <v/>
      </c>
      <c r="C1003">
        <f>IF(A1003="","",TEXTBEFORE(TEXTAFTER(A1003,"|"),"|"))</f>
        <v/>
      </c>
      <c r="D1003">
        <f>IF(A1003="","",TEXTAFTER(A1003,"|",2))</f>
        <v/>
      </c>
      <c r="E1003">
        <f>IF(A1003="","",SUMIF(Tickets[TripKey],A1003,Tickets[TP]))</f>
        <v/>
      </c>
      <c r="F1003">
        <f>IF(A1003="","",SUMIF(Tickets[TripKey],A1003,Tickets[Revenue]))</f>
        <v/>
      </c>
      <c r="G1003">
        <f>IF(A1003="","",SUMIF(Tickets[TripKey],A1003,Tickets[PK]))</f>
        <v/>
      </c>
      <c r="H1003">
        <f>IF(A1003="","",IFERROR(XLOOKUP(A1003,Tickets[TripKey],Tickets[VehClean]),""))</f>
        <v/>
      </c>
      <c r="I1003">
        <f>IF(A1003="","",IFERROR(XLOOKUP(A1003,Tickets[TripKey],Tickets[RouteLen]),0))</f>
        <v/>
      </c>
      <c r="J1003">
        <f>IF(A1003="","",IFERROR(XLOOKUP(A1003,Tickets[TripKey],Tickets[Capacity]),0))</f>
        <v/>
      </c>
      <c r="K1003">
        <f>IF(A1003="","",I1003*J1003)</f>
        <v/>
      </c>
      <c r="L1003">
        <f>IF(A1003="","",IFERROR(MINIFS(Tickets[Trip Start Time],Tickets[TripKey],A1003),""))</f>
        <v/>
      </c>
    </row>
    <row r="1004">
      <c r="B1004" s="8">
        <f>IF(A1004="","",IFERROR(DATEVALUE(TEXTBEFORE(A1004,"|")),--LEFT(A1004,10)))</f>
        <v/>
      </c>
      <c r="C1004">
        <f>IF(A1004="","",TEXTBEFORE(TEXTAFTER(A1004,"|"),"|"))</f>
        <v/>
      </c>
      <c r="D1004">
        <f>IF(A1004="","",TEXTAFTER(A1004,"|",2))</f>
        <v/>
      </c>
      <c r="E1004">
        <f>IF(A1004="","",SUMIF(Tickets[TripKey],A1004,Tickets[TP]))</f>
        <v/>
      </c>
      <c r="F1004">
        <f>IF(A1004="","",SUMIF(Tickets[TripKey],A1004,Tickets[Revenue]))</f>
        <v/>
      </c>
      <c r="G1004">
        <f>IF(A1004="","",SUMIF(Tickets[TripKey],A1004,Tickets[PK]))</f>
        <v/>
      </c>
      <c r="H1004">
        <f>IF(A1004="","",IFERROR(XLOOKUP(A1004,Tickets[TripKey],Tickets[VehClean]),""))</f>
        <v/>
      </c>
      <c r="I1004">
        <f>IF(A1004="","",IFERROR(XLOOKUP(A1004,Tickets[TripKey],Tickets[RouteLen]),0))</f>
        <v/>
      </c>
      <c r="J1004">
        <f>IF(A1004="","",IFERROR(XLOOKUP(A1004,Tickets[TripKey],Tickets[Capacity]),0))</f>
        <v/>
      </c>
      <c r="K1004">
        <f>IF(A1004="","",I1004*J1004)</f>
        <v/>
      </c>
      <c r="L1004">
        <f>IF(A1004="","",IFERROR(MINIFS(Tickets[Trip Start Time],Tickets[TripKey],A1004),""))</f>
        <v/>
      </c>
    </row>
    <row r="1005">
      <c r="B1005" s="8">
        <f>IF(A1005="","",IFERROR(DATEVALUE(TEXTBEFORE(A1005,"|")),--LEFT(A1005,10)))</f>
        <v/>
      </c>
      <c r="C1005">
        <f>IF(A1005="","",TEXTBEFORE(TEXTAFTER(A1005,"|"),"|"))</f>
        <v/>
      </c>
      <c r="D1005">
        <f>IF(A1005="","",TEXTAFTER(A1005,"|",2))</f>
        <v/>
      </c>
      <c r="E1005">
        <f>IF(A1005="","",SUMIF(Tickets[TripKey],A1005,Tickets[TP]))</f>
        <v/>
      </c>
      <c r="F1005">
        <f>IF(A1005="","",SUMIF(Tickets[TripKey],A1005,Tickets[Revenue]))</f>
        <v/>
      </c>
      <c r="G1005">
        <f>IF(A1005="","",SUMIF(Tickets[TripKey],A1005,Tickets[PK]))</f>
        <v/>
      </c>
      <c r="H1005">
        <f>IF(A1005="","",IFERROR(XLOOKUP(A1005,Tickets[TripKey],Tickets[VehClean]),""))</f>
        <v/>
      </c>
      <c r="I1005">
        <f>IF(A1005="","",IFERROR(XLOOKUP(A1005,Tickets[TripKey],Tickets[RouteLen]),0))</f>
        <v/>
      </c>
      <c r="J1005">
        <f>IF(A1005="","",IFERROR(XLOOKUP(A1005,Tickets[TripKey],Tickets[Capacity]),0))</f>
        <v/>
      </c>
      <c r="K1005">
        <f>IF(A1005="","",I1005*J1005)</f>
        <v/>
      </c>
      <c r="L1005">
        <f>IF(A1005="","",IFERROR(MINIFS(Tickets[Trip Start Time],Tickets[TripKey],A1005),""))</f>
        <v/>
      </c>
    </row>
    <row r="1006">
      <c r="B1006" s="8">
        <f>IF(A1006="","",IFERROR(DATEVALUE(TEXTBEFORE(A1006,"|")),--LEFT(A1006,10)))</f>
        <v/>
      </c>
      <c r="C1006">
        <f>IF(A1006="","",TEXTBEFORE(TEXTAFTER(A1006,"|"),"|"))</f>
        <v/>
      </c>
      <c r="D1006">
        <f>IF(A1006="","",TEXTAFTER(A1006,"|",2))</f>
        <v/>
      </c>
      <c r="E1006">
        <f>IF(A1006="","",SUMIF(Tickets[TripKey],A1006,Tickets[TP]))</f>
        <v/>
      </c>
      <c r="F1006">
        <f>IF(A1006="","",SUMIF(Tickets[TripKey],A1006,Tickets[Revenue]))</f>
        <v/>
      </c>
      <c r="G1006">
        <f>IF(A1006="","",SUMIF(Tickets[TripKey],A1006,Tickets[PK]))</f>
        <v/>
      </c>
      <c r="H1006">
        <f>IF(A1006="","",IFERROR(XLOOKUP(A1006,Tickets[TripKey],Tickets[VehClean]),""))</f>
        <v/>
      </c>
      <c r="I1006">
        <f>IF(A1006="","",IFERROR(XLOOKUP(A1006,Tickets[TripKey],Tickets[RouteLen]),0))</f>
        <v/>
      </c>
      <c r="J1006">
        <f>IF(A1006="","",IFERROR(XLOOKUP(A1006,Tickets[TripKey],Tickets[Capacity]),0))</f>
        <v/>
      </c>
      <c r="K1006">
        <f>IF(A1006="","",I1006*J1006)</f>
        <v/>
      </c>
      <c r="L1006">
        <f>IF(A1006="","",IFERROR(MINIFS(Tickets[Trip Start Time],Tickets[TripKey],A1006),""))</f>
        <v/>
      </c>
    </row>
    <row r="1007">
      <c r="B1007" s="8">
        <f>IF(A1007="","",IFERROR(DATEVALUE(TEXTBEFORE(A1007,"|")),--LEFT(A1007,10)))</f>
        <v/>
      </c>
      <c r="C1007">
        <f>IF(A1007="","",TEXTBEFORE(TEXTAFTER(A1007,"|"),"|"))</f>
        <v/>
      </c>
      <c r="D1007">
        <f>IF(A1007="","",TEXTAFTER(A1007,"|",2))</f>
        <v/>
      </c>
      <c r="E1007">
        <f>IF(A1007="","",SUMIF(Tickets[TripKey],A1007,Tickets[TP]))</f>
        <v/>
      </c>
      <c r="F1007">
        <f>IF(A1007="","",SUMIF(Tickets[TripKey],A1007,Tickets[Revenue]))</f>
        <v/>
      </c>
      <c r="G1007">
        <f>IF(A1007="","",SUMIF(Tickets[TripKey],A1007,Tickets[PK]))</f>
        <v/>
      </c>
      <c r="H1007">
        <f>IF(A1007="","",IFERROR(XLOOKUP(A1007,Tickets[TripKey],Tickets[VehClean]),""))</f>
        <v/>
      </c>
      <c r="I1007">
        <f>IF(A1007="","",IFERROR(XLOOKUP(A1007,Tickets[TripKey],Tickets[RouteLen]),0))</f>
        <v/>
      </c>
      <c r="J1007">
        <f>IF(A1007="","",IFERROR(XLOOKUP(A1007,Tickets[TripKey],Tickets[Capacity]),0))</f>
        <v/>
      </c>
      <c r="K1007">
        <f>IF(A1007="","",I1007*J1007)</f>
        <v/>
      </c>
      <c r="L1007">
        <f>IF(A1007="","",IFERROR(MINIFS(Tickets[Trip Start Time],Tickets[TripKey],A1007),""))</f>
        <v/>
      </c>
    </row>
    <row r="1008">
      <c r="B1008" s="8">
        <f>IF(A1008="","",IFERROR(DATEVALUE(TEXTBEFORE(A1008,"|")),--LEFT(A1008,10)))</f>
        <v/>
      </c>
      <c r="C1008">
        <f>IF(A1008="","",TEXTBEFORE(TEXTAFTER(A1008,"|"),"|"))</f>
        <v/>
      </c>
      <c r="D1008">
        <f>IF(A1008="","",TEXTAFTER(A1008,"|",2))</f>
        <v/>
      </c>
      <c r="E1008">
        <f>IF(A1008="","",SUMIF(Tickets[TripKey],A1008,Tickets[TP]))</f>
        <v/>
      </c>
      <c r="F1008">
        <f>IF(A1008="","",SUMIF(Tickets[TripKey],A1008,Tickets[Revenue]))</f>
        <v/>
      </c>
      <c r="G1008">
        <f>IF(A1008="","",SUMIF(Tickets[TripKey],A1008,Tickets[PK]))</f>
        <v/>
      </c>
      <c r="H1008">
        <f>IF(A1008="","",IFERROR(XLOOKUP(A1008,Tickets[TripKey],Tickets[VehClean]),""))</f>
        <v/>
      </c>
      <c r="I1008">
        <f>IF(A1008="","",IFERROR(XLOOKUP(A1008,Tickets[TripKey],Tickets[RouteLen]),0))</f>
        <v/>
      </c>
      <c r="J1008">
        <f>IF(A1008="","",IFERROR(XLOOKUP(A1008,Tickets[TripKey],Tickets[Capacity]),0))</f>
        <v/>
      </c>
      <c r="K1008">
        <f>IF(A1008="","",I1008*J1008)</f>
        <v/>
      </c>
      <c r="L1008">
        <f>IF(A1008="","",IFERROR(MINIFS(Tickets[Trip Start Time],Tickets[TripKey],A1008),""))</f>
        <v/>
      </c>
    </row>
    <row r="1009">
      <c r="B1009" s="8">
        <f>IF(A1009="","",IFERROR(DATEVALUE(TEXTBEFORE(A1009,"|")),--LEFT(A1009,10)))</f>
        <v/>
      </c>
      <c r="C1009">
        <f>IF(A1009="","",TEXTBEFORE(TEXTAFTER(A1009,"|"),"|"))</f>
        <v/>
      </c>
      <c r="D1009">
        <f>IF(A1009="","",TEXTAFTER(A1009,"|",2))</f>
        <v/>
      </c>
      <c r="E1009">
        <f>IF(A1009="","",SUMIF(Tickets[TripKey],A1009,Tickets[TP]))</f>
        <v/>
      </c>
      <c r="F1009">
        <f>IF(A1009="","",SUMIF(Tickets[TripKey],A1009,Tickets[Revenue]))</f>
        <v/>
      </c>
      <c r="G1009">
        <f>IF(A1009="","",SUMIF(Tickets[TripKey],A1009,Tickets[PK]))</f>
        <v/>
      </c>
      <c r="H1009">
        <f>IF(A1009="","",IFERROR(XLOOKUP(A1009,Tickets[TripKey],Tickets[VehClean]),""))</f>
        <v/>
      </c>
      <c r="I1009">
        <f>IF(A1009="","",IFERROR(XLOOKUP(A1009,Tickets[TripKey],Tickets[RouteLen]),0))</f>
        <v/>
      </c>
      <c r="J1009">
        <f>IF(A1009="","",IFERROR(XLOOKUP(A1009,Tickets[TripKey],Tickets[Capacity]),0))</f>
        <v/>
      </c>
      <c r="K1009">
        <f>IF(A1009="","",I1009*J1009)</f>
        <v/>
      </c>
      <c r="L1009">
        <f>IF(A1009="","",IFERROR(MINIFS(Tickets[Trip Start Time],Tickets[TripKey],A1009),""))</f>
        <v/>
      </c>
    </row>
    <row r="1010">
      <c r="B1010" s="8">
        <f>IF(A1010="","",IFERROR(DATEVALUE(TEXTBEFORE(A1010,"|")),--LEFT(A1010,10)))</f>
        <v/>
      </c>
      <c r="C1010">
        <f>IF(A1010="","",TEXTBEFORE(TEXTAFTER(A1010,"|"),"|"))</f>
        <v/>
      </c>
      <c r="D1010">
        <f>IF(A1010="","",TEXTAFTER(A1010,"|",2))</f>
        <v/>
      </c>
      <c r="E1010">
        <f>IF(A1010="","",SUMIF(Tickets[TripKey],A1010,Tickets[TP]))</f>
        <v/>
      </c>
      <c r="F1010">
        <f>IF(A1010="","",SUMIF(Tickets[TripKey],A1010,Tickets[Revenue]))</f>
        <v/>
      </c>
      <c r="G1010">
        <f>IF(A1010="","",SUMIF(Tickets[TripKey],A1010,Tickets[PK]))</f>
        <v/>
      </c>
      <c r="H1010">
        <f>IF(A1010="","",IFERROR(XLOOKUP(A1010,Tickets[TripKey],Tickets[VehClean]),""))</f>
        <v/>
      </c>
      <c r="I1010">
        <f>IF(A1010="","",IFERROR(XLOOKUP(A1010,Tickets[TripKey],Tickets[RouteLen]),0))</f>
        <v/>
      </c>
      <c r="J1010">
        <f>IF(A1010="","",IFERROR(XLOOKUP(A1010,Tickets[TripKey],Tickets[Capacity]),0))</f>
        <v/>
      </c>
      <c r="K1010">
        <f>IF(A1010="","",I1010*J1010)</f>
        <v/>
      </c>
      <c r="L1010">
        <f>IF(A1010="","",IFERROR(MINIFS(Tickets[Trip Start Time],Tickets[TripKey],A1010),""))</f>
        <v/>
      </c>
    </row>
    <row r="1011">
      <c r="B1011" s="8">
        <f>IF(A1011="","",IFERROR(DATEVALUE(TEXTBEFORE(A1011,"|")),--LEFT(A1011,10)))</f>
        <v/>
      </c>
      <c r="C1011">
        <f>IF(A1011="","",TEXTBEFORE(TEXTAFTER(A1011,"|"),"|"))</f>
        <v/>
      </c>
      <c r="D1011">
        <f>IF(A1011="","",TEXTAFTER(A1011,"|",2))</f>
        <v/>
      </c>
      <c r="E1011">
        <f>IF(A1011="","",SUMIF(Tickets[TripKey],A1011,Tickets[TP]))</f>
        <v/>
      </c>
      <c r="F1011">
        <f>IF(A1011="","",SUMIF(Tickets[TripKey],A1011,Tickets[Revenue]))</f>
        <v/>
      </c>
      <c r="G1011">
        <f>IF(A1011="","",SUMIF(Tickets[TripKey],A1011,Tickets[PK]))</f>
        <v/>
      </c>
      <c r="H1011">
        <f>IF(A1011="","",IFERROR(XLOOKUP(A1011,Tickets[TripKey],Tickets[VehClean]),""))</f>
        <v/>
      </c>
      <c r="I1011">
        <f>IF(A1011="","",IFERROR(XLOOKUP(A1011,Tickets[TripKey],Tickets[RouteLen]),0))</f>
        <v/>
      </c>
      <c r="J1011">
        <f>IF(A1011="","",IFERROR(XLOOKUP(A1011,Tickets[TripKey],Tickets[Capacity]),0))</f>
        <v/>
      </c>
      <c r="K1011">
        <f>IF(A1011="","",I1011*J1011)</f>
        <v/>
      </c>
      <c r="L1011">
        <f>IF(A1011="","",IFERROR(MINIFS(Tickets[Trip Start Time],Tickets[TripKey],A1011),""))</f>
        <v/>
      </c>
    </row>
    <row r="1012">
      <c r="B1012" s="8">
        <f>IF(A1012="","",IFERROR(DATEVALUE(TEXTBEFORE(A1012,"|")),--LEFT(A1012,10)))</f>
        <v/>
      </c>
      <c r="C1012">
        <f>IF(A1012="","",TEXTBEFORE(TEXTAFTER(A1012,"|"),"|"))</f>
        <v/>
      </c>
      <c r="D1012">
        <f>IF(A1012="","",TEXTAFTER(A1012,"|",2))</f>
        <v/>
      </c>
      <c r="E1012">
        <f>IF(A1012="","",SUMIF(Tickets[TripKey],A1012,Tickets[TP]))</f>
        <v/>
      </c>
      <c r="F1012">
        <f>IF(A1012="","",SUMIF(Tickets[TripKey],A1012,Tickets[Revenue]))</f>
        <v/>
      </c>
      <c r="G1012">
        <f>IF(A1012="","",SUMIF(Tickets[TripKey],A1012,Tickets[PK]))</f>
        <v/>
      </c>
      <c r="H1012">
        <f>IF(A1012="","",IFERROR(XLOOKUP(A1012,Tickets[TripKey],Tickets[VehClean]),""))</f>
        <v/>
      </c>
      <c r="I1012">
        <f>IF(A1012="","",IFERROR(XLOOKUP(A1012,Tickets[TripKey],Tickets[RouteLen]),0))</f>
        <v/>
      </c>
      <c r="J1012">
        <f>IF(A1012="","",IFERROR(XLOOKUP(A1012,Tickets[TripKey],Tickets[Capacity]),0))</f>
        <v/>
      </c>
      <c r="K1012">
        <f>IF(A1012="","",I1012*J1012)</f>
        <v/>
      </c>
      <c r="L1012">
        <f>IF(A1012="","",IFERROR(MINIFS(Tickets[Trip Start Time],Tickets[TripKey],A1012),""))</f>
        <v/>
      </c>
    </row>
    <row r="1013">
      <c r="B1013" s="8">
        <f>IF(A1013="","",IFERROR(DATEVALUE(TEXTBEFORE(A1013,"|")),--LEFT(A1013,10)))</f>
        <v/>
      </c>
      <c r="C1013">
        <f>IF(A1013="","",TEXTBEFORE(TEXTAFTER(A1013,"|"),"|"))</f>
        <v/>
      </c>
      <c r="D1013">
        <f>IF(A1013="","",TEXTAFTER(A1013,"|",2))</f>
        <v/>
      </c>
      <c r="E1013">
        <f>IF(A1013="","",SUMIF(Tickets[TripKey],A1013,Tickets[TP]))</f>
        <v/>
      </c>
      <c r="F1013">
        <f>IF(A1013="","",SUMIF(Tickets[TripKey],A1013,Tickets[Revenue]))</f>
        <v/>
      </c>
      <c r="G1013">
        <f>IF(A1013="","",SUMIF(Tickets[TripKey],A1013,Tickets[PK]))</f>
        <v/>
      </c>
      <c r="H1013">
        <f>IF(A1013="","",IFERROR(XLOOKUP(A1013,Tickets[TripKey],Tickets[VehClean]),""))</f>
        <v/>
      </c>
      <c r="I1013">
        <f>IF(A1013="","",IFERROR(XLOOKUP(A1013,Tickets[TripKey],Tickets[RouteLen]),0))</f>
        <v/>
      </c>
      <c r="J1013">
        <f>IF(A1013="","",IFERROR(XLOOKUP(A1013,Tickets[TripKey],Tickets[Capacity]),0))</f>
        <v/>
      </c>
      <c r="K1013">
        <f>IF(A1013="","",I1013*J1013)</f>
        <v/>
      </c>
      <c r="L1013">
        <f>IF(A1013="","",IFERROR(MINIFS(Tickets[Trip Start Time],Tickets[TripKey],A1013),""))</f>
        <v/>
      </c>
    </row>
    <row r="1014">
      <c r="B1014" s="8">
        <f>IF(A1014="","",IFERROR(DATEVALUE(TEXTBEFORE(A1014,"|")),--LEFT(A1014,10)))</f>
        <v/>
      </c>
      <c r="C1014">
        <f>IF(A1014="","",TEXTBEFORE(TEXTAFTER(A1014,"|"),"|"))</f>
        <v/>
      </c>
      <c r="D1014">
        <f>IF(A1014="","",TEXTAFTER(A1014,"|",2))</f>
        <v/>
      </c>
      <c r="E1014">
        <f>IF(A1014="","",SUMIF(Tickets[TripKey],A1014,Tickets[TP]))</f>
        <v/>
      </c>
      <c r="F1014">
        <f>IF(A1014="","",SUMIF(Tickets[TripKey],A1014,Tickets[Revenue]))</f>
        <v/>
      </c>
      <c r="G1014">
        <f>IF(A1014="","",SUMIF(Tickets[TripKey],A1014,Tickets[PK]))</f>
        <v/>
      </c>
      <c r="H1014">
        <f>IF(A1014="","",IFERROR(XLOOKUP(A1014,Tickets[TripKey],Tickets[VehClean]),""))</f>
        <v/>
      </c>
      <c r="I1014">
        <f>IF(A1014="","",IFERROR(XLOOKUP(A1014,Tickets[TripKey],Tickets[RouteLen]),0))</f>
        <v/>
      </c>
      <c r="J1014">
        <f>IF(A1014="","",IFERROR(XLOOKUP(A1014,Tickets[TripKey],Tickets[Capacity]),0))</f>
        <v/>
      </c>
      <c r="K1014">
        <f>IF(A1014="","",I1014*J1014)</f>
        <v/>
      </c>
      <c r="L1014">
        <f>IF(A1014="","",IFERROR(MINIFS(Tickets[Trip Start Time],Tickets[TripKey],A1014),""))</f>
        <v/>
      </c>
    </row>
    <row r="1015">
      <c r="B1015" s="8">
        <f>IF(A1015="","",IFERROR(DATEVALUE(TEXTBEFORE(A1015,"|")),--LEFT(A1015,10)))</f>
        <v/>
      </c>
      <c r="C1015">
        <f>IF(A1015="","",TEXTBEFORE(TEXTAFTER(A1015,"|"),"|"))</f>
        <v/>
      </c>
      <c r="D1015">
        <f>IF(A1015="","",TEXTAFTER(A1015,"|",2))</f>
        <v/>
      </c>
      <c r="E1015">
        <f>IF(A1015="","",SUMIF(Tickets[TripKey],A1015,Tickets[TP]))</f>
        <v/>
      </c>
      <c r="F1015">
        <f>IF(A1015="","",SUMIF(Tickets[TripKey],A1015,Tickets[Revenue]))</f>
        <v/>
      </c>
      <c r="G1015">
        <f>IF(A1015="","",SUMIF(Tickets[TripKey],A1015,Tickets[PK]))</f>
        <v/>
      </c>
      <c r="H1015">
        <f>IF(A1015="","",IFERROR(XLOOKUP(A1015,Tickets[TripKey],Tickets[VehClean]),""))</f>
        <v/>
      </c>
      <c r="I1015">
        <f>IF(A1015="","",IFERROR(XLOOKUP(A1015,Tickets[TripKey],Tickets[RouteLen]),0))</f>
        <v/>
      </c>
      <c r="J1015">
        <f>IF(A1015="","",IFERROR(XLOOKUP(A1015,Tickets[TripKey],Tickets[Capacity]),0))</f>
        <v/>
      </c>
      <c r="K1015">
        <f>IF(A1015="","",I1015*J1015)</f>
        <v/>
      </c>
      <c r="L1015">
        <f>IF(A1015="","",IFERROR(MINIFS(Tickets[Trip Start Time],Tickets[TripKey],A1015),""))</f>
        <v/>
      </c>
    </row>
    <row r="1016">
      <c r="B1016" s="8">
        <f>IF(A1016="","",IFERROR(DATEVALUE(TEXTBEFORE(A1016,"|")),--LEFT(A1016,10)))</f>
        <v/>
      </c>
      <c r="C1016">
        <f>IF(A1016="","",TEXTBEFORE(TEXTAFTER(A1016,"|"),"|"))</f>
        <v/>
      </c>
      <c r="D1016">
        <f>IF(A1016="","",TEXTAFTER(A1016,"|",2))</f>
        <v/>
      </c>
      <c r="E1016">
        <f>IF(A1016="","",SUMIF(Tickets[TripKey],A1016,Tickets[TP]))</f>
        <v/>
      </c>
      <c r="F1016">
        <f>IF(A1016="","",SUMIF(Tickets[TripKey],A1016,Tickets[Revenue]))</f>
        <v/>
      </c>
      <c r="G1016">
        <f>IF(A1016="","",SUMIF(Tickets[TripKey],A1016,Tickets[PK]))</f>
        <v/>
      </c>
      <c r="H1016">
        <f>IF(A1016="","",IFERROR(XLOOKUP(A1016,Tickets[TripKey],Tickets[VehClean]),""))</f>
        <v/>
      </c>
      <c r="I1016">
        <f>IF(A1016="","",IFERROR(XLOOKUP(A1016,Tickets[TripKey],Tickets[RouteLen]),0))</f>
        <v/>
      </c>
      <c r="J1016">
        <f>IF(A1016="","",IFERROR(XLOOKUP(A1016,Tickets[TripKey],Tickets[Capacity]),0))</f>
        <v/>
      </c>
      <c r="K1016">
        <f>IF(A1016="","",I1016*J1016)</f>
        <v/>
      </c>
      <c r="L1016">
        <f>IF(A1016="","",IFERROR(MINIFS(Tickets[Trip Start Time],Tickets[TripKey],A1016),""))</f>
        <v/>
      </c>
    </row>
    <row r="1017">
      <c r="B1017" s="8">
        <f>IF(A1017="","",IFERROR(DATEVALUE(TEXTBEFORE(A1017,"|")),--LEFT(A1017,10)))</f>
        <v/>
      </c>
      <c r="C1017">
        <f>IF(A1017="","",TEXTBEFORE(TEXTAFTER(A1017,"|"),"|"))</f>
        <v/>
      </c>
      <c r="D1017">
        <f>IF(A1017="","",TEXTAFTER(A1017,"|",2))</f>
        <v/>
      </c>
      <c r="E1017">
        <f>IF(A1017="","",SUMIF(Tickets[TripKey],A1017,Tickets[TP]))</f>
        <v/>
      </c>
      <c r="F1017">
        <f>IF(A1017="","",SUMIF(Tickets[TripKey],A1017,Tickets[Revenue]))</f>
        <v/>
      </c>
      <c r="G1017">
        <f>IF(A1017="","",SUMIF(Tickets[TripKey],A1017,Tickets[PK]))</f>
        <v/>
      </c>
      <c r="H1017">
        <f>IF(A1017="","",IFERROR(XLOOKUP(A1017,Tickets[TripKey],Tickets[VehClean]),""))</f>
        <v/>
      </c>
      <c r="I1017">
        <f>IF(A1017="","",IFERROR(XLOOKUP(A1017,Tickets[TripKey],Tickets[RouteLen]),0))</f>
        <v/>
      </c>
      <c r="J1017">
        <f>IF(A1017="","",IFERROR(XLOOKUP(A1017,Tickets[TripKey],Tickets[Capacity]),0))</f>
        <v/>
      </c>
      <c r="K1017">
        <f>IF(A1017="","",I1017*J1017)</f>
        <v/>
      </c>
      <c r="L1017">
        <f>IF(A1017="","",IFERROR(MINIFS(Tickets[Trip Start Time],Tickets[TripKey],A1017),""))</f>
        <v/>
      </c>
    </row>
    <row r="1018">
      <c r="B1018" s="8">
        <f>IF(A1018="","",IFERROR(DATEVALUE(TEXTBEFORE(A1018,"|")),--LEFT(A1018,10)))</f>
        <v/>
      </c>
      <c r="C1018">
        <f>IF(A1018="","",TEXTBEFORE(TEXTAFTER(A1018,"|"),"|"))</f>
        <v/>
      </c>
      <c r="D1018">
        <f>IF(A1018="","",TEXTAFTER(A1018,"|",2))</f>
        <v/>
      </c>
      <c r="E1018">
        <f>IF(A1018="","",SUMIF(Tickets[TripKey],A1018,Tickets[TP]))</f>
        <v/>
      </c>
      <c r="F1018">
        <f>IF(A1018="","",SUMIF(Tickets[TripKey],A1018,Tickets[Revenue]))</f>
        <v/>
      </c>
      <c r="G1018">
        <f>IF(A1018="","",SUMIF(Tickets[TripKey],A1018,Tickets[PK]))</f>
        <v/>
      </c>
      <c r="H1018">
        <f>IF(A1018="","",IFERROR(XLOOKUP(A1018,Tickets[TripKey],Tickets[VehClean]),""))</f>
        <v/>
      </c>
      <c r="I1018">
        <f>IF(A1018="","",IFERROR(XLOOKUP(A1018,Tickets[TripKey],Tickets[RouteLen]),0))</f>
        <v/>
      </c>
      <c r="J1018">
        <f>IF(A1018="","",IFERROR(XLOOKUP(A1018,Tickets[TripKey],Tickets[Capacity]),0))</f>
        <v/>
      </c>
      <c r="K1018">
        <f>IF(A1018="","",I1018*J1018)</f>
        <v/>
      </c>
      <c r="L1018">
        <f>IF(A1018="","",IFERROR(MINIFS(Tickets[Trip Start Time],Tickets[TripKey],A1018),""))</f>
        <v/>
      </c>
    </row>
    <row r="1019">
      <c r="B1019" s="8">
        <f>IF(A1019="","",IFERROR(DATEVALUE(TEXTBEFORE(A1019,"|")),--LEFT(A1019,10)))</f>
        <v/>
      </c>
      <c r="C1019">
        <f>IF(A1019="","",TEXTBEFORE(TEXTAFTER(A1019,"|"),"|"))</f>
        <v/>
      </c>
      <c r="D1019">
        <f>IF(A1019="","",TEXTAFTER(A1019,"|",2))</f>
        <v/>
      </c>
      <c r="E1019">
        <f>IF(A1019="","",SUMIF(Tickets[TripKey],A1019,Tickets[TP]))</f>
        <v/>
      </c>
      <c r="F1019">
        <f>IF(A1019="","",SUMIF(Tickets[TripKey],A1019,Tickets[Revenue]))</f>
        <v/>
      </c>
      <c r="G1019">
        <f>IF(A1019="","",SUMIF(Tickets[TripKey],A1019,Tickets[PK]))</f>
        <v/>
      </c>
      <c r="H1019">
        <f>IF(A1019="","",IFERROR(XLOOKUP(A1019,Tickets[TripKey],Tickets[VehClean]),""))</f>
        <v/>
      </c>
      <c r="I1019">
        <f>IF(A1019="","",IFERROR(XLOOKUP(A1019,Tickets[TripKey],Tickets[RouteLen]),0))</f>
        <v/>
      </c>
      <c r="J1019">
        <f>IF(A1019="","",IFERROR(XLOOKUP(A1019,Tickets[TripKey],Tickets[Capacity]),0))</f>
        <v/>
      </c>
      <c r="K1019">
        <f>IF(A1019="","",I1019*J1019)</f>
        <v/>
      </c>
      <c r="L1019">
        <f>IF(A1019="","",IFERROR(MINIFS(Tickets[Trip Start Time],Tickets[TripKey],A1019),""))</f>
        <v/>
      </c>
    </row>
    <row r="1020">
      <c r="B1020" s="8">
        <f>IF(A1020="","",IFERROR(DATEVALUE(TEXTBEFORE(A1020,"|")),--LEFT(A1020,10)))</f>
        <v/>
      </c>
      <c r="C1020">
        <f>IF(A1020="","",TEXTBEFORE(TEXTAFTER(A1020,"|"),"|"))</f>
        <v/>
      </c>
      <c r="D1020">
        <f>IF(A1020="","",TEXTAFTER(A1020,"|",2))</f>
        <v/>
      </c>
      <c r="E1020">
        <f>IF(A1020="","",SUMIF(Tickets[TripKey],A1020,Tickets[TP]))</f>
        <v/>
      </c>
      <c r="F1020">
        <f>IF(A1020="","",SUMIF(Tickets[TripKey],A1020,Tickets[Revenue]))</f>
        <v/>
      </c>
      <c r="G1020">
        <f>IF(A1020="","",SUMIF(Tickets[TripKey],A1020,Tickets[PK]))</f>
        <v/>
      </c>
      <c r="H1020">
        <f>IF(A1020="","",IFERROR(XLOOKUP(A1020,Tickets[TripKey],Tickets[VehClean]),""))</f>
        <v/>
      </c>
      <c r="I1020">
        <f>IF(A1020="","",IFERROR(XLOOKUP(A1020,Tickets[TripKey],Tickets[RouteLen]),0))</f>
        <v/>
      </c>
      <c r="J1020">
        <f>IF(A1020="","",IFERROR(XLOOKUP(A1020,Tickets[TripKey],Tickets[Capacity]),0))</f>
        <v/>
      </c>
      <c r="K1020">
        <f>IF(A1020="","",I1020*J1020)</f>
        <v/>
      </c>
      <c r="L1020">
        <f>IF(A1020="","",IFERROR(MINIFS(Tickets[Trip Start Time],Tickets[TripKey],A1020),""))</f>
        <v/>
      </c>
    </row>
    <row r="1021">
      <c r="B1021" s="8">
        <f>IF(A1021="","",IFERROR(DATEVALUE(TEXTBEFORE(A1021,"|")),--LEFT(A1021,10)))</f>
        <v/>
      </c>
      <c r="C1021">
        <f>IF(A1021="","",TEXTBEFORE(TEXTAFTER(A1021,"|"),"|"))</f>
        <v/>
      </c>
      <c r="D1021">
        <f>IF(A1021="","",TEXTAFTER(A1021,"|",2))</f>
        <v/>
      </c>
      <c r="E1021">
        <f>IF(A1021="","",SUMIF(Tickets[TripKey],A1021,Tickets[TP]))</f>
        <v/>
      </c>
      <c r="F1021">
        <f>IF(A1021="","",SUMIF(Tickets[TripKey],A1021,Tickets[Revenue]))</f>
        <v/>
      </c>
      <c r="G1021">
        <f>IF(A1021="","",SUMIF(Tickets[TripKey],A1021,Tickets[PK]))</f>
        <v/>
      </c>
      <c r="H1021">
        <f>IF(A1021="","",IFERROR(XLOOKUP(A1021,Tickets[TripKey],Tickets[VehClean]),""))</f>
        <v/>
      </c>
      <c r="I1021">
        <f>IF(A1021="","",IFERROR(XLOOKUP(A1021,Tickets[TripKey],Tickets[RouteLen]),0))</f>
        <v/>
      </c>
      <c r="J1021">
        <f>IF(A1021="","",IFERROR(XLOOKUP(A1021,Tickets[TripKey],Tickets[Capacity]),0))</f>
        <v/>
      </c>
      <c r="K1021">
        <f>IF(A1021="","",I1021*J1021)</f>
        <v/>
      </c>
      <c r="L1021">
        <f>IF(A1021="","",IFERROR(MINIFS(Tickets[Trip Start Time],Tickets[TripKey],A1021),""))</f>
        <v/>
      </c>
    </row>
    <row r="1022">
      <c r="B1022" s="8">
        <f>IF(A1022="","",IFERROR(DATEVALUE(TEXTBEFORE(A1022,"|")),--LEFT(A1022,10)))</f>
        <v/>
      </c>
      <c r="C1022">
        <f>IF(A1022="","",TEXTBEFORE(TEXTAFTER(A1022,"|"),"|"))</f>
        <v/>
      </c>
      <c r="D1022">
        <f>IF(A1022="","",TEXTAFTER(A1022,"|",2))</f>
        <v/>
      </c>
      <c r="E1022">
        <f>IF(A1022="","",SUMIF(Tickets[TripKey],A1022,Tickets[TP]))</f>
        <v/>
      </c>
      <c r="F1022">
        <f>IF(A1022="","",SUMIF(Tickets[TripKey],A1022,Tickets[Revenue]))</f>
        <v/>
      </c>
      <c r="G1022">
        <f>IF(A1022="","",SUMIF(Tickets[TripKey],A1022,Tickets[PK]))</f>
        <v/>
      </c>
      <c r="H1022">
        <f>IF(A1022="","",IFERROR(XLOOKUP(A1022,Tickets[TripKey],Tickets[VehClean]),""))</f>
        <v/>
      </c>
      <c r="I1022">
        <f>IF(A1022="","",IFERROR(XLOOKUP(A1022,Tickets[TripKey],Tickets[RouteLen]),0))</f>
        <v/>
      </c>
      <c r="J1022">
        <f>IF(A1022="","",IFERROR(XLOOKUP(A1022,Tickets[TripKey],Tickets[Capacity]),0))</f>
        <v/>
      </c>
      <c r="K1022">
        <f>IF(A1022="","",I1022*J1022)</f>
        <v/>
      </c>
      <c r="L1022">
        <f>IF(A1022="","",IFERROR(MINIFS(Tickets[Trip Start Time],Tickets[TripKey],A1022),""))</f>
        <v/>
      </c>
    </row>
    <row r="1023">
      <c r="B1023" s="8">
        <f>IF(A1023="","",IFERROR(DATEVALUE(TEXTBEFORE(A1023,"|")),--LEFT(A1023,10)))</f>
        <v/>
      </c>
      <c r="C1023">
        <f>IF(A1023="","",TEXTBEFORE(TEXTAFTER(A1023,"|"),"|"))</f>
        <v/>
      </c>
      <c r="D1023">
        <f>IF(A1023="","",TEXTAFTER(A1023,"|",2))</f>
        <v/>
      </c>
      <c r="E1023">
        <f>IF(A1023="","",SUMIF(Tickets[TripKey],A1023,Tickets[TP]))</f>
        <v/>
      </c>
      <c r="F1023">
        <f>IF(A1023="","",SUMIF(Tickets[TripKey],A1023,Tickets[Revenue]))</f>
        <v/>
      </c>
      <c r="G1023">
        <f>IF(A1023="","",SUMIF(Tickets[TripKey],A1023,Tickets[PK]))</f>
        <v/>
      </c>
      <c r="H1023">
        <f>IF(A1023="","",IFERROR(XLOOKUP(A1023,Tickets[TripKey],Tickets[VehClean]),""))</f>
        <v/>
      </c>
      <c r="I1023">
        <f>IF(A1023="","",IFERROR(XLOOKUP(A1023,Tickets[TripKey],Tickets[RouteLen]),0))</f>
        <v/>
      </c>
      <c r="J1023">
        <f>IF(A1023="","",IFERROR(XLOOKUP(A1023,Tickets[TripKey],Tickets[Capacity]),0))</f>
        <v/>
      </c>
      <c r="K1023">
        <f>IF(A1023="","",I1023*J1023)</f>
        <v/>
      </c>
      <c r="L1023">
        <f>IF(A1023="","",IFERROR(MINIFS(Tickets[Trip Start Time],Tickets[TripKey],A1023),""))</f>
        <v/>
      </c>
    </row>
    <row r="1024">
      <c r="B1024" s="8">
        <f>IF(A1024="","",IFERROR(DATEVALUE(TEXTBEFORE(A1024,"|")),--LEFT(A1024,10)))</f>
        <v/>
      </c>
      <c r="C1024">
        <f>IF(A1024="","",TEXTBEFORE(TEXTAFTER(A1024,"|"),"|"))</f>
        <v/>
      </c>
      <c r="D1024">
        <f>IF(A1024="","",TEXTAFTER(A1024,"|",2))</f>
        <v/>
      </c>
      <c r="E1024">
        <f>IF(A1024="","",SUMIF(Tickets[TripKey],A1024,Tickets[TP]))</f>
        <v/>
      </c>
      <c r="F1024">
        <f>IF(A1024="","",SUMIF(Tickets[TripKey],A1024,Tickets[Revenue]))</f>
        <v/>
      </c>
      <c r="G1024">
        <f>IF(A1024="","",SUMIF(Tickets[TripKey],A1024,Tickets[PK]))</f>
        <v/>
      </c>
      <c r="H1024">
        <f>IF(A1024="","",IFERROR(XLOOKUP(A1024,Tickets[TripKey],Tickets[VehClean]),""))</f>
        <v/>
      </c>
      <c r="I1024">
        <f>IF(A1024="","",IFERROR(XLOOKUP(A1024,Tickets[TripKey],Tickets[RouteLen]),0))</f>
        <v/>
      </c>
      <c r="J1024">
        <f>IF(A1024="","",IFERROR(XLOOKUP(A1024,Tickets[TripKey],Tickets[Capacity]),0))</f>
        <v/>
      </c>
      <c r="K1024">
        <f>IF(A1024="","",I1024*J1024)</f>
        <v/>
      </c>
      <c r="L1024">
        <f>IF(A1024="","",IFERROR(MINIFS(Tickets[Trip Start Time],Tickets[TripKey],A1024),""))</f>
        <v/>
      </c>
    </row>
    <row r="1025">
      <c r="B1025" s="8">
        <f>IF(A1025="","",IFERROR(DATEVALUE(TEXTBEFORE(A1025,"|")),--LEFT(A1025,10)))</f>
        <v/>
      </c>
      <c r="C1025">
        <f>IF(A1025="","",TEXTBEFORE(TEXTAFTER(A1025,"|"),"|"))</f>
        <v/>
      </c>
      <c r="D1025">
        <f>IF(A1025="","",TEXTAFTER(A1025,"|",2))</f>
        <v/>
      </c>
      <c r="E1025">
        <f>IF(A1025="","",SUMIF(Tickets[TripKey],A1025,Tickets[TP]))</f>
        <v/>
      </c>
      <c r="F1025">
        <f>IF(A1025="","",SUMIF(Tickets[TripKey],A1025,Tickets[Revenue]))</f>
        <v/>
      </c>
      <c r="G1025">
        <f>IF(A1025="","",SUMIF(Tickets[TripKey],A1025,Tickets[PK]))</f>
        <v/>
      </c>
      <c r="H1025">
        <f>IF(A1025="","",IFERROR(XLOOKUP(A1025,Tickets[TripKey],Tickets[VehClean]),""))</f>
        <v/>
      </c>
      <c r="I1025">
        <f>IF(A1025="","",IFERROR(XLOOKUP(A1025,Tickets[TripKey],Tickets[RouteLen]),0))</f>
        <v/>
      </c>
      <c r="J1025">
        <f>IF(A1025="","",IFERROR(XLOOKUP(A1025,Tickets[TripKey],Tickets[Capacity]),0))</f>
        <v/>
      </c>
      <c r="K1025">
        <f>IF(A1025="","",I1025*J1025)</f>
        <v/>
      </c>
      <c r="L1025">
        <f>IF(A1025="","",IFERROR(MINIFS(Tickets[Trip Start Time],Tickets[TripKey],A1025),""))</f>
        <v/>
      </c>
    </row>
    <row r="1026">
      <c r="B1026" s="8">
        <f>IF(A1026="","",IFERROR(DATEVALUE(TEXTBEFORE(A1026,"|")),--LEFT(A1026,10)))</f>
        <v/>
      </c>
      <c r="C1026">
        <f>IF(A1026="","",TEXTBEFORE(TEXTAFTER(A1026,"|"),"|"))</f>
        <v/>
      </c>
      <c r="D1026">
        <f>IF(A1026="","",TEXTAFTER(A1026,"|",2))</f>
        <v/>
      </c>
      <c r="E1026">
        <f>IF(A1026="","",SUMIF(Tickets[TripKey],A1026,Tickets[TP]))</f>
        <v/>
      </c>
      <c r="F1026">
        <f>IF(A1026="","",SUMIF(Tickets[TripKey],A1026,Tickets[Revenue]))</f>
        <v/>
      </c>
      <c r="G1026">
        <f>IF(A1026="","",SUMIF(Tickets[TripKey],A1026,Tickets[PK]))</f>
        <v/>
      </c>
      <c r="H1026">
        <f>IF(A1026="","",IFERROR(XLOOKUP(A1026,Tickets[TripKey],Tickets[VehClean]),""))</f>
        <v/>
      </c>
      <c r="I1026">
        <f>IF(A1026="","",IFERROR(XLOOKUP(A1026,Tickets[TripKey],Tickets[RouteLen]),0))</f>
        <v/>
      </c>
      <c r="J1026">
        <f>IF(A1026="","",IFERROR(XLOOKUP(A1026,Tickets[TripKey],Tickets[Capacity]),0))</f>
        <v/>
      </c>
      <c r="K1026">
        <f>IF(A1026="","",I1026*J1026)</f>
        <v/>
      </c>
      <c r="L1026">
        <f>IF(A1026="","",IFERROR(MINIFS(Tickets[Trip Start Time],Tickets[TripKey],A1026),""))</f>
        <v/>
      </c>
    </row>
    <row r="1027">
      <c r="B1027" s="8">
        <f>IF(A1027="","",IFERROR(DATEVALUE(TEXTBEFORE(A1027,"|")),--LEFT(A1027,10)))</f>
        <v/>
      </c>
      <c r="C1027">
        <f>IF(A1027="","",TEXTBEFORE(TEXTAFTER(A1027,"|"),"|"))</f>
        <v/>
      </c>
      <c r="D1027">
        <f>IF(A1027="","",TEXTAFTER(A1027,"|",2))</f>
        <v/>
      </c>
      <c r="E1027">
        <f>IF(A1027="","",SUMIF(Tickets[TripKey],A1027,Tickets[TP]))</f>
        <v/>
      </c>
      <c r="F1027">
        <f>IF(A1027="","",SUMIF(Tickets[TripKey],A1027,Tickets[Revenue]))</f>
        <v/>
      </c>
      <c r="G1027">
        <f>IF(A1027="","",SUMIF(Tickets[TripKey],A1027,Tickets[PK]))</f>
        <v/>
      </c>
      <c r="H1027">
        <f>IF(A1027="","",IFERROR(XLOOKUP(A1027,Tickets[TripKey],Tickets[VehClean]),""))</f>
        <v/>
      </c>
      <c r="I1027">
        <f>IF(A1027="","",IFERROR(XLOOKUP(A1027,Tickets[TripKey],Tickets[RouteLen]),0))</f>
        <v/>
      </c>
      <c r="J1027">
        <f>IF(A1027="","",IFERROR(XLOOKUP(A1027,Tickets[TripKey],Tickets[Capacity]),0))</f>
        <v/>
      </c>
      <c r="K1027">
        <f>IF(A1027="","",I1027*J1027)</f>
        <v/>
      </c>
      <c r="L1027">
        <f>IF(A1027="","",IFERROR(MINIFS(Tickets[Trip Start Time],Tickets[TripKey],A1027),""))</f>
        <v/>
      </c>
    </row>
    <row r="1028">
      <c r="B1028" s="8">
        <f>IF(A1028="","",IFERROR(DATEVALUE(TEXTBEFORE(A1028,"|")),--LEFT(A1028,10)))</f>
        <v/>
      </c>
      <c r="C1028">
        <f>IF(A1028="","",TEXTBEFORE(TEXTAFTER(A1028,"|"),"|"))</f>
        <v/>
      </c>
      <c r="D1028">
        <f>IF(A1028="","",TEXTAFTER(A1028,"|",2))</f>
        <v/>
      </c>
      <c r="E1028">
        <f>IF(A1028="","",SUMIF(Tickets[TripKey],A1028,Tickets[TP]))</f>
        <v/>
      </c>
      <c r="F1028">
        <f>IF(A1028="","",SUMIF(Tickets[TripKey],A1028,Tickets[Revenue]))</f>
        <v/>
      </c>
      <c r="G1028">
        <f>IF(A1028="","",SUMIF(Tickets[TripKey],A1028,Tickets[PK]))</f>
        <v/>
      </c>
      <c r="H1028">
        <f>IF(A1028="","",IFERROR(XLOOKUP(A1028,Tickets[TripKey],Tickets[VehClean]),""))</f>
        <v/>
      </c>
      <c r="I1028">
        <f>IF(A1028="","",IFERROR(XLOOKUP(A1028,Tickets[TripKey],Tickets[RouteLen]),0))</f>
        <v/>
      </c>
      <c r="J1028">
        <f>IF(A1028="","",IFERROR(XLOOKUP(A1028,Tickets[TripKey],Tickets[Capacity]),0))</f>
        <v/>
      </c>
      <c r="K1028">
        <f>IF(A1028="","",I1028*J1028)</f>
        <v/>
      </c>
      <c r="L1028">
        <f>IF(A1028="","",IFERROR(MINIFS(Tickets[Trip Start Time],Tickets[TripKey],A1028),""))</f>
        <v/>
      </c>
    </row>
    <row r="1029">
      <c r="B1029" s="8">
        <f>IF(A1029="","",IFERROR(DATEVALUE(TEXTBEFORE(A1029,"|")),--LEFT(A1029,10)))</f>
        <v/>
      </c>
      <c r="C1029">
        <f>IF(A1029="","",TEXTBEFORE(TEXTAFTER(A1029,"|"),"|"))</f>
        <v/>
      </c>
      <c r="D1029">
        <f>IF(A1029="","",TEXTAFTER(A1029,"|",2))</f>
        <v/>
      </c>
      <c r="E1029">
        <f>IF(A1029="","",SUMIF(Tickets[TripKey],A1029,Tickets[TP]))</f>
        <v/>
      </c>
      <c r="F1029">
        <f>IF(A1029="","",SUMIF(Tickets[TripKey],A1029,Tickets[Revenue]))</f>
        <v/>
      </c>
      <c r="G1029">
        <f>IF(A1029="","",SUMIF(Tickets[TripKey],A1029,Tickets[PK]))</f>
        <v/>
      </c>
      <c r="H1029">
        <f>IF(A1029="","",IFERROR(XLOOKUP(A1029,Tickets[TripKey],Tickets[VehClean]),""))</f>
        <v/>
      </c>
      <c r="I1029">
        <f>IF(A1029="","",IFERROR(XLOOKUP(A1029,Tickets[TripKey],Tickets[RouteLen]),0))</f>
        <v/>
      </c>
      <c r="J1029">
        <f>IF(A1029="","",IFERROR(XLOOKUP(A1029,Tickets[TripKey],Tickets[Capacity]),0))</f>
        <v/>
      </c>
      <c r="K1029">
        <f>IF(A1029="","",I1029*J1029)</f>
        <v/>
      </c>
      <c r="L1029">
        <f>IF(A1029="","",IFERROR(MINIFS(Tickets[Trip Start Time],Tickets[TripKey],A1029),""))</f>
        <v/>
      </c>
    </row>
    <row r="1030">
      <c r="B1030" s="8">
        <f>IF(A1030="","",IFERROR(DATEVALUE(TEXTBEFORE(A1030,"|")),--LEFT(A1030,10)))</f>
        <v/>
      </c>
      <c r="C1030">
        <f>IF(A1030="","",TEXTBEFORE(TEXTAFTER(A1030,"|"),"|"))</f>
        <v/>
      </c>
      <c r="D1030">
        <f>IF(A1030="","",TEXTAFTER(A1030,"|",2))</f>
        <v/>
      </c>
      <c r="E1030">
        <f>IF(A1030="","",SUMIF(Tickets[TripKey],A1030,Tickets[TP]))</f>
        <v/>
      </c>
      <c r="F1030">
        <f>IF(A1030="","",SUMIF(Tickets[TripKey],A1030,Tickets[Revenue]))</f>
        <v/>
      </c>
      <c r="G1030">
        <f>IF(A1030="","",SUMIF(Tickets[TripKey],A1030,Tickets[PK]))</f>
        <v/>
      </c>
      <c r="H1030">
        <f>IF(A1030="","",IFERROR(XLOOKUP(A1030,Tickets[TripKey],Tickets[VehClean]),""))</f>
        <v/>
      </c>
      <c r="I1030">
        <f>IF(A1030="","",IFERROR(XLOOKUP(A1030,Tickets[TripKey],Tickets[RouteLen]),0))</f>
        <v/>
      </c>
      <c r="J1030">
        <f>IF(A1030="","",IFERROR(XLOOKUP(A1030,Tickets[TripKey],Tickets[Capacity]),0))</f>
        <v/>
      </c>
      <c r="K1030">
        <f>IF(A1030="","",I1030*J1030)</f>
        <v/>
      </c>
      <c r="L1030">
        <f>IF(A1030="","",IFERROR(MINIFS(Tickets[Trip Start Time],Tickets[TripKey],A1030),""))</f>
        <v/>
      </c>
    </row>
    <row r="1031">
      <c r="B1031" s="8">
        <f>IF(A1031="","",IFERROR(DATEVALUE(TEXTBEFORE(A1031,"|")),--LEFT(A1031,10)))</f>
        <v/>
      </c>
      <c r="C1031">
        <f>IF(A1031="","",TEXTBEFORE(TEXTAFTER(A1031,"|"),"|"))</f>
        <v/>
      </c>
      <c r="D1031">
        <f>IF(A1031="","",TEXTAFTER(A1031,"|",2))</f>
        <v/>
      </c>
      <c r="E1031">
        <f>IF(A1031="","",SUMIF(Tickets[TripKey],A1031,Tickets[TP]))</f>
        <v/>
      </c>
      <c r="F1031">
        <f>IF(A1031="","",SUMIF(Tickets[TripKey],A1031,Tickets[Revenue]))</f>
        <v/>
      </c>
      <c r="G1031">
        <f>IF(A1031="","",SUMIF(Tickets[TripKey],A1031,Tickets[PK]))</f>
        <v/>
      </c>
      <c r="H1031">
        <f>IF(A1031="","",IFERROR(XLOOKUP(A1031,Tickets[TripKey],Tickets[VehClean]),""))</f>
        <v/>
      </c>
      <c r="I1031">
        <f>IF(A1031="","",IFERROR(XLOOKUP(A1031,Tickets[TripKey],Tickets[RouteLen]),0))</f>
        <v/>
      </c>
      <c r="J1031">
        <f>IF(A1031="","",IFERROR(XLOOKUP(A1031,Tickets[TripKey],Tickets[Capacity]),0))</f>
        <v/>
      </c>
      <c r="K1031">
        <f>IF(A1031="","",I1031*J1031)</f>
        <v/>
      </c>
      <c r="L1031">
        <f>IF(A1031="","",IFERROR(MINIFS(Tickets[Trip Start Time],Tickets[TripKey],A1031),""))</f>
        <v/>
      </c>
    </row>
    <row r="1032">
      <c r="B1032" s="8">
        <f>IF(A1032="","",IFERROR(DATEVALUE(TEXTBEFORE(A1032,"|")),--LEFT(A1032,10)))</f>
        <v/>
      </c>
      <c r="C1032">
        <f>IF(A1032="","",TEXTBEFORE(TEXTAFTER(A1032,"|"),"|"))</f>
        <v/>
      </c>
      <c r="D1032">
        <f>IF(A1032="","",TEXTAFTER(A1032,"|",2))</f>
        <v/>
      </c>
      <c r="E1032">
        <f>IF(A1032="","",SUMIF(Tickets[TripKey],A1032,Tickets[TP]))</f>
        <v/>
      </c>
      <c r="F1032">
        <f>IF(A1032="","",SUMIF(Tickets[TripKey],A1032,Tickets[Revenue]))</f>
        <v/>
      </c>
      <c r="G1032">
        <f>IF(A1032="","",SUMIF(Tickets[TripKey],A1032,Tickets[PK]))</f>
        <v/>
      </c>
      <c r="H1032">
        <f>IF(A1032="","",IFERROR(XLOOKUP(A1032,Tickets[TripKey],Tickets[VehClean]),""))</f>
        <v/>
      </c>
      <c r="I1032">
        <f>IF(A1032="","",IFERROR(XLOOKUP(A1032,Tickets[TripKey],Tickets[RouteLen]),0))</f>
        <v/>
      </c>
      <c r="J1032">
        <f>IF(A1032="","",IFERROR(XLOOKUP(A1032,Tickets[TripKey],Tickets[Capacity]),0))</f>
        <v/>
      </c>
      <c r="K1032">
        <f>IF(A1032="","",I1032*J1032)</f>
        <v/>
      </c>
      <c r="L1032">
        <f>IF(A1032="","",IFERROR(MINIFS(Tickets[Trip Start Time],Tickets[TripKey],A1032),""))</f>
        <v/>
      </c>
    </row>
    <row r="1033">
      <c r="B1033" s="8">
        <f>IF(A1033="","",IFERROR(DATEVALUE(TEXTBEFORE(A1033,"|")),--LEFT(A1033,10)))</f>
        <v/>
      </c>
      <c r="C1033">
        <f>IF(A1033="","",TEXTBEFORE(TEXTAFTER(A1033,"|"),"|"))</f>
        <v/>
      </c>
      <c r="D1033">
        <f>IF(A1033="","",TEXTAFTER(A1033,"|",2))</f>
        <v/>
      </c>
      <c r="E1033">
        <f>IF(A1033="","",SUMIF(Tickets[TripKey],A1033,Tickets[TP]))</f>
        <v/>
      </c>
      <c r="F1033">
        <f>IF(A1033="","",SUMIF(Tickets[TripKey],A1033,Tickets[Revenue]))</f>
        <v/>
      </c>
      <c r="G1033">
        <f>IF(A1033="","",SUMIF(Tickets[TripKey],A1033,Tickets[PK]))</f>
        <v/>
      </c>
      <c r="H1033">
        <f>IF(A1033="","",IFERROR(XLOOKUP(A1033,Tickets[TripKey],Tickets[VehClean]),""))</f>
        <v/>
      </c>
      <c r="I1033">
        <f>IF(A1033="","",IFERROR(XLOOKUP(A1033,Tickets[TripKey],Tickets[RouteLen]),0))</f>
        <v/>
      </c>
      <c r="J1033">
        <f>IF(A1033="","",IFERROR(XLOOKUP(A1033,Tickets[TripKey],Tickets[Capacity]),0))</f>
        <v/>
      </c>
      <c r="K1033">
        <f>IF(A1033="","",I1033*J1033)</f>
        <v/>
      </c>
      <c r="L1033">
        <f>IF(A1033="","",IFERROR(MINIFS(Tickets[Trip Start Time],Tickets[TripKey],A1033),""))</f>
        <v/>
      </c>
    </row>
    <row r="1034">
      <c r="B1034" s="8">
        <f>IF(A1034="","",IFERROR(DATEVALUE(TEXTBEFORE(A1034,"|")),--LEFT(A1034,10)))</f>
        <v/>
      </c>
      <c r="C1034">
        <f>IF(A1034="","",TEXTBEFORE(TEXTAFTER(A1034,"|"),"|"))</f>
        <v/>
      </c>
      <c r="D1034">
        <f>IF(A1034="","",TEXTAFTER(A1034,"|",2))</f>
        <v/>
      </c>
      <c r="E1034">
        <f>IF(A1034="","",SUMIF(Tickets[TripKey],A1034,Tickets[TP]))</f>
        <v/>
      </c>
      <c r="F1034">
        <f>IF(A1034="","",SUMIF(Tickets[TripKey],A1034,Tickets[Revenue]))</f>
        <v/>
      </c>
      <c r="G1034">
        <f>IF(A1034="","",SUMIF(Tickets[TripKey],A1034,Tickets[PK]))</f>
        <v/>
      </c>
      <c r="H1034">
        <f>IF(A1034="","",IFERROR(XLOOKUP(A1034,Tickets[TripKey],Tickets[VehClean]),""))</f>
        <v/>
      </c>
      <c r="I1034">
        <f>IF(A1034="","",IFERROR(XLOOKUP(A1034,Tickets[TripKey],Tickets[RouteLen]),0))</f>
        <v/>
      </c>
      <c r="J1034">
        <f>IF(A1034="","",IFERROR(XLOOKUP(A1034,Tickets[TripKey],Tickets[Capacity]),0))</f>
        <v/>
      </c>
      <c r="K1034">
        <f>IF(A1034="","",I1034*J1034)</f>
        <v/>
      </c>
      <c r="L1034">
        <f>IF(A1034="","",IFERROR(MINIFS(Tickets[Trip Start Time],Tickets[TripKey],A1034),""))</f>
        <v/>
      </c>
    </row>
    <row r="1035">
      <c r="B1035" s="8">
        <f>IF(A1035="","",IFERROR(DATEVALUE(TEXTBEFORE(A1035,"|")),--LEFT(A1035,10)))</f>
        <v/>
      </c>
      <c r="C1035">
        <f>IF(A1035="","",TEXTBEFORE(TEXTAFTER(A1035,"|"),"|"))</f>
        <v/>
      </c>
      <c r="D1035">
        <f>IF(A1035="","",TEXTAFTER(A1035,"|",2))</f>
        <v/>
      </c>
      <c r="E1035">
        <f>IF(A1035="","",SUMIF(Tickets[TripKey],A1035,Tickets[TP]))</f>
        <v/>
      </c>
      <c r="F1035">
        <f>IF(A1035="","",SUMIF(Tickets[TripKey],A1035,Tickets[Revenue]))</f>
        <v/>
      </c>
      <c r="G1035">
        <f>IF(A1035="","",SUMIF(Tickets[TripKey],A1035,Tickets[PK]))</f>
        <v/>
      </c>
      <c r="H1035">
        <f>IF(A1035="","",IFERROR(XLOOKUP(A1035,Tickets[TripKey],Tickets[VehClean]),""))</f>
        <v/>
      </c>
      <c r="I1035">
        <f>IF(A1035="","",IFERROR(XLOOKUP(A1035,Tickets[TripKey],Tickets[RouteLen]),0))</f>
        <v/>
      </c>
      <c r="J1035">
        <f>IF(A1035="","",IFERROR(XLOOKUP(A1035,Tickets[TripKey],Tickets[Capacity]),0))</f>
        <v/>
      </c>
      <c r="K1035">
        <f>IF(A1035="","",I1035*J1035)</f>
        <v/>
      </c>
      <c r="L1035">
        <f>IF(A1035="","",IFERROR(MINIFS(Tickets[Trip Start Time],Tickets[TripKey],A1035),""))</f>
        <v/>
      </c>
    </row>
    <row r="1036">
      <c r="B1036" s="8">
        <f>IF(A1036="","",IFERROR(DATEVALUE(TEXTBEFORE(A1036,"|")),--LEFT(A1036,10)))</f>
        <v/>
      </c>
      <c r="C1036">
        <f>IF(A1036="","",TEXTBEFORE(TEXTAFTER(A1036,"|"),"|"))</f>
        <v/>
      </c>
      <c r="D1036">
        <f>IF(A1036="","",TEXTAFTER(A1036,"|",2))</f>
        <v/>
      </c>
      <c r="E1036">
        <f>IF(A1036="","",SUMIF(Tickets[TripKey],A1036,Tickets[TP]))</f>
        <v/>
      </c>
      <c r="F1036">
        <f>IF(A1036="","",SUMIF(Tickets[TripKey],A1036,Tickets[Revenue]))</f>
        <v/>
      </c>
      <c r="G1036">
        <f>IF(A1036="","",SUMIF(Tickets[TripKey],A1036,Tickets[PK]))</f>
        <v/>
      </c>
      <c r="H1036">
        <f>IF(A1036="","",IFERROR(XLOOKUP(A1036,Tickets[TripKey],Tickets[VehClean]),""))</f>
        <v/>
      </c>
      <c r="I1036">
        <f>IF(A1036="","",IFERROR(XLOOKUP(A1036,Tickets[TripKey],Tickets[RouteLen]),0))</f>
        <v/>
      </c>
      <c r="J1036">
        <f>IF(A1036="","",IFERROR(XLOOKUP(A1036,Tickets[TripKey],Tickets[Capacity]),0))</f>
        <v/>
      </c>
      <c r="K1036">
        <f>IF(A1036="","",I1036*J1036)</f>
        <v/>
      </c>
      <c r="L1036">
        <f>IF(A1036="","",IFERROR(MINIFS(Tickets[Trip Start Time],Tickets[TripKey],A1036),""))</f>
        <v/>
      </c>
    </row>
    <row r="1037">
      <c r="B1037" s="8">
        <f>IF(A1037="","",IFERROR(DATEVALUE(TEXTBEFORE(A1037,"|")),--LEFT(A1037,10)))</f>
        <v/>
      </c>
      <c r="C1037">
        <f>IF(A1037="","",TEXTBEFORE(TEXTAFTER(A1037,"|"),"|"))</f>
        <v/>
      </c>
      <c r="D1037">
        <f>IF(A1037="","",TEXTAFTER(A1037,"|",2))</f>
        <v/>
      </c>
      <c r="E1037">
        <f>IF(A1037="","",SUMIF(Tickets[TripKey],A1037,Tickets[TP]))</f>
        <v/>
      </c>
      <c r="F1037">
        <f>IF(A1037="","",SUMIF(Tickets[TripKey],A1037,Tickets[Revenue]))</f>
        <v/>
      </c>
      <c r="G1037">
        <f>IF(A1037="","",SUMIF(Tickets[TripKey],A1037,Tickets[PK]))</f>
        <v/>
      </c>
      <c r="H1037">
        <f>IF(A1037="","",IFERROR(XLOOKUP(A1037,Tickets[TripKey],Tickets[VehClean]),""))</f>
        <v/>
      </c>
      <c r="I1037">
        <f>IF(A1037="","",IFERROR(XLOOKUP(A1037,Tickets[TripKey],Tickets[RouteLen]),0))</f>
        <v/>
      </c>
      <c r="J1037">
        <f>IF(A1037="","",IFERROR(XLOOKUP(A1037,Tickets[TripKey],Tickets[Capacity]),0))</f>
        <v/>
      </c>
      <c r="K1037">
        <f>IF(A1037="","",I1037*J1037)</f>
        <v/>
      </c>
      <c r="L1037">
        <f>IF(A1037="","",IFERROR(MINIFS(Tickets[Trip Start Time],Tickets[TripKey],A1037),""))</f>
        <v/>
      </c>
    </row>
    <row r="1038">
      <c r="B1038" s="8">
        <f>IF(A1038="","",IFERROR(DATEVALUE(TEXTBEFORE(A1038,"|")),--LEFT(A1038,10)))</f>
        <v/>
      </c>
      <c r="C1038">
        <f>IF(A1038="","",TEXTBEFORE(TEXTAFTER(A1038,"|"),"|"))</f>
        <v/>
      </c>
      <c r="D1038">
        <f>IF(A1038="","",TEXTAFTER(A1038,"|",2))</f>
        <v/>
      </c>
      <c r="E1038">
        <f>IF(A1038="","",SUMIF(Tickets[TripKey],A1038,Tickets[TP]))</f>
        <v/>
      </c>
      <c r="F1038">
        <f>IF(A1038="","",SUMIF(Tickets[TripKey],A1038,Tickets[Revenue]))</f>
        <v/>
      </c>
      <c r="G1038">
        <f>IF(A1038="","",SUMIF(Tickets[TripKey],A1038,Tickets[PK]))</f>
        <v/>
      </c>
      <c r="H1038">
        <f>IF(A1038="","",IFERROR(XLOOKUP(A1038,Tickets[TripKey],Tickets[VehClean]),""))</f>
        <v/>
      </c>
      <c r="I1038">
        <f>IF(A1038="","",IFERROR(XLOOKUP(A1038,Tickets[TripKey],Tickets[RouteLen]),0))</f>
        <v/>
      </c>
      <c r="J1038">
        <f>IF(A1038="","",IFERROR(XLOOKUP(A1038,Tickets[TripKey],Tickets[Capacity]),0))</f>
        <v/>
      </c>
      <c r="K1038">
        <f>IF(A1038="","",I1038*J1038)</f>
        <v/>
      </c>
      <c r="L1038">
        <f>IF(A1038="","",IFERROR(MINIFS(Tickets[Trip Start Time],Tickets[TripKey],A1038),""))</f>
        <v/>
      </c>
    </row>
    <row r="1039">
      <c r="B1039" s="8">
        <f>IF(A1039="","",IFERROR(DATEVALUE(TEXTBEFORE(A1039,"|")),--LEFT(A1039,10)))</f>
        <v/>
      </c>
      <c r="C1039">
        <f>IF(A1039="","",TEXTBEFORE(TEXTAFTER(A1039,"|"),"|"))</f>
        <v/>
      </c>
      <c r="D1039">
        <f>IF(A1039="","",TEXTAFTER(A1039,"|",2))</f>
        <v/>
      </c>
      <c r="E1039">
        <f>IF(A1039="","",SUMIF(Tickets[TripKey],A1039,Tickets[TP]))</f>
        <v/>
      </c>
      <c r="F1039">
        <f>IF(A1039="","",SUMIF(Tickets[TripKey],A1039,Tickets[Revenue]))</f>
        <v/>
      </c>
      <c r="G1039">
        <f>IF(A1039="","",SUMIF(Tickets[TripKey],A1039,Tickets[PK]))</f>
        <v/>
      </c>
      <c r="H1039">
        <f>IF(A1039="","",IFERROR(XLOOKUP(A1039,Tickets[TripKey],Tickets[VehClean]),""))</f>
        <v/>
      </c>
      <c r="I1039">
        <f>IF(A1039="","",IFERROR(XLOOKUP(A1039,Tickets[TripKey],Tickets[RouteLen]),0))</f>
        <v/>
      </c>
      <c r="J1039">
        <f>IF(A1039="","",IFERROR(XLOOKUP(A1039,Tickets[TripKey],Tickets[Capacity]),0))</f>
        <v/>
      </c>
      <c r="K1039">
        <f>IF(A1039="","",I1039*J1039)</f>
        <v/>
      </c>
      <c r="L1039">
        <f>IF(A1039="","",IFERROR(MINIFS(Tickets[Trip Start Time],Tickets[TripKey],A1039),""))</f>
        <v/>
      </c>
    </row>
    <row r="1040">
      <c r="B1040" s="8">
        <f>IF(A1040="","",IFERROR(DATEVALUE(TEXTBEFORE(A1040,"|")),--LEFT(A1040,10)))</f>
        <v/>
      </c>
      <c r="C1040">
        <f>IF(A1040="","",TEXTBEFORE(TEXTAFTER(A1040,"|"),"|"))</f>
        <v/>
      </c>
      <c r="D1040">
        <f>IF(A1040="","",TEXTAFTER(A1040,"|",2))</f>
        <v/>
      </c>
      <c r="E1040">
        <f>IF(A1040="","",SUMIF(Tickets[TripKey],A1040,Tickets[TP]))</f>
        <v/>
      </c>
      <c r="F1040">
        <f>IF(A1040="","",SUMIF(Tickets[TripKey],A1040,Tickets[Revenue]))</f>
        <v/>
      </c>
      <c r="G1040">
        <f>IF(A1040="","",SUMIF(Tickets[TripKey],A1040,Tickets[PK]))</f>
        <v/>
      </c>
      <c r="H1040">
        <f>IF(A1040="","",IFERROR(XLOOKUP(A1040,Tickets[TripKey],Tickets[VehClean]),""))</f>
        <v/>
      </c>
      <c r="I1040">
        <f>IF(A1040="","",IFERROR(XLOOKUP(A1040,Tickets[TripKey],Tickets[RouteLen]),0))</f>
        <v/>
      </c>
      <c r="J1040">
        <f>IF(A1040="","",IFERROR(XLOOKUP(A1040,Tickets[TripKey],Tickets[Capacity]),0))</f>
        <v/>
      </c>
      <c r="K1040">
        <f>IF(A1040="","",I1040*J1040)</f>
        <v/>
      </c>
      <c r="L1040">
        <f>IF(A1040="","",IFERROR(MINIFS(Tickets[Trip Start Time],Tickets[TripKey],A1040),""))</f>
        <v/>
      </c>
    </row>
    <row r="1041">
      <c r="B1041" s="8">
        <f>IF(A1041="","",IFERROR(DATEVALUE(TEXTBEFORE(A1041,"|")),--LEFT(A1041,10)))</f>
        <v/>
      </c>
      <c r="C1041">
        <f>IF(A1041="","",TEXTBEFORE(TEXTAFTER(A1041,"|"),"|"))</f>
        <v/>
      </c>
      <c r="D1041">
        <f>IF(A1041="","",TEXTAFTER(A1041,"|",2))</f>
        <v/>
      </c>
      <c r="E1041">
        <f>IF(A1041="","",SUMIF(Tickets[TripKey],A1041,Tickets[TP]))</f>
        <v/>
      </c>
      <c r="F1041">
        <f>IF(A1041="","",SUMIF(Tickets[TripKey],A1041,Tickets[Revenue]))</f>
        <v/>
      </c>
      <c r="G1041">
        <f>IF(A1041="","",SUMIF(Tickets[TripKey],A1041,Tickets[PK]))</f>
        <v/>
      </c>
      <c r="H1041">
        <f>IF(A1041="","",IFERROR(XLOOKUP(A1041,Tickets[TripKey],Tickets[VehClean]),""))</f>
        <v/>
      </c>
      <c r="I1041">
        <f>IF(A1041="","",IFERROR(XLOOKUP(A1041,Tickets[TripKey],Tickets[RouteLen]),0))</f>
        <v/>
      </c>
      <c r="J1041">
        <f>IF(A1041="","",IFERROR(XLOOKUP(A1041,Tickets[TripKey],Tickets[Capacity]),0))</f>
        <v/>
      </c>
      <c r="K1041">
        <f>IF(A1041="","",I1041*J1041)</f>
        <v/>
      </c>
      <c r="L1041">
        <f>IF(A1041="","",IFERROR(MINIFS(Tickets[Trip Start Time],Tickets[TripKey],A1041),""))</f>
        <v/>
      </c>
    </row>
    <row r="1042">
      <c r="B1042" s="8">
        <f>IF(A1042="","",IFERROR(DATEVALUE(TEXTBEFORE(A1042,"|")),--LEFT(A1042,10)))</f>
        <v/>
      </c>
      <c r="C1042">
        <f>IF(A1042="","",TEXTBEFORE(TEXTAFTER(A1042,"|"),"|"))</f>
        <v/>
      </c>
      <c r="D1042">
        <f>IF(A1042="","",TEXTAFTER(A1042,"|",2))</f>
        <v/>
      </c>
      <c r="E1042">
        <f>IF(A1042="","",SUMIF(Tickets[TripKey],A1042,Tickets[TP]))</f>
        <v/>
      </c>
      <c r="F1042">
        <f>IF(A1042="","",SUMIF(Tickets[TripKey],A1042,Tickets[Revenue]))</f>
        <v/>
      </c>
      <c r="G1042">
        <f>IF(A1042="","",SUMIF(Tickets[TripKey],A1042,Tickets[PK]))</f>
        <v/>
      </c>
      <c r="H1042">
        <f>IF(A1042="","",IFERROR(XLOOKUP(A1042,Tickets[TripKey],Tickets[VehClean]),""))</f>
        <v/>
      </c>
      <c r="I1042">
        <f>IF(A1042="","",IFERROR(XLOOKUP(A1042,Tickets[TripKey],Tickets[RouteLen]),0))</f>
        <v/>
      </c>
      <c r="J1042">
        <f>IF(A1042="","",IFERROR(XLOOKUP(A1042,Tickets[TripKey],Tickets[Capacity]),0))</f>
        <v/>
      </c>
      <c r="K1042">
        <f>IF(A1042="","",I1042*J1042)</f>
        <v/>
      </c>
      <c r="L1042">
        <f>IF(A1042="","",IFERROR(MINIFS(Tickets[Trip Start Time],Tickets[TripKey],A1042),""))</f>
        <v/>
      </c>
    </row>
    <row r="1043">
      <c r="B1043" s="8">
        <f>IF(A1043="","",IFERROR(DATEVALUE(TEXTBEFORE(A1043,"|")),--LEFT(A1043,10)))</f>
        <v/>
      </c>
      <c r="C1043">
        <f>IF(A1043="","",TEXTBEFORE(TEXTAFTER(A1043,"|"),"|"))</f>
        <v/>
      </c>
      <c r="D1043">
        <f>IF(A1043="","",TEXTAFTER(A1043,"|",2))</f>
        <v/>
      </c>
      <c r="E1043">
        <f>IF(A1043="","",SUMIF(Tickets[TripKey],A1043,Tickets[TP]))</f>
        <v/>
      </c>
      <c r="F1043">
        <f>IF(A1043="","",SUMIF(Tickets[TripKey],A1043,Tickets[Revenue]))</f>
        <v/>
      </c>
      <c r="G1043">
        <f>IF(A1043="","",SUMIF(Tickets[TripKey],A1043,Tickets[PK]))</f>
        <v/>
      </c>
      <c r="H1043">
        <f>IF(A1043="","",IFERROR(XLOOKUP(A1043,Tickets[TripKey],Tickets[VehClean]),""))</f>
        <v/>
      </c>
      <c r="I1043">
        <f>IF(A1043="","",IFERROR(XLOOKUP(A1043,Tickets[TripKey],Tickets[RouteLen]),0))</f>
        <v/>
      </c>
      <c r="J1043">
        <f>IF(A1043="","",IFERROR(XLOOKUP(A1043,Tickets[TripKey],Tickets[Capacity]),0))</f>
        <v/>
      </c>
      <c r="K1043">
        <f>IF(A1043="","",I1043*J1043)</f>
        <v/>
      </c>
      <c r="L1043">
        <f>IF(A1043="","",IFERROR(MINIFS(Tickets[Trip Start Time],Tickets[TripKey],A1043),""))</f>
        <v/>
      </c>
    </row>
    <row r="1044">
      <c r="B1044" s="8">
        <f>IF(A1044="","",IFERROR(DATEVALUE(TEXTBEFORE(A1044,"|")),--LEFT(A1044,10)))</f>
        <v/>
      </c>
      <c r="C1044">
        <f>IF(A1044="","",TEXTBEFORE(TEXTAFTER(A1044,"|"),"|"))</f>
        <v/>
      </c>
      <c r="D1044">
        <f>IF(A1044="","",TEXTAFTER(A1044,"|",2))</f>
        <v/>
      </c>
      <c r="E1044">
        <f>IF(A1044="","",SUMIF(Tickets[TripKey],A1044,Tickets[TP]))</f>
        <v/>
      </c>
      <c r="F1044">
        <f>IF(A1044="","",SUMIF(Tickets[TripKey],A1044,Tickets[Revenue]))</f>
        <v/>
      </c>
      <c r="G1044">
        <f>IF(A1044="","",SUMIF(Tickets[TripKey],A1044,Tickets[PK]))</f>
        <v/>
      </c>
      <c r="H1044">
        <f>IF(A1044="","",IFERROR(XLOOKUP(A1044,Tickets[TripKey],Tickets[VehClean]),""))</f>
        <v/>
      </c>
      <c r="I1044">
        <f>IF(A1044="","",IFERROR(XLOOKUP(A1044,Tickets[TripKey],Tickets[RouteLen]),0))</f>
        <v/>
      </c>
      <c r="J1044">
        <f>IF(A1044="","",IFERROR(XLOOKUP(A1044,Tickets[TripKey],Tickets[Capacity]),0))</f>
        <v/>
      </c>
      <c r="K1044">
        <f>IF(A1044="","",I1044*J1044)</f>
        <v/>
      </c>
      <c r="L1044">
        <f>IF(A1044="","",IFERROR(MINIFS(Tickets[Trip Start Time],Tickets[TripKey],A1044),""))</f>
        <v/>
      </c>
    </row>
    <row r="1045">
      <c r="B1045" s="8">
        <f>IF(A1045="","",IFERROR(DATEVALUE(TEXTBEFORE(A1045,"|")),--LEFT(A1045,10)))</f>
        <v/>
      </c>
      <c r="C1045">
        <f>IF(A1045="","",TEXTBEFORE(TEXTAFTER(A1045,"|"),"|"))</f>
        <v/>
      </c>
      <c r="D1045">
        <f>IF(A1045="","",TEXTAFTER(A1045,"|",2))</f>
        <v/>
      </c>
      <c r="E1045">
        <f>IF(A1045="","",SUMIF(Tickets[TripKey],A1045,Tickets[TP]))</f>
        <v/>
      </c>
      <c r="F1045">
        <f>IF(A1045="","",SUMIF(Tickets[TripKey],A1045,Tickets[Revenue]))</f>
        <v/>
      </c>
      <c r="G1045">
        <f>IF(A1045="","",SUMIF(Tickets[TripKey],A1045,Tickets[PK]))</f>
        <v/>
      </c>
      <c r="H1045">
        <f>IF(A1045="","",IFERROR(XLOOKUP(A1045,Tickets[TripKey],Tickets[VehClean]),""))</f>
        <v/>
      </c>
      <c r="I1045">
        <f>IF(A1045="","",IFERROR(XLOOKUP(A1045,Tickets[TripKey],Tickets[RouteLen]),0))</f>
        <v/>
      </c>
      <c r="J1045">
        <f>IF(A1045="","",IFERROR(XLOOKUP(A1045,Tickets[TripKey],Tickets[Capacity]),0))</f>
        <v/>
      </c>
      <c r="K1045">
        <f>IF(A1045="","",I1045*J1045)</f>
        <v/>
      </c>
      <c r="L1045">
        <f>IF(A1045="","",IFERROR(MINIFS(Tickets[Trip Start Time],Tickets[TripKey],A1045),""))</f>
        <v/>
      </c>
    </row>
    <row r="1046">
      <c r="B1046" s="8">
        <f>IF(A1046="","",IFERROR(DATEVALUE(TEXTBEFORE(A1046,"|")),--LEFT(A1046,10)))</f>
        <v/>
      </c>
      <c r="C1046">
        <f>IF(A1046="","",TEXTBEFORE(TEXTAFTER(A1046,"|"),"|"))</f>
        <v/>
      </c>
      <c r="D1046">
        <f>IF(A1046="","",TEXTAFTER(A1046,"|",2))</f>
        <v/>
      </c>
      <c r="E1046">
        <f>IF(A1046="","",SUMIF(Tickets[TripKey],A1046,Tickets[TP]))</f>
        <v/>
      </c>
      <c r="F1046">
        <f>IF(A1046="","",SUMIF(Tickets[TripKey],A1046,Tickets[Revenue]))</f>
        <v/>
      </c>
      <c r="G1046">
        <f>IF(A1046="","",SUMIF(Tickets[TripKey],A1046,Tickets[PK]))</f>
        <v/>
      </c>
      <c r="H1046">
        <f>IF(A1046="","",IFERROR(XLOOKUP(A1046,Tickets[TripKey],Tickets[VehClean]),""))</f>
        <v/>
      </c>
      <c r="I1046">
        <f>IF(A1046="","",IFERROR(XLOOKUP(A1046,Tickets[TripKey],Tickets[RouteLen]),0))</f>
        <v/>
      </c>
      <c r="J1046">
        <f>IF(A1046="","",IFERROR(XLOOKUP(A1046,Tickets[TripKey],Tickets[Capacity]),0))</f>
        <v/>
      </c>
      <c r="K1046">
        <f>IF(A1046="","",I1046*J1046)</f>
        <v/>
      </c>
      <c r="L1046">
        <f>IF(A1046="","",IFERROR(MINIFS(Tickets[Trip Start Time],Tickets[TripKey],A1046),""))</f>
        <v/>
      </c>
    </row>
    <row r="1047">
      <c r="B1047" s="8">
        <f>IF(A1047="","",IFERROR(DATEVALUE(TEXTBEFORE(A1047,"|")),--LEFT(A1047,10)))</f>
        <v/>
      </c>
      <c r="C1047">
        <f>IF(A1047="","",TEXTBEFORE(TEXTAFTER(A1047,"|"),"|"))</f>
        <v/>
      </c>
      <c r="D1047">
        <f>IF(A1047="","",TEXTAFTER(A1047,"|",2))</f>
        <v/>
      </c>
      <c r="E1047">
        <f>IF(A1047="","",SUMIF(Tickets[TripKey],A1047,Tickets[TP]))</f>
        <v/>
      </c>
      <c r="F1047">
        <f>IF(A1047="","",SUMIF(Tickets[TripKey],A1047,Tickets[Revenue]))</f>
        <v/>
      </c>
      <c r="G1047">
        <f>IF(A1047="","",SUMIF(Tickets[TripKey],A1047,Tickets[PK]))</f>
        <v/>
      </c>
      <c r="H1047">
        <f>IF(A1047="","",IFERROR(XLOOKUP(A1047,Tickets[TripKey],Tickets[VehClean]),""))</f>
        <v/>
      </c>
      <c r="I1047">
        <f>IF(A1047="","",IFERROR(XLOOKUP(A1047,Tickets[TripKey],Tickets[RouteLen]),0))</f>
        <v/>
      </c>
      <c r="J1047">
        <f>IF(A1047="","",IFERROR(XLOOKUP(A1047,Tickets[TripKey],Tickets[Capacity]),0))</f>
        <v/>
      </c>
      <c r="K1047">
        <f>IF(A1047="","",I1047*J1047)</f>
        <v/>
      </c>
      <c r="L1047">
        <f>IF(A1047="","",IFERROR(MINIFS(Tickets[Trip Start Time],Tickets[TripKey],A1047),""))</f>
        <v/>
      </c>
    </row>
    <row r="1048">
      <c r="B1048" s="8">
        <f>IF(A1048="","",IFERROR(DATEVALUE(TEXTBEFORE(A1048,"|")),--LEFT(A1048,10)))</f>
        <v/>
      </c>
      <c r="C1048">
        <f>IF(A1048="","",TEXTBEFORE(TEXTAFTER(A1048,"|"),"|"))</f>
        <v/>
      </c>
      <c r="D1048">
        <f>IF(A1048="","",TEXTAFTER(A1048,"|",2))</f>
        <v/>
      </c>
      <c r="E1048">
        <f>IF(A1048="","",SUMIF(Tickets[TripKey],A1048,Tickets[TP]))</f>
        <v/>
      </c>
      <c r="F1048">
        <f>IF(A1048="","",SUMIF(Tickets[TripKey],A1048,Tickets[Revenue]))</f>
        <v/>
      </c>
      <c r="G1048">
        <f>IF(A1048="","",SUMIF(Tickets[TripKey],A1048,Tickets[PK]))</f>
        <v/>
      </c>
      <c r="H1048">
        <f>IF(A1048="","",IFERROR(XLOOKUP(A1048,Tickets[TripKey],Tickets[VehClean]),""))</f>
        <v/>
      </c>
      <c r="I1048">
        <f>IF(A1048="","",IFERROR(XLOOKUP(A1048,Tickets[TripKey],Tickets[RouteLen]),0))</f>
        <v/>
      </c>
      <c r="J1048">
        <f>IF(A1048="","",IFERROR(XLOOKUP(A1048,Tickets[TripKey],Tickets[Capacity]),0))</f>
        <v/>
      </c>
      <c r="K1048">
        <f>IF(A1048="","",I1048*J1048)</f>
        <v/>
      </c>
      <c r="L1048">
        <f>IF(A1048="","",IFERROR(MINIFS(Tickets[Trip Start Time],Tickets[TripKey],A1048),""))</f>
        <v/>
      </c>
    </row>
    <row r="1049">
      <c r="B1049" s="8">
        <f>IF(A1049="","",IFERROR(DATEVALUE(TEXTBEFORE(A1049,"|")),--LEFT(A1049,10)))</f>
        <v/>
      </c>
      <c r="C1049">
        <f>IF(A1049="","",TEXTBEFORE(TEXTAFTER(A1049,"|"),"|"))</f>
        <v/>
      </c>
      <c r="D1049">
        <f>IF(A1049="","",TEXTAFTER(A1049,"|",2))</f>
        <v/>
      </c>
      <c r="E1049">
        <f>IF(A1049="","",SUMIF(Tickets[TripKey],A1049,Tickets[TP]))</f>
        <v/>
      </c>
      <c r="F1049">
        <f>IF(A1049="","",SUMIF(Tickets[TripKey],A1049,Tickets[Revenue]))</f>
        <v/>
      </c>
      <c r="G1049">
        <f>IF(A1049="","",SUMIF(Tickets[TripKey],A1049,Tickets[PK]))</f>
        <v/>
      </c>
      <c r="H1049">
        <f>IF(A1049="","",IFERROR(XLOOKUP(A1049,Tickets[TripKey],Tickets[VehClean]),""))</f>
        <v/>
      </c>
      <c r="I1049">
        <f>IF(A1049="","",IFERROR(XLOOKUP(A1049,Tickets[TripKey],Tickets[RouteLen]),0))</f>
        <v/>
      </c>
      <c r="J1049">
        <f>IF(A1049="","",IFERROR(XLOOKUP(A1049,Tickets[TripKey],Tickets[Capacity]),0))</f>
        <v/>
      </c>
      <c r="K1049">
        <f>IF(A1049="","",I1049*J1049)</f>
        <v/>
      </c>
      <c r="L1049">
        <f>IF(A1049="","",IFERROR(MINIFS(Tickets[Trip Start Time],Tickets[TripKey],A1049),""))</f>
        <v/>
      </c>
    </row>
    <row r="1050">
      <c r="B1050" s="8">
        <f>IF(A1050="","",IFERROR(DATEVALUE(TEXTBEFORE(A1050,"|")),--LEFT(A1050,10)))</f>
        <v/>
      </c>
      <c r="C1050">
        <f>IF(A1050="","",TEXTBEFORE(TEXTAFTER(A1050,"|"),"|"))</f>
        <v/>
      </c>
      <c r="D1050">
        <f>IF(A1050="","",TEXTAFTER(A1050,"|",2))</f>
        <v/>
      </c>
      <c r="E1050">
        <f>IF(A1050="","",SUMIF(Tickets[TripKey],A1050,Tickets[TP]))</f>
        <v/>
      </c>
      <c r="F1050">
        <f>IF(A1050="","",SUMIF(Tickets[TripKey],A1050,Tickets[Revenue]))</f>
        <v/>
      </c>
      <c r="G1050">
        <f>IF(A1050="","",SUMIF(Tickets[TripKey],A1050,Tickets[PK]))</f>
        <v/>
      </c>
      <c r="H1050">
        <f>IF(A1050="","",IFERROR(XLOOKUP(A1050,Tickets[TripKey],Tickets[VehClean]),""))</f>
        <v/>
      </c>
      <c r="I1050">
        <f>IF(A1050="","",IFERROR(XLOOKUP(A1050,Tickets[TripKey],Tickets[RouteLen]),0))</f>
        <v/>
      </c>
      <c r="J1050">
        <f>IF(A1050="","",IFERROR(XLOOKUP(A1050,Tickets[TripKey],Tickets[Capacity]),0))</f>
        <v/>
      </c>
      <c r="K1050">
        <f>IF(A1050="","",I1050*J1050)</f>
        <v/>
      </c>
      <c r="L1050">
        <f>IF(A1050="","",IFERROR(MINIFS(Tickets[Trip Start Time],Tickets[TripKey],A1050),""))</f>
        <v/>
      </c>
    </row>
    <row r="1051">
      <c r="B1051" s="8">
        <f>IF(A1051="","",IFERROR(DATEVALUE(TEXTBEFORE(A1051,"|")),--LEFT(A1051,10)))</f>
        <v/>
      </c>
      <c r="C1051">
        <f>IF(A1051="","",TEXTBEFORE(TEXTAFTER(A1051,"|"),"|"))</f>
        <v/>
      </c>
      <c r="D1051">
        <f>IF(A1051="","",TEXTAFTER(A1051,"|",2))</f>
        <v/>
      </c>
      <c r="E1051">
        <f>IF(A1051="","",SUMIF(Tickets[TripKey],A1051,Tickets[TP]))</f>
        <v/>
      </c>
      <c r="F1051">
        <f>IF(A1051="","",SUMIF(Tickets[TripKey],A1051,Tickets[Revenue]))</f>
        <v/>
      </c>
      <c r="G1051">
        <f>IF(A1051="","",SUMIF(Tickets[TripKey],A1051,Tickets[PK]))</f>
        <v/>
      </c>
      <c r="H1051">
        <f>IF(A1051="","",IFERROR(XLOOKUP(A1051,Tickets[TripKey],Tickets[VehClean]),""))</f>
        <v/>
      </c>
      <c r="I1051">
        <f>IF(A1051="","",IFERROR(XLOOKUP(A1051,Tickets[TripKey],Tickets[RouteLen]),0))</f>
        <v/>
      </c>
      <c r="J1051">
        <f>IF(A1051="","",IFERROR(XLOOKUP(A1051,Tickets[TripKey],Tickets[Capacity]),0))</f>
        <v/>
      </c>
      <c r="K1051">
        <f>IF(A1051="","",I1051*J1051)</f>
        <v/>
      </c>
      <c r="L1051">
        <f>IF(A1051="","",IFERROR(MINIFS(Tickets[Trip Start Time],Tickets[TripKey],A1051),""))</f>
        <v/>
      </c>
    </row>
    <row r="1052">
      <c r="B1052" s="8">
        <f>IF(A1052="","",IFERROR(DATEVALUE(TEXTBEFORE(A1052,"|")),--LEFT(A1052,10)))</f>
        <v/>
      </c>
      <c r="C1052">
        <f>IF(A1052="","",TEXTBEFORE(TEXTAFTER(A1052,"|"),"|"))</f>
        <v/>
      </c>
      <c r="D1052">
        <f>IF(A1052="","",TEXTAFTER(A1052,"|",2))</f>
        <v/>
      </c>
      <c r="E1052">
        <f>IF(A1052="","",SUMIF(Tickets[TripKey],A1052,Tickets[TP]))</f>
        <v/>
      </c>
      <c r="F1052">
        <f>IF(A1052="","",SUMIF(Tickets[TripKey],A1052,Tickets[Revenue]))</f>
        <v/>
      </c>
      <c r="G1052">
        <f>IF(A1052="","",SUMIF(Tickets[TripKey],A1052,Tickets[PK]))</f>
        <v/>
      </c>
      <c r="H1052">
        <f>IF(A1052="","",IFERROR(XLOOKUP(A1052,Tickets[TripKey],Tickets[VehClean]),""))</f>
        <v/>
      </c>
      <c r="I1052">
        <f>IF(A1052="","",IFERROR(XLOOKUP(A1052,Tickets[TripKey],Tickets[RouteLen]),0))</f>
        <v/>
      </c>
      <c r="J1052">
        <f>IF(A1052="","",IFERROR(XLOOKUP(A1052,Tickets[TripKey],Tickets[Capacity]),0))</f>
        <v/>
      </c>
      <c r="K1052">
        <f>IF(A1052="","",I1052*J1052)</f>
        <v/>
      </c>
      <c r="L1052">
        <f>IF(A1052="","",IFERROR(MINIFS(Tickets[Trip Start Time],Tickets[TripKey],A1052),""))</f>
        <v/>
      </c>
    </row>
    <row r="1053">
      <c r="B1053" s="8">
        <f>IF(A1053="","",IFERROR(DATEVALUE(TEXTBEFORE(A1053,"|")),--LEFT(A1053,10)))</f>
        <v/>
      </c>
      <c r="C1053">
        <f>IF(A1053="","",TEXTBEFORE(TEXTAFTER(A1053,"|"),"|"))</f>
        <v/>
      </c>
      <c r="D1053">
        <f>IF(A1053="","",TEXTAFTER(A1053,"|",2))</f>
        <v/>
      </c>
      <c r="E1053">
        <f>IF(A1053="","",SUMIF(Tickets[TripKey],A1053,Tickets[TP]))</f>
        <v/>
      </c>
      <c r="F1053">
        <f>IF(A1053="","",SUMIF(Tickets[TripKey],A1053,Tickets[Revenue]))</f>
        <v/>
      </c>
      <c r="G1053">
        <f>IF(A1053="","",SUMIF(Tickets[TripKey],A1053,Tickets[PK]))</f>
        <v/>
      </c>
      <c r="H1053">
        <f>IF(A1053="","",IFERROR(XLOOKUP(A1053,Tickets[TripKey],Tickets[VehClean]),""))</f>
        <v/>
      </c>
      <c r="I1053">
        <f>IF(A1053="","",IFERROR(XLOOKUP(A1053,Tickets[TripKey],Tickets[RouteLen]),0))</f>
        <v/>
      </c>
      <c r="J1053">
        <f>IF(A1053="","",IFERROR(XLOOKUP(A1053,Tickets[TripKey],Tickets[Capacity]),0))</f>
        <v/>
      </c>
      <c r="K1053">
        <f>IF(A1053="","",I1053*J1053)</f>
        <v/>
      </c>
      <c r="L1053">
        <f>IF(A1053="","",IFERROR(MINIFS(Tickets[Trip Start Time],Tickets[TripKey],A1053),""))</f>
        <v/>
      </c>
    </row>
    <row r="1054">
      <c r="B1054" s="8">
        <f>IF(A1054="","",IFERROR(DATEVALUE(TEXTBEFORE(A1054,"|")),--LEFT(A1054,10)))</f>
        <v/>
      </c>
      <c r="C1054">
        <f>IF(A1054="","",TEXTBEFORE(TEXTAFTER(A1054,"|"),"|"))</f>
        <v/>
      </c>
      <c r="D1054">
        <f>IF(A1054="","",TEXTAFTER(A1054,"|",2))</f>
        <v/>
      </c>
      <c r="E1054">
        <f>IF(A1054="","",SUMIF(Tickets[TripKey],A1054,Tickets[TP]))</f>
        <v/>
      </c>
      <c r="F1054">
        <f>IF(A1054="","",SUMIF(Tickets[TripKey],A1054,Tickets[Revenue]))</f>
        <v/>
      </c>
      <c r="G1054">
        <f>IF(A1054="","",SUMIF(Tickets[TripKey],A1054,Tickets[PK]))</f>
        <v/>
      </c>
      <c r="H1054">
        <f>IF(A1054="","",IFERROR(XLOOKUP(A1054,Tickets[TripKey],Tickets[VehClean]),""))</f>
        <v/>
      </c>
      <c r="I1054">
        <f>IF(A1054="","",IFERROR(XLOOKUP(A1054,Tickets[TripKey],Tickets[RouteLen]),0))</f>
        <v/>
      </c>
      <c r="J1054">
        <f>IF(A1054="","",IFERROR(XLOOKUP(A1054,Tickets[TripKey],Tickets[Capacity]),0))</f>
        <v/>
      </c>
      <c r="K1054">
        <f>IF(A1054="","",I1054*J1054)</f>
        <v/>
      </c>
      <c r="L1054">
        <f>IF(A1054="","",IFERROR(MINIFS(Tickets[Trip Start Time],Tickets[TripKey],A1054),""))</f>
        <v/>
      </c>
    </row>
    <row r="1055">
      <c r="B1055" s="8">
        <f>IF(A1055="","",IFERROR(DATEVALUE(TEXTBEFORE(A1055,"|")),--LEFT(A1055,10)))</f>
        <v/>
      </c>
      <c r="C1055">
        <f>IF(A1055="","",TEXTBEFORE(TEXTAFTER(A1055,"|"),"|"))</f>
        <v/>
      </c>
      <c r="D1055">
        <f>IF(A1055="","",TEXTAFTER(A1055,"|",2))</f>
        <v/>
      </c>
      <c r="E1055">
        <f>IF(A1055="","",SUMIF(Tickets[TripKey],A1055,Tickets[TP]))</f>
        <v/>
      </c>
      <c r="F1055">
        <f>IF(A1055="","",SUMIF(Tickets[TripKey],A1055,Tickets[Revenue]))</f>
        <v/>
      </c>
      <c r="G1055">
        <f>IF(A1055="","",SUMIF(Tickets[TripKey],A1055,Tickets[PK]))</f>
        <v/>
      </c>
      <c r="H1055">
        <f>IF(A1055="","",IFERROR(XLOOKUP(A1055,Tickets[TripKey],Tickets[VehClean]),""))</f>
        <v/>
      </c>
      <c r="I1055">
        <f>IF(A1055="","",IFERROR(XLOOKUP(A1055,Tickets[TripKey],Tickets[RouteLen]),0))</f>
        <v/>
      </c>
      <c r="J1055">
        <f>IF(A1055="","",IFERROR(XLOOKUP(A1055,Tickets[TripKey],Tickets[Capacity]),0))</f>
        <v/>
      </c>
      <c r="K1055">
        <f>IF(A1055="","",I1055*J1055)</f>
        <v/>
      </c>
      <c r="L1055">
        <f>IF(A1055="","",IFERROR(MINIFS(Tickets[Trip Start Time],Tickets[TripKey],A1055),""))</f>
        <v/>
      </c>
    </row>
    <row r="1056">
      <c r="B1056" s="8">
        <f>IF(A1056="","",IFERROR(DATEVALUE(TEXTBEFORE(A1056,"|")),--LEFT(A1056,10)))</f>
        <v/>
      </c>
      <c r="C1056">
        <f>IF(A1056="","",TEXTBEFORE(TEXTAFTER(A1056,"|"),"|"))</f>
        <v/>
      </c>
      <c r="D1056">
        <f>IF(A1056="","",TEXTAFTER(A1056,"|",2))</f>
        <v/>
      </c>
      <c r="E1056">
        <f>IF(A1056="","",SUMIF(Tickets[TripKey],A1056,Tickets[TP]))</f>
        <v/>
      </c>
      <c r="F1056">
        <f>IF(A1056="","",SUMIF(Tickets[TripKey],A1056,Tickets[Revenue]))</f>
        <v/>
      </c>
      <c r="G1056">
        <f>IF(A1056="","",SUMIF(Tickets[TripKey],A1056,Tickets[PK]))</f>
        <v/>
      </c>
      <c r="H1056">
        <f>IF(A1056="","",IFERROR(XLOOKUP(A1056,Tickets[TripKey],Tickets[VehClean]),""))</f>
        <v/>
      </c>
      <c r="I1056">
        <f>IF(A1056="","",IFERROR(XLOOKUP(A1056,Tickets[TripKey],Tickets[RouteLen]),0))</f>
        <v/>
      </c>
      <c r="J1056">
        <f>IF(A1056="","",IFERROR(XLOOKUP(A1056,Tickets[TripKey],Tickets[Capacity]),0))</f>
        <v/>
      </c>
      <c r="K1056">
        <f>IF(A1056="","",I1056*J1056)</f>
        <v/>
      </c>
      <c r="L1056">
        <f>IF(A1056="","",IFERROR(MINIFS(Tickets[Trip Start Time],Tickets[TripKey],A1056),""))</f>
        <v/>
      </c>
    </row>
    <row r="1057">
      <c r="B1057" s="8">
        <f>IF(A1057="","",IFERROR(DATEVALUE(TEXTBEFORE(A1057,"|")),--LEFT(A1057,10)))</f>
        <v/>
      </c>
      <c r="C1057">
        <f>IF(A1057="","",TEXTBEFORE(TEXTAFTER(A1057,"|"),"|"))</f>
        <v/>
      </c>
      <c r="D1057">
        <f>IF(A1057="","",TEXTAFTER(A1057,"|",2))</f>
        <v/>
      </c>
      <c r="E1057">
        <f>IF(A1057="","",SUMIF(Tickets[TripKey],A1057,Tickets[TP]))</f>
        <v/>
      </c>
      <c r="F1057">
        <f>IF(A1057="","",SUMIF(Tickets[TripKey],A1057,Tickets[Revenue]))</f>
        <v/>
      </c>
      <c r="G1057">
        <f>IF(A1057="","",SUMIF(Tickets[TripKey],A1057,Tickets[PK]))</f>
        <v/>
      </c>
      <c r="H1057">
        <f>IF(A1057="","",IFERROR(XLOOKUP(A1057,Tickets[TripKey],Tickets[VehClean]),""))</f>
        <v/>
      </c>
      <c r="I1057">
        <f>IF(A1057="","",IFERROR(XLOOKUP(A1057,Tickets[TripKey],Tickets[RouteLen]),0))</f>
        <v/>
      </c>
      <c r="J1057">
        <f>IF(A1057="","",IFERROR(XLOOKUP(A1057,Tickets[TripKey],Tickets[Capacity]),0))</f>
        <v/>
      </c>
      <c r="K1057">
        <f>IF(A1057="","",I1057*J1057)</f>
        <v/>
      </c>
      <c r="L1057">
        <f>IF(A1057="","",IFERROR(MINIFS(Tickets[Trip Start Time],Tickets[TripKey],A1057),""))</f>
        <v/>
      </c>
    </row>
    <row r="1058">
      <c r="B1058" s="8">
        <f>IF(A1058="","",IFERROR(DATEVALUE(TEXTBEFORE(A1058,"|")),--LEFT(A1058,10)))</f>
        <v/>
      </c>
      <c r="C1058">
        <f>IF(A1058="","",TEXTBEFORE(TEXTAFTER(A1058,"|"),"|"))</f>
        <v/>
      </c>
      <c r="D1058">
        <f>IF(A1058="","",TEXTAFTER(A1058,"|",2))</f>
        <v/>
      </c>
      <c r="E1058">
        <f>IF(A1058="","",SUMIF(Tickets[TripKey],A1058,Tickets[TP]))</f>
        <v/>
      </c>
      <c r="F1058">
        <f>IF(A1058="","",SUMIF(Tickets[TripKey],A1058,Tickets[Revenue]))</f>
        <v/>
      </c>
      <c r="G1058">
        <f>IF(A1058="","",SUMIF(Tickets[TripKey],A1058,Tickets[PK]))</f>
        <v/>
      </c>
      <c r="H1058">
        <f>IF(A1058="","",IFERROR(XLOOKUP(A1058,Tickets[TripKey],Tickets[VehClean]),""))</f>
        <v/>
      </c>
      <c r="I1058">
        <f>IF(A1058="","",IFERROR(XLOOKUP(A1058,Tickets[TripKey],Tickets[RouteLen]),0))</f>
        <v/>
      </c>
      <c r="J1058">
        <f>IF(A1058="","",IFERROR(XLOOKUP(A1058,Tickets[TripKey],Tickets[Capacity]),0))</f>
        <v/>
      </c>
      <c r="K1058">
        <f>IF(A1058="","",I1058*J1058)</f>
        <v/>
      </c>
      <c r="L1058">
        <f>IF(A1058="","",IFERROR(MINIFS(Tickets[Trip Start Time],Tickets[TripKey],A1058),""))</f>
        <v/>
      </c>
    </row>
    <row r="1059">
      <c r="B1059" s="8">
        <f>IF(A1059="","",IFERROR(DATEVALUE(TEXTBEFORE(A1059,"|")),--LEFT(A1059,10)))</f>
        <v/>
      </c>
      <c r="C1059">
        <f>IF(A1059="","",TEXTBEFORE(TEXTAFTER(A1059,"|"),"|"))</f>
        <v/>
      </c>
      <c r="D1059">
        <f>IF(A1059="","",TEXTAFTER(A1059,"|",2))</f>
        <v/>
      </c>
      <c r="E1059">
        <f>IF(A1059="","",SUMIF(Tickets[TripKey],A1059,Tickets[TP]))</f>
        <v/>
      </c>
      <c r="F1059">
        <f>IF(A1059="","",SUMIF(Tickets[TripKey],A1059,Tickets[Revenue]))</f>
        <v/>
      </c>
      <c r="G1059">
        <f>IF(A1059="","",SUMIF(Tickets[TripKey],A1059,Tickets[PK]))</f>
        <v/>
      </c>
      <c r="H1059">
        <f>IF(A1059="","",IFERROR(XLOOKUP(A1059,Tickets[TripKey],Tickets[VehClean]),""))</f>
        <v/>
      </c>
      <c r="I1059">
        <f>IF(A1059="","",IFERROR(XLOOKUP(A1059,Tickets[TripKey],Tickets[RouteLen]),0))</f>
        <v/>
      </c>
      <c r="J1059">
        <f>IF(A1059="","",IFERROR(XLOOKUP(A1059,Tickets[TripKey],Tickets[Capacity]),0))</f>
        <v/>
      </c>
      <c r="K1059">
        <f>IF(A1059="","",I1059*J1059)</f>
        <v/>
      </c>
      <c r="L1059">
        <f>IF(A1059="","",IFERROR(MINIFS(Tickets[Trip Start Time],Tickets[TripKey],A1059),""))</f>
        <v/>
      </c>
    </row>
    <row r="1060">
      <c r="B1060" s="8">
        <f>IF(A1060="","",IFERROR(DATEVALUE(TEXTBEFORE(A1060,"|")),--LEFT(A1060,10)))</f>
        <v/>
      </c>
      <c r="C1060">
        <f>IF(A1060="","",TEXTBEFORE(TEXTAFTER(A1060,"|"),"|"))</f>
        <v/>
      </c>
      <c r="D1060">
        <f>IF(A1060="","",TEXTAFTER(A1060,"|",2))</f>
        <v/>
      </c>
      <c r="E1060">
        <f>IF(A1060="","",SUMIF(Tickets[TripKey],A1060,Tickets[TP]))</f>
        <v/>
      </c>
      <c r="F1060">
        <f>IF(A1060="","",SUMIF(Tickets[TripKey],A1060,Tickets[Revenue]))</f>
        <v/>
      </c>
      <c r="G1060">
        <f>IF(A1060="","",SUMIF(Tickets[TripKey],A1060,Tickets[PK]))</f>
        <v/>
      </c>
      <c r="H1060">
        <f>IF(A1060="","",IFERROR(XLOOKUP(A1060,Tickets[TripKey],Tickets[VehClean]),""))</f>
        <v/>
      </c>
      <c r="I1060">
        <f>IF(A1060="","",IFERROR(XLOOKUP(A1060,Tickets[TripKey],Tickets[RouteLen]),0))</f>
        <v/>
      </c>
      <c r="J1060">
        <f>IF(A1060="","",IFERROR(XLOOKUP(A1060,Tickets[TripKey],Tickets[Capacity]),0))</f>
        <v/>
      </c>
      <c r="K1060">
        <f>IF(A1060="","",I1060*J1060)</f>
        <v/>
      </c>
      <c r="L1060">
        <f>IF(A1060="","",IFERROR(MINIFS(Tickets[Trip Start Time],Tickets[TripKey],A1060),""))</f>
        <v/>
      </c>
    </row>
    <row r="1061">
      <c r="B1061" s="8">
        <f>IF(A1061="","",IFERROR(DATEVALUE(TEXTBEFORE(A1061,"|")),--LEFT(A1061,10)))</f>
        <v/>
      </c>
      <c r="C1061">
        <f>IF(A1061="","",TEXTBEFORE(TEXTAFTER(A1061,"|"),"|"))</f>
        <v/>
      </c>
      <c r="D1061">
        <f>IF(A1061="","",TEXTAFTER(A1061,"|",2))</f>
        <v/>
      </c>
      <c r="E1061">
        <f>IF(A1061="","",SUMIF(Tickets[TripKey],A1061,Tickets[TP]))</f>
        <v/>
      </c>
      <c r="F1061">
        <f>IF(A1061="","",SUMIF(Tickets[TripKey],A1061,Tickets[Revenue]))</f>
        <v/>
      </c>
      <c r="G1061">
        <f>IF(A1061="","",SUMIF(Tickets[TripKey],A1061,Tickets[PK]))</f>
        <v/>
      </c>
      <c r="H1061">
        <f>IF(A1061="","",IFERROR(XLOOKUP(A1061,Tickets[TripKey],Tickets[VehClean]),""))</f>
        <v/>
      </c>
      <c r="I1061">
        <f>IF(A1061="","",IFERROR(XLOOKUP(A1061,Tickets[TripKey],Tickets[RouteLen]),0))</f>
        <v/>
      </c>
      <c r="J1061">
        <f>IF(A1061="","",IFERROR(XLOOKUP(A1061,Tickets[TripKey],Tickets[Capacity]),0))</f>
        <v/>
      </c>
      <c r="K1061">
        <f>IF(A1061="","",I1061*J1061)</f>
        <v/>
      </c>
      <c r="L1061">
        <f>IF(A1061="","",IFERROR(MINIFS(Tickets[Trip Start Time],Tickets[TripKey],A1061),""))</f>
        <v/>
      </c>
    </row>
    <row r="1062">
      <c r="B1062" s="8">
        <f>IF(A1062="","",IFERROR(DATEVALUE(TEXTBEFORE(A1062,"|")),--LEFT(A1062,10)))</f>
        <v/>
      </c>
      <c r="C1062">
        <f>IF(A1062="","",TEXTBEFORE(TEXTAFTER(A1062,"|"),"|"))</f>
        <v/>
      </c>
      <c r="D1062">
        <f>IF(A1062="","",TEXTAFTER(A1062,"|",2))</f>
        <v/>
      </c>
      <c r="E1062">
        <f>IF(A1062="","",SUMIF(Tickets[TripKey],A1062,Tickets[TP]))</f>
        <v/>
      </c>
      <c r="F1062">
        <f>IF(A1062="","",SUMIF(Tickets[TripKey],A1062,Tickets[Revenue]))</f>
        <v/>
      </c>
      <c r="G1062">
        <f>IF(A1062="","",SUMIF(Tickets[TripKey],A1062,Tickets[PK]))</f>
        <v/>
      </c>
      <c r="H1062">
        <f>IF(A1062="","",IFERROR(XLOOKUP(A1062,Tickets[TripKey],Tickets[VehClean]),""))</f>
        <v/>
      </c>
      <c r="I1062">
        <f>IF(A1062="","",IFERROR(XLOOKUP(A1062,Tickets[TripKey],Tickets[RouteLen]),0))</f>
        <v/>
      </c>
      <c r="J1062">
        <f>IF(A1062="","",IFERROR(XLOOKUP(A1062,Tickets[TripKey],Tickets[Capacity]),0))</f>
        <v/>
      </c>
      <c r="K1062">
        <f>IF(A1062="","",I1062*J1062)</f>
        <v/>
      </c>
      <c r="L1062">
        <f>IF(A1062="","",IFERROR(MINIFS(Tickets[Trip Start Time],Tickets[TripKey],A1062),""))</f>
        <v/>
      </c>
    </row>
    <row r="1063">
      <c r="B1063" s="8">
        <f>IF(A1063="","",IFERROR(DATEVALUE(TEXTBEFORE(A1063,"|")),--LEFT(A1063,10)))</f>
        <v/>
      </c>
      <c r="C1063">
        <f>IF(A1063="","",TEXTBEFORE(TEXTAFTER(A1063,"|"),"|"))</f>
        <v/>
      </c>
      <c r="D1063">
        <f>IF(A1063="","",TEXTAFTER(A1063,"|",2))</f>
        <v/>
      </c>
      <c r="E1063">
        <f>IF(A1063="","",SUMIF(Tickets[TripKey],A1063,Tickets[TP]))</f>
        <v/>
      </c>
      <c r="F1063">
        <f>IF(A1063="","",SUMIF(Tickets[TripKey],A1063,Tickets[Revenue]))</f>
        <v/>
      </c>
      <c r="G1063">
        <f>IF(A1063="","",SUMIF(Tickets[TripKey],A1063,Tickets[PK]))</f>
        <v/>
      </c>
      <c r="H1063">
        <f>IF(A1063="","",IFERROR(XLOOKUP(A1063,Tickets[TripKey],Tickets[VehClean]),""))</f>
        <v/>
      </c>
      <c r="I1063">
        <f>IF(A1063="","",IFERROR(XLOOKUP(A1063,Tickets[TripKey],Tickets[RouteLen]),0))</f>
        <v/>
      </c>
      <c r="J1063">
        <f>IF(A1063="","",IFERROR(XLOOKUP(A1063,Tickets[TripKey],Tickets[Capacity]),0))</f>
        <v/>
      </c>
      <c r="K1063">
        <f>IF(A1063="","",I1063*J1063)</f>
        <v/>
      </c>
      <c r="L1063">
        <f>IF(A1063="","",IFERROR(MINIFS(Tickets[Trip Start Time],Tickets[TripKey],A1063),""))</f>
        <v/>
      </c>
    </row>
    <row r="1064">
      <c r="B1064" s="8">
        <f>IF(A1064="","",IFERROR(DATEVALUE(TEXTBEFORE(A1064,"|")),--LEFT(A1064,10)))</f>
        <v/>
      </c>
      <c r="C1064">
        <f>IF(A1064="","",TEXTBEFORE(TEXTAFTER(A1064,"|"),"|"))</f>
        <v/>
      </c>
      <c r="D1064">
        <f>IF(A1064="","",TEXTAFTER(A1064,"|",2))</f>
        <v/>
      </c>
      <c r="E1064">
        <f>IF(A1064="","",SUMIF(Tickets[TripKey],A1064,Tickets[TP]))</f>
        <v/>
      </c>
      <c r="F1064">
        <f>IF(A1064="","",SUMIF(Tickets[TripKey],A1064,Tickets[Revenue]))</f>
        <v/>
      </c>
      <c r="G1064">
        <f>IF(A1064="","",SUMIF(Tickets[TripKey],A1064,Tickets[PK]))</f>
        <v/>
      </c>
      <c r="H1064">
        <f>IF(A1064="","",IFERROR(XLOOKUP(A1064,Tickets[TripKey],Tickets[VehClean]),""))</f>
        <v/>
      </c>
      <c r="I1064">
        <f>IF(A1064="","",IFERROR(XLOOKUP(A1064,Tickets[TripKey],Tickets[RouteLen]),0))</f>
        <v/>
      </c>
      <c r="J1064">
        <f>IF(A1064="","",IFERROR(XLOOKUP(A1064,Tickets[TripKey],Tickets[Capacity]),0))</f>
        <v/>
      </c>
      <c r="K1064">
        <f>IF(A1064="","",I1064*J1064)</f>
        <v/>
      </c>
      <c r="L1064">
        <f>IF(A1064="","",IFERROR(MINIFS(Tickets[Trip Start Time],Tickets[TripKey],A1064),""))</f>
        <v/>
      </c>
    </row>
    <row r="1065">
      <c r="B1065" s="8">
        <f>IF(A1065="","",IFERROR(DATEVALUE(TEXTBEFORE(A1065,"|")),--LEFT(A1065,10)))</f>
        <v/>
      </c>
      <c r="C1065">
        <f>IF(A1065="","",TEXTBEFORE(TEXTAFTER(A1065,"|"),"|"))</f>
        <v/>
      </c>
      <c r="D1065">
        <f>IF(A1065="","",TEXTAFTER(A1065,"|",2))</f>
        <v/>
      </c>
      <c r="E1065">
        <f>IF(A1065="","",SUMIF(Tickets[TripKey],A1065,Tickets[TP]))</f>
        <v/>
      </c>
      <c r="F1065">
        <f>IF(A1065="","",SUMIF(Tickets[TripKey],A1065,Tickets[Revenue]))</f>
        <v/>
      </c>
      <c r="G1065">
        <f>IF(A1065="","",SUMIF(Tickets[TripKey],A1065,Tickets[PK]))</f>
        <v/>
      </c>
      <c r="H1065">
        <f>IF(A1065="","",IFERROR(XLOOKUP(A1065,Tickets[TripKey],Tickets[VehClean]),""))</f>
        <v/>
      </c>
      <c r="I1065">
        <f>IF(A1065="","",IFERROR(XLOOKUP(A1065,Tickets[TripKey],Tickets[RouteLen]),0))</f>
        <v/>
      </c>
      <c r="J1065">
        <f>IF(A1065="","",IFERROR(XLOOKUP(A1065,Tickets[TripKey],Tickets[Capacity]),0))</f>
        <v/>
      </c>
      <c r="K1065">
        <f>IF(A1065="","",I1065*J1065)</f>
        <v/>
      </c>
      <c r="L1065">
        <f>IF(A1065="","",IFERROR(MINIFS(Tickets[Trip Start Time],Tickets[TripKey],A1065),""))</f>
        <v/>
      </c>
    </row>
    <row r="1066">
      <c r="B1066" s="8">
        <f>IF(A1066="","",IFERROR(DATEVALUE(TEXTBEFORE(A1066,"|")),--LEFT(A1066,10)))</f>
        <v/>
      </c>
      <c r="C1066">
        <f>IF(A1066="","",TEXTBEFORE(TEXTAFTER(A1066,"|"),"|"))</f>
        <v/>
      </c>
      <c r="D1066">
        <f>IF(A1066="","",TEXTAFTER(A1066,"|",2))</f>
        <v/>
      </c>
      <c r="E1066">
        <f>IF(A1066="","",SUMIF(Tickets[TripKey],A1066,Tickets[TP]))</f>
        <v/>
      </c>
      <c r="F1066">
        <f>IF(A1066="","",SUMIF(Tickets[TripKey],A1066,Tickets[Revenue]))</f>
        <v/>
      </c>
      <c r="G1066">
        <f>IF(A1066="","",SUMIF(Tickets[TripKey],A1066,Tickets[PK]))</f>
        <v/>
      </c>
      <c r="H1066">
        <f>IF(A1066="","",IFERROR(XLOOKUP(A1066,Tickets[TripKey],Tickets[VehClean]),""))</f>
        <v/>
      </c>
      <c r="I1066">
        <f>IF(A1066="","",IFERROR(XLOOKUP(A1066,Tickets[TripKey],Tickets[RouteLen]),0))</f>
        <v/>
      </c>
      <c r="J1066">
        <f>IF(A1066="","",IFERROR(XLOOKUP(A1066,Tickets[TripKey],Tickets[Capacity]),0))</f>
        <v/>
      </c>
      <c r="K1066">
        <f>IF(A1066="","",I1066*J1066)</f>
        <v/>
      </c>
      <c r="L1066">
        <f>IF(A1066="","",IFERROR(MINIFS(Tickets[Trip Start Time],Tickets[TripKey],A1066),""))</f>
        <v/>
      </c>
    </row>
    <row r="1067">
      <c r="B1067" s="8">
        <f>IF(A1067="","",IFERROR(DATEVALUE(TEXTBEFORE(A1067,"|")),--LEFT(A1067,10)))</f>
        <v/>
      </c>
      <c r="C1067">
        <f>IF(A1067="","",TEXTBEFORE(TEXTAFTER(A1067,"|"),"|"))</f>
        <v/>
      </c>
      <c r="D1067">
        <f>IF(A1067="","",TEXTAFTER(A1067,"|",2))</f>
        <v/>
      </c>
      <c r="E1067">
        <f>IF(A1067="","",SUMIF(Tickets[TripKey],A1067,Tickets[TP]))</f>
        <v/>
      </c>
      <c r="F1067">
        <f>IF(A1067="","",SUMIF(Tickets[TripKey],A1067,Tickets[Revenue]))</f>
        <v/>
      </c>
      <c r="G1067">
        <f>IF(A1067="","",SUMIF(Tickets[TripKey],A1067,Tickets[PK]))</f>
        <v/>
      </c>
      <c r="H1067">
        <f>IF(A1067="","",IFERROR(XLOOKUP(A1067,Tickets[TripKey],Tickets[VehClean]),""))</f>
        <v/>
      </c>
      <c r="I1067">
        <f>IF(A1067="","",IFERROR(XLOOKUP(A1067,Tickets[TripKey],Tickets[RouteLen]),0))</f>
        <v/>
      </c>
      <c r="J1067">
        <f>IF(A1067="","",IFERROR(XLOOKUP(A1067,Tickets[TripKey],Tickets[Capacity]),0))</f>
        <v/>
      </c>
      <c r="K1067">
        <f>IF(A1067="","",I1067*J1067)</f>
        <v/>
      </c>
      <c r="L1067">
        <f>IF(A1067="","",IFERROR(MINIFS(Tickets[Trip Start Time],Tickets[TripKey],A1067),""))</f>
        <v/>
      </c>
    </row>
    <row r="1068">
      <c r="B1068" s="8">
        <f>IF(A1068="","",IFERROR(DATEVALUE(TEXTBEFORE(A1068,"|")),--LEFT(A1068,10)))</f>
        <v/>
      </c>
      <c r="C1068">
        <f>IF(A1068="","",TEXTBEFORE(TEXTAFTER(A1068,"|"),"|"))</f>
        <v/>
      </c>
      <c r="D1068">
        <f>IF(A1068="","",TEXTAFTER(A1068,"|",2))</f>
        <v/>
      </c>
      <c r="E1068">
        <f>IF(A1068="","",SUMIF(Tickets[TripKey],A1068,Tickets[TP]))</f>
        <v/>
      </c>
      <c r="F1068">
        <f>IF(A1068="","",SUMIF(Tickets[TripKey],A1068,Tickets[Revenue]))</f>
        <v/>
      </c>
      <c r="G1068">
        <f>IF(A1068="","",SUMIF(Tickets[TripKey],A1068,Tickets[PK]))</f>
        <v/>
      </c>
      <c r="H1068">
        <f>IF(A1068="","",IFERROR(XLOOKUP(A1068,Tickets[TripKey],Tickets[VehClean]),""))</f>
        <v/>
      </c>
      <c r="I1068">
        <f>IF(A1068="","",IFERROR(XLOOKUP(A1068,Tickets[TripKey],Tickets[RouteLen]),0))</f>
        <v/>
      </c>
      <c r="J1068">
        <f>IF(A1068="","",IFERROR(XLOOKUP(A1068,Tickets[TripKey],Tickets[Capacity]),0))</f>
        <v/>
      </c>
      <c r="K1068">
        <f>IF(A1068="","",I1068*J1068)</f>
        <v/>
      </c>
      <c r="L1068">
        <f>IF(A1068="","",IFERROR(MINIFS(Tickets[Trip Start Time],Tickets[TripKey],A1068),""))</f>
        <v/>
      </c>
    </row>
    <row r="1069">
      <c r="B1069" s="8">
        <f>IF(A1069="","",IFERROR(DATEVALUE(TEXTBEFORE(A1069,"|")),--LEFT(A1069,10)))</f>
        <v/>
      </c>
      <c r="C1069">
        <f>IF(A1069="","",TEXTBEFORE(TEXTAFTER(A1069,"|"),"|"))</f>
        <v/>
      </c>
      <c r="D1069">
        <f>IF(A1069="","",TEXTAFTER(A1069,"|",2))</f>
        <v/>
      </c>
      <c r="E1069">
        <f>IF(A1069="","",SUMIF(Tickets[TripKey],A1069,Tickets[TP]))</f>
        <v/>
      </c>
      <c r="F1069">
        <f>IF(A1069="","",SUMIF(Tickets[TripKey],A1069,Tickets[Revenue]))</f>
        <v/>
      </c>
      <c r="G1069">
        <f>IF(A1069="","",SUMIF(Tickets[TripKey],A1069,Tickets[PK]))</f>
        <v/>
      </c>
      <c r="H1069">
        <f>IF(A1069="","",IFERROR(XLOOKUP(A1069,Tickets[TripKey],Tickets[VehClean]),""))</f>
        <v/>
      </c>
      <c r="I1069">
        <f>IF(A1069="","",IFERROR(XLOOKUP(A1069,Tickets[TripKey],Tickets[RouteLen]),0))</f>
        <v/>
      </c>
      <c r="J1069">
        <f>IF(A1069="","",IFERROR(XLOOKUP(A1069,Tickets[TripKey],Tickets[Capacity]),0))</f>
        <v/>
      </c>
      <c r="K1069">
        <f>IF(A1069="","",I1069*J1069)</f>
        <v/>
      </c>
      <c r="L1069">
        <f>IF(A1069="","",IFERROR(MINIFS(Tickets[Trip Start Time],Tickets[TripKey],A1069),""))</f>
        <v/>
      </c>
    </row>
    <row r="1070">
      <c r="B1070" s="8">
        <f>IF(A1070="","",IFERROR(DATEVALUE(TEXTBEFORE(A1070,"|")),--LEFT(A1070,10)))</f>
        <v/>
      </c>
      <c r="C1070">
        <f>IF(A1070="","",TEXTBEFORE(TEXTAFTER(A1070,"|"),"|"))</f>
        <v/>
      </c>
      <c r="D1070">
        <f>IF(A1070="","",TEXTAFTER(A1070,"|",2))</f>
        <v/>
      </c>
      <c r="E1070">
        <f>IF(A1070="","",SUMIF(Tickets[TripKey],A1070,Tickets[TP]))</f>
        <v/>
      </c>
      <c r="F1070">
        <f>IF(A1070="","",SUMIF(Tickets[TripKey],A1070,Tickets[Revenue]))</f>
        <v/>
      </c>
      <c r="G1070">
        <f>IF(A1070="","",SUMIF(Tickets[TripKey],A1070,Tickets[PK]))</f>
        <v/>
      </c>
      <c r="H1070">
        <f>IF(A1070="","",IFERROR(XLOOKUP(A1070,Tickets[TripKey],Tickets[VehClean]),""))</f>
        <v/>
      </c>
      <c r="I1070">
        <f>IF(A1070="","",IFERROR(XLOOKUP(A1070,Tickets[TripKey],Tickets[RouteLen]),0))</f>
        <v/>
      </c>
      <c r="J1070">
        <f>IF(A1070="","",IFERROR(XLOOKUP(A1070,Tickets[TripKey],Tickets[Capacity]),0))</f>
        <v/>
      </c>
      <c r="K1070">
        <f>IF(A1070="","",I1070*J1070)</f>
        <v/>
      </c>
      <c r="L1070">
        <f>IF(A1070="","",IFERROR(MINIFS(Tickets[Trip Start Time],Tickets[TripKey],A1070),""))</f>
        <v/>
      </c>
    </row>
    <row r="1071">
      <c r="B1071" s="8">
        <f>IF(A1071="","",IFERROR(DATEVALUE(TEXTBEFORE(A1071,"|")),--LEFT(A1071,10)))</f>
        <v/>
      </c>
      <c r="C1071">
        <f>IF(A1071="","",TEXTBEFORE(TEXTAFTER(A1071,"|"),"|"))</f>
        <v/>
      </c>
      <c r="D1071">
        <f>IF(A1071="","",TEXTAFTER(A1071,"|",2))</f>
        <v/>
      </c>
      <c r="E1071">
        <f>IF(A1071="","",SUMIF(Tickets[TripKey],A1071,Tickets[TP]))</f>
        <v/>
      </c>
      <c r="F1071">
        <f>IF(A1071="","",SUMIF(Tickets[TripKey],A1071,Tickets[Revenue]))</f>
        <v/>
      </c>
      <c r="G1071">
        <f>IF(A1071="","",SUMIF(Tickets[TripKey],A1071,Tickets[PK]))</f>
        <v/>
      </c>
      <c r="H1071">
        <f>IF(A1071="","",IFERROR(XLOOKUP(A1071,Tickets[TripKey],Tickets[VehClean]),""))</f>
        <v/>
      </c>
      <c r="I1071">
        <f>IF(A1071="","",IFERROR(XLOOKUP(A1071,Tickets[TripKey],Tickets[RouteLen]),0))</f>
        <v/>
      </c>
      <c r="J1071">
        <f>IF(A1071="","",IFERROR(XLOOKUP(A1071,Tickets[TripKey],Tickets[Capacity]),0))</f>
        <v/>
      </c>
      <c r="K1071">
        <f>IF(A1071="","",I1071*J1071)</f>
        <v/>
      </c>
      <c r="L1071">
        <f>IF(A1071="","",IFERROR(MINIFS(Tickets[Trip Start Time],Tickets[TripKey],A1071),""))</f>
        <v/>
      </c>
    </row>
    <row r="1072">
      <c r="B1072" s="8">
        <f>IF(A1072="","",IFERROR(DATEVALUE(TEXTBEFORE(A1072,"|")),--LEFT(A1072,10)))</f>
        <v/>
      </c>
      <c r="C1072">
        <f>IF(A1072="","",TEXTBEFORE(TEXTAFTER(A1072,"|"),"|"))</f>
        <v/>
      </c>
      <c r="D1072">
        <f>IF(A1072="","",TEXTAFTER(A1072,"|",2))</f>
        <v/>
      </c>
      <c r="E1072">
        <f>IF(A1072="","",SUMIF(Tickets[TripKey],A1072,Tickets[TP]))</f>
        <v/>
      </c>
      <c r="F1072">
        <f>IF(A1072="","",SUMIF(Tickets[TripKey],A1072,Tickets[Revenue]))</f>
        <v/>
      </c>
      <c r="G1072">
        <f>IF(A1072="","",SUMIF(Tickets[TripKey],A1072,Tickets[PK]))</f>
        <v/>
      </c>
      <c r="H1072">
        <f>IF(A1072="","",IFERROR(XLOOKUP(A1072,Tickets[TripKey],Tickets[VehClean]),""))</f>
        <v/>
      </c>
      <c r="I1072">
        <f>IF(A1072="","",IFERROR(XLOOKUP(A1072,Tickets[TripKey],Tickets[RouteLen]),0))</f>
        <v/>
      </c>
      <c r="J1072">
        <f>IF(A1072="","",IFERROR(XLOOKUP(A1072,Tickets[TripKey],Tickets[Capacity]),0))</f>
        <v/>
      </c>
      <c r="K1072">
        <f>IF(A1072="","",I1072*J1072)</f>
        <v/>
      </c>
      <c r="L1072">
        <f>IF(A1072="","",IFERROR(MINIFS(Tickets[Trip Start Time],Tickets[TripKey],A1072),""))</f>
        <v/>
      </c>
    </row>
    <row r="1073">
      <c r="B1073" s="8">
        <f>IF(A1073="","",IFERROR(DATEVALUE(TEXTBEFORE(A1073,"|")),--LEFT(A1073,10)))</f>
        <v/>
      </c>
      <c r="C1073">
        <f>IF(A1073="","",TEXTBEFORE(TEXTAFTER(A1073,"|"),"|"))</f>
        <v/>
      </c>
      <c r="D1073">
        <f>IF(A1073="","",TEXTAFTER(A1073,"|",2))</f>
        <v/>
      </c>
      <c r="E1073">
        <f>IF(A1073="","",SUMIF(Tickets[TripKey],A1073,Tickets[TP]))</f>
        <v/>
      </c>
      <c r="F1073">
        <f>IF(A1073="","",SUMIF(Tickets[TripKey],A1073,Tickets[Revenue]))</f>
        <v/>
      </c>
      <c r="G1073">
        <f>IF(A1073="","",SUMIF(Tickets[TripKey],A1073,Tickets[PK]))</f>
        <v/>
      </c>
      <c r="H1073">
        <f>IF(A1073="","",IFERROR(XLOOKUP(A1073,Tickets[TripKey],Tickets[VehClean]),""))</f>
        <v/>
      </c>
      <c r="I1073">
        <f>IF(A1073="","",IFERROR(XLOOKUP(A1073,Tickets[TripKey],Tickets[RouteLen]),0))</f>
        <v/>
      </c>
      <c r="J1073">
        <f>IF(A1073="","",IFERROR(XLOOKUP(A1073,Tickets[TripKey],Tickets[Capacity]),0))</f>
        <v/>
      </c>
      <c r="K1073">
        <f>IF(A1073="","",I1073*J1073)</f>
        <v/>
      </c>
      <c r="L1073">
        <f>IF(A1073="","",IFERROR(MINIFS(Tickets[Trip Start Time],Tickets[TripKey],A1073),""))</f>
        <v/>
      </c>
    </row>
    <row r="1074">
      <c r="B1074" s="8">
        <f>IF(A1074="","",IFERROR(DATEVALUE(TEXTBEFORE(A1074,"|")),--LEFT(A1074,10)))</f>
        <v/>
      </c>
      <c r="C1074">
        <f>IF(A1074="","",TEXTBEFORE(TEXTAFTER(A1074,"|"),"|"))</f>
        <v/>
      </c>
      <c r="D1074">
        <f>IF(A1074="","",TEXTAFTER(A1074,"|",2))</f>
        <v/>
      </c>
      <c r="E1074">
        <f>IF(A1074="","",SUMIF(Tickets[TripKey],A1074,Tickets[TP]))</f>
        <v/>
      </c>
      <c r="F1074">
        <f>IF(A1074="","",SUMIF(Tickets[TripKey],A1074,Tickets[Revenue]))</f>
        <v/>
      </c>
      <c r="G1074">
        <f>IF(A1074="","",SUMIF(Tickets[TripKey],A1074,Tickets[PK]))</f>
        <v/>
      </c>
      <c r="H1074">
        <f>IF(A1074="","",IFERROR(XLOOKUP(A1074,Tickets[TripKey],Tickets[VehClean]),""))</f>
        <v/>
      </c>
      <c r="I1074">
        <f>IF(A1074="","",IFERROR(XLOOKUP(A1074,Tickets[TripKey],Tickets[RouteLen]),0))</f>
        <v/>
      </c>
      <c r="J1074">
        <f>IF(A1074="","",IFERROR(XLOOKUP(A1074,Tickets[TripKey],Tickets[Capacity]),0))</f>
        <v/>
      </c>
      <c r="K1074">
        <f>IF(A1074="","",I1074*J1074)</f>
        <v/>
      </c>
      <c r="L1074">
        <f>IF(A1074="","",IFERROR(MINIFS(Tickets[Trip Start Time],Tickets[TripKey],A1074),""))</f>
        <v/>
      </c>
    </row>
    <row r="1075">
      <c r="B1075" s="8">
        <f>IF(A1075="","",IFERROR(DATEVALUE(TEXTBEFORE(A1075,"|")),--LEFT(A1075,10)))</f>
        <v/>
      </c>
      <c r="C1075">
        <f>IF(A1075="","",TEXTBEFORE(TEXTAFTER(A1075,"|"),"|"))</f>
        <v/>
      </c>
      <c r="D1075">
        <f>IF(A1075="","",TEXTAFTER(A1075,"|",2))</f>
        <v/>
      </c>
      <c r="E1075">
        <f>IF(A1075="","",SUMIF(Tickets[TripKey],A1075,Tickets[TP]))</f>
        <v/>
      </c>
      <c r="F1075">
        <f>IF(A1075="","",SUMIF(Tickets[TripKey],A1075,Tickets[Revenue]))</f>
        <v/>
      </c>
      <c r="G1075">
        <f>IF(A1075="","",SUMIF(Tickets[TripKey],A1075,Tickets[PK]))</f>
        <v/>
      </c>
      <c r="H1075">
        <f>IF(A1075="","",IFERROR(XLOOKUP(A1075,Tickets[TripKey],Tickets[VehClean]),""))</f>
        <v/>
      </c>
      <c r="I1075">
        <f>IF(A1075="","",IFERROR(XLOOKUP(A1075,Tickets[TripKey],Tickets[RouteLen]),0))</f>
        <v/>
      </c>
      <c r="J1075">
        <f>IF(A1075="","",IFERROR(XLOOKUP(A1075,Tickets[TripKey],Tickets[Capacity]),0))</f>
        <v/>
      </c>
      <c r="K1075">
        <f>IF(A1075="","",I1075*J1075)</f>
        <v/>
      </c>
      <c r="L1075">
        <f>IF(A1075="","",IFERROR(MINIFS(Tickets[Trip Start Time],Tickets[TripKey],A1075),""))</f>
        <v/>
      </c>
    </row>
    <row r="1076">
      <c r="B1076" s="8">
        <f>IF(A1076="","",IFERROR(DATEVALUE(TEXTBEFORE(A1076,"|")),--LEFT(A1076,10)))</f>
        <v/>
      </c>
      <c r="C1076">
        <f>IF(A1076="","",TEXTBEFORE(TEXTAFTER(A1076,"|"),"|"))</f>
        <v/>
      </c>
      <c r="D1076">
        <f>IF(A1076="","",TEXTAFTER(A1076,"|",2))</f>
        <v/>
      </c>
      <c r="E1076">
        <f>IF(A1076="","",SUMIF(Tickets[TripKey],A1076,Tickets[TP]))</f>
        <v/>
      </c>
      <c r="F1076">
        <f>IF(A1076="","",SUMIF(Tickets[TripKey],A1076,Tickets[Revenue]))</f>
        <v/>
      </c>
      <c r="G1076">
        <f>IF(A1076="","",SUMIF(Tickets[TripKey],A1076,Tickets[PK]))</f>
        <v/>
      </c>
      <c r="H1076">
        <f>IF(A1076="","",IFERROR(XLOOKUP(A1076,Tickets[TripKey],Tickets[VehClean]),""))</f>
        <v/>
      </c>
      <c r="I1076">
        <f>IF(A1076="","",IFERROR(XLOOKUP(A1076,Tickets[TripKey],Tickets[RouteLen]),0))</f>
        <v/>
      </c>
      <c r="J1076">
        <f>IF(A1076="","",IFERROR(XLOOKUP(A1076,Tickets[TripKey],Tickets[Capacity]),0))</f>
        <v/>
      </c>
      <c r="K1076">
        <f>IF(A1076="","",I1076*J1076)</f>
        <v/>
      </c>
      <c r="L1076">
        <f>IF(A1076="","",IFERROR(MINIFS(Tickets[Trip Start Time],Tickets[TripKey],A1076),""))</f>
        <v/>
      </c>
    </row>
    <row r="1077">
      <c r="B1077" s="8">
        <f>IF(A1077="","",IFERROR(DATEVALUE(TEXTBEFORE(A1077,"|")),--LEFT(A1077,10)))</f>
        <v/>
      </c>
      <c r="C1077">
        <f>IF(A1077="","",TEXTBEFORE(TEXTAFTER(A1077,"|"),"|"))</f>
        <v/>
      </c>
      <c r="D1077">
        <f>IF(A1077="","",TEXTAFTER(A1077,"|",2))</f>
        <v/>
      </c>
      <c r="E1077">
        <f>IF(A1077="","",SUMIF(Tickets[TripKey],A1077,Tickets[TP]))</f>
        <v/>
      </c>
      <c r="F1077">
        <f>IF(A1077="","",SUMIF(Tickets[TripKey],A1077,Tickets[Revenue]))</f>
        <v/>
      </c>
      <c r="G1077">
        <f>IF(A1077="","",SUMIF(Tickets[TripKey],A1077,Tickets[PK]))</f>
        <v/>
      </c>
      <c r="H1077">
        <f>IF(A1077="","",IFERROR(XLOOKUP(A1077,Tickets[TripKey],Tickets[VehClean]),""))</f>
        <v/>
      </c>
      <c r="I1077">
        <f>IF(A1077="","",IFERROR(XLOOKUP(A1077,Tickets[TripKey],Tickets[RouteLen]),0))</f>
        <v/>
      </c>
      <c r="J1077">
        <f>IF(A1077="","",IFERROR(XLOOKUP(A1077,Tickets[TripKey],Tickets[Capacity]),0))</f>
        <v/>
      </c>
      <c r="K1077">
        <f>IF(A1077="","",I1077*J1077)</f>
        <v/>
      </c>
      <c r="L1077">
        <f>IF(A1077="","",IFERROR(MINIFS(Tickets[Trip Start Time],Tickets[TripKey],A1077),""))</f>
        <v/>
      </c>
    </row>
    <row r="1078">
      <c r="B1078" s="8">
        <f>IF(A1078="","",IFERROR(DATEVALUE(TEXTBEFORE(A1078,"|")),--LEFT(A1078,10)))</f>
        <v/>
      </c>
      <c r="C1078">
        <f>IF(A1078="","",TEXTBEFORE(TEXTAFTER(A1078,"|"),"|"))</f>
        <v/>
      </c>
      <c r="D1078">
        <f>IF(A1078="","",TEXTAFTER(A1078,"|",2))</f>
        <v/>
      </c>
      <c r="E1078">
        <f>IF(A1078="","",SUMIF(Tickets[TripKey],A1078,Tickets[TP]))</f>
        <v/>
      </c>
      <c r="F1078">
        <f>IF(A1078="","",SUMIF(Tickets[TripKey],A1078,Tickets[Revenue]))</f>
        <v/>
      </c>
      <c r="G1078">
        <f>IF(A1078="","",SUMIF(Tickets[TripKey],A1078,Tickets[PK]))</f>
        <v/>
      </c>
      <c r="H1078">
        <f>IF(A1078="","",IFERROR(XLOOKUP(A1078,Tickets[TripKey],Tickets[VehClean]),""))</f>
        <v/>
      </c>
      <c r="I1078">
        <f>IF(A1078="","",IFERROR(XLOOKUP(A1078,Tickets[TripKey],Tickets[RouteLen]),0))</f>
        <v/>
      </c>
      <c r="J1078">
        <f>IF(A1078="","",IFERROR(XLOOKUP(A1078,Tickets[TripKey],Tickets[Capacity]),0))</f>
        <v/>
      </c>
      <c r="K1078">
        <f>IF(A1078="","",I1078*J1078)</f>
        <v/>
      </c>
      <c r="L1078">
        <f>IF(A1078="","",IFERROR(MINIFS(Tickets[Trip Start Time],Tickets[TripKey],A1078),""))</f>
        <v/>
      </c>
    </row>
    <row r="1079">
      <c r="B1079" s="8">
        <f>IF(A1079="","",IFERROR(DATEVALUE(TEXTBEFORE(A1079,"|")),--LEFT(A1079,10)))</f>
        <v/>
      </c>
      <c r="C1079">
        <f>IF(A1079="","",TEXTBEFORE(TEXTAFTER(A1079,"|"),"|"))</f>
        <v/>
      </c>
      <c r="D1079">
        <f>IF(A1079="","",TEXTAFTER(A1079,"|",2))</f>
        <v/>
      </c>
      <c r="E1079">
        <f>IF(A1079="","",SUMIF(Tickets[TripKey],A1079,Tickets[TP]))</f>
        <v/>
      </c>
      <c r="F1079">
        <f>IF(A1079="","",SUMIF(Tickets[TripKey],A1079,Tickets[Revenue]))</f>
        <v/>
      </c>
      <c r="G1079">
        <f>IF(A1079="","",SUMIF(Tickets[TripKey],A1079,Tickets[PK]))</f>
        <v/>
      </c>
      <c r="H1079">
        <f>IF(A1079="","",IFERROR(XLOOKUP(A1079,Tickets[TripKey],Tickets[VehClean]),""))</f>
        <v/>
      </c>
      <c r="I1079">
        <f>IF(A1079="","",IFERROR(XLOOKUP(A1079,Tickets[TripKey],Tickets[RouteLen]),0))</f>
        <v/>
      </c>
      <c r="J1079">
        <f>IF(A1079="","",IFERROR(XLOOKUP(A1079,Tickets[TripKey],Tickets[Capacity]),0))</f>
        <v/>
      </c>
      <c r="K1079">
        <f>IF(A1079="","",I1079*J1079)</f>
        <v/>
      </c>
      <c r="L1079">
        <f>IF(A1079="","",IFERROR(MINIFS(Tickets[Trip Start Time],Tickets[TripKey],A1079),""))</f>
        <v/>
      </c>
    </row>
    <row r="1080">
      <c r="B1080" s="8">
        <f>IF(A1080="","",IFERROR(DATEVALUE(TEXTBEFORE(A1080,"|")),--LEFT(A1080,10)))</f>
        <v/>
      </c>
      <c r="C1080">
        <f>IF(A1080="","",TEXTBEFORE(TEXTAFTER(A1080,"|"),"|"))</f>
        <v/>
      </c>
      <c r="D1080">
        <f>IF(A1080="","",TEXTAFTER(A1080,"|",2))</f>
        <v/>
      </c>
      <c r="E1080">
        <f>IF(A1080="","",SUMIF(Tickets[TripKey],A1080,Tickets[TP]))</f>
        <v/>
      </c>
      <c r="F1080">
        <f>IF(A1080="","",SUMIF(Tickets[TripKey],A1080,Tickets[Revenue]))</f>
        <v/>
      </c>
      <c r="G1080">
        <f>IF(A1080="","",SUMIF(Tickets[TripKey],A1080,Tickets[PK]))</f>
        <v/>
      </c>
      <c r="H1080">
        <f>IF(A1080="","",IFERROR(XLOOKUP(A1080,Tickets[TripKey],Tickets[VehClean]),""))</f>
        <v/>
      </c>
      <c r="I1080">
        <f>IF(A1080="","",IFERROR(XLOOKUP(A1080,Tickets[TripKey],Tickets[RouteLen]),0))</f>
        <v/>
      </c>
      <c r="J1080">
        <f>IF(A1080="","",IFERROR(XLOOKUP(A1080,Tickets[TripKey],Tickets[Capacity]),0))</f>
        <v/>
      </c>
      <c r="K1080">
        <f>IF(A1080="","",I1080*J1080)</f>
        <v/>
      </c>
      <c r="L1080">
        <f>IF(A1080="","",IFERROR(MINIFS(Tickets[Trip Start Time],Tickets[TripKey],A1080),""))</f>
        <v/>
      </c>
    </row>
    <row r="1081">
      <c r="B1081" s="8">
        <f>IF(A1081="","",IFERROR(DATEVALUE(TEXTBEFORE(A1081,"|")),--LEFT(A1081,10)))</f>
        <v/>
      </c>
      <c r="C1081">
        <f>IF(A1081="","",TEXTBEFORE(TEXTAFTER(A1081,"|"),"|"))</f>
        <v/>
      </c>
      <c r="D1081">
        <f>IF(A1081="","",TEXTAFTER(A1081,"|",2))</f>
        <v/>
      </c>
      <c r="E1081">
        <f>IF(A1081="","",SUMIF(Tickets[TripKey],A1081,Tickets[TP]))</f>
        <v/>
      </c>
      <c r="F1081">
        <f>IF(A1081="","",SUMIF(Tickets[TripKey],A1081,Tickets[Revenue]))</f>
        <v/>
      </c>
      <c r="G1081">
        <f>IF(A1081="","",SUMIF(Tickets[TripKey],A1081,Tickets[PK]))</f>
        <v/>
      </c>
      <c r="H1081">
        <f>IF(A1081="","",IFERROR(XLOOKUP(A1081,Tickets[TripKey],Tickets[VehClean]),""))</f>
        <v/>
      </c>
      <c r="I1081">
        <f>IF(A1081="","",IFERROR(XLOOKUP(A1081,Tickets[TripKey],Tickets[RouteLen]),0))</f>
        <v/>
      </c>
      <c r="J1081">
        <f>IF(A1081="","",IFERROR(XLOOKUP(A1081,Tickets[TripKey],Tickets[Capacity]),0))</f>
        <v/>
      </c>
      <c r="K1081">
        <f>IF(A1081="","",I1081*J1081)</f>
        <v/>
      </c>
      <c r="L1081">
        <f>IF(A1081="","",IFERROR(MINIFS(Tickets[Trip Start Time],Tickets[TripKey],A1081),""))</f>
        <v/>
      </c>
    </row>
    <row r="1082">
      <c r="B1082" s="8">
        <f>IF(A1082="","",IFERROR(DATEVALUE(TEXTBEFORE(A1082,"|")),--LEFT(A1082,10)))</f>
        <v/>
      </c>
      <c r="C1082">
        <f>IF(A1082="","",TEXTBEFORE(TEXTAFTER(A1082,"|"),"|"))</f>
        <v/>
      </c>
      <c r="D1082">
        <f>IF(A1082="","",TEXTAFTER(A1082,"|",2))</f>
        <v/>
      </c>
      <c r="E1082">
        <f>IF(A1082="","",SUMIF(Tickets[TripKey],A1082,Tickets[TP]))</f>
        <v/>
      </c>
      <c r="F1082">
        <f>IF(A1082="","",SUMIF(Tickets[TripKey],A1082,Tickets[Revenue]))</f>
        <v/>
      </c>
      <c r="G1082">
        <f>IF(A1082="","",SUMIF(Tickets[TripKey],A1082,Tickets[PK]))</f>
        <v/>
      </c>
      <c r="H1082">
        <f>IF(A1082="","",IFERROR(XLOOKUP(A1082,Tickets[TripKey],Tickets[VehClean]),""))</f>
        <v/>
      </c>
      <c r="I1082">
        <f>IF(A1082="","",IFERROR(XLOOKUP(A1082,Tickets[TripKey],Tickets[RouteLen]),0))</f>
        <v/>
      </c>
      <c r="J1082">
        <f>IF(A1082="","",IFERROR(XLOOKUP(A1082,Tickets[TripKey],Tickets[Capacity]),0))</f>
        <v/>
      </c>
      <c r="K1082">
        <f>IF(A1082="","",I1082*J1082)</f>
        <v/>
      </c>
      <c r="L1082">
        <f>IF(A1082="","",IFERROR(MINIFS(Tickets[Trip Start Time],Tickets[TripKey],A1082),""))</f>
        <v/>
      </c>
    </row>
    <row r="1083">
      <c r="B1083" s="8">
        <f>IF(A1083="","",IFERROR(DATEVALUE(TEXTBEFORE(A1083,"|")),--LEFT(A1083,10)))</f>
        <v/>
      </c>
      <c r="C1083">
        <f>IF(A1083="","",TEXTBEFORE(TEXTAFTER(A1083,"|"),"|"))</f>
        <v/>
      </c>
      <c r="D1083">
        <f>IF(A1083="","",TEXTAFTER(A1083,"|",2))</f>
        <v/>
      </c>
      <c r="E1083">
        <f>IF(A1083="","",SUMIF(Tickets[TripKey],A1083,Tickets[TP]))</f>
        <v/>
      </c>
      <c r="F1083">
        <f>IF(A1083="","",SUMIF(Tickets[TripKey],A1083,Tickets[Revenue]))</f>
        <v/>
      </c>
      <c r="G1083">
        <f>IF(A1083="","",SUMIF(Tickets[TripKey],A1083,Tickets[PK]))</f>
        <v/>
      </c>
      <c r="H1083">
        <f>IF(A1083="","",IFERROR(XLOOKUP(A1083,Tickets[TripKey],Tickets[VehClean]),""))</f>
        <v/>
      </c>
      <c r="I1083">
        <f>IF(A1083="","",IFERROR(XLOOKUP(A1083,Tickets[TripKey],Tickets[RouteLen]),0))</f>
        <v/>
      </c>
      <c r="J1083">
        <f>IF(A1083="","",IFERROR(XLOOKUP(A1083,Tickets[TripKey],Tickets[Capacity]),0))</f>
        <v/>
      </c>
      <c r="K1083">
        <f>IF(A1083="","",I1083*J1083)</f>
        <v/>
      </c>
      <c r="L1083">
        <f>IF(A1083="","",IFERROR(MINIFS(Tickets[Trip Start Time],Tickets[TripKey],A1083),""))</f>
        <v/>
      </c>
    </row>
    <row r="1084">
      <c r="B1084" s="8">
        <f>IF(A1084="","",IFERROR(DATEVALUE(TEXTBEFORE(A1084,"|")),--LEFT(A1084,10)))</f>
        <v/>
      </c>
      <c r="C1084">
        <f>IF(A1084="","",TEXTBEFORE(TEXTAFTER(A1084,"|"),"|"))</f>
        <v/>
      </c>
      <c r="D1084">
        <f>IF(A1084="","",TEXTAFTER(A1084,"|",2))</f>
        <v/>
      </c>
      <c r="E1084">
        <f>IF(A1084="","",SUMIF(Tickets[TripKey],A1084,Tickets[TP]))</f>
        <v/>
      </c>
      <c r="F1084">
        <f>IF(A1084="","",SUMIF(Tickets[TripKey],A1084,Tickets[Revenue]))</f>
        <v/>
      </c>
      <c r="G1084">
        <f>IF(A1084="","",SUMIF(Tickets[TripKey],A1084,Tickets[PK]))</f>
        <v/>
      </c>
      <c r="H1084">
        <f>IF(A1084="","",IFERROR(XLOOKUP(A1084,Tickets[TripKey],Tickets[VehClean]),""))</f>
        <v/>
      </c>
      <c r="I1084">
        <f>IF(A1084="","",IFERROR(XLOOKUP(A1084,Tickets[TripKey],Tickets[RouteLen]),0))</f>
        <v/>
      </c>
      <c r="J1084">
        <f>IF(A1084="","",IFERROR(XLOOKUP(A1084,Tickets[TripKey],Tickets[Capacity]),0))</f>
        <v/>
      </c>
      <c r="K1084">
        <f>IF(A1084="","",I1084*J1084)</f>
        <v/>
      </c>
      <c r="L1084">
        <f>IF(A1084="","",IFERROR(MINIFS(Tickets[Trip Start Time],Tickets[TripKey],A1084),""))</f>
        <v/>
      </c>
    </row>
    <row r="1085">
      <c r="B1085" s="8">
        <f>IF(A1085="","",IFERROR(DATEVALUE(TEXTBEFORE(A1085,"|")),--LEFT(A1085,10)))</f>
        <v/>
      </c>
      <c r="C1085">
        <f>IF(A1085="","",TEXTBEFORE(TEXTAFTER(A1085,"|"),"|"))</f>
        <v/>
      </c>
      <c r="D1085">
        <f>IF(A1085="","",TEXTAFTER(A1085,"|",2))</f>
        <v/>
      </c>
      <c r="E1085">
        <f>IF(A1085="","",SUMIF(Tickets[TripKey],A1085,Tickets[TP]))</f>
        <v/>
      </c>
      <c r="F1085">
        <f>IF(A1085="","",SUMIF(Tickets[TripKey],A1085,Tickets[Revenue]))</f>
        <v/>
      </c>
      <c r="G1085">
        <f>IF(A1085="","",SUMIF(Tickets[TripKey],A1085,Tickets[PK]))</f>
        <v/>
      </c>
      <c r="H1085">
        <f>IF(A1085="","",IFERROR(XLOOKUP(A1085,Tickets[TripKey],Tickets[VehClean]),""))</f>
        <v/>
      </c>
      <c r="I1085">
        <f>IF(A1085="","",IFERROR(XLOOKUP(A1085,Tickets[TripKey],Tickets[RouteLen]),0))</f>
        <v/>
      </c>
      <c r="J1085">
        <f>IF(A1085="","",IFERROR(XLOOKUP(A1085,Tickets[TripKey],Tickets[Capacity]),0))</f>
        <v/>
      </c>
      <c r="K1085">
        <f>IF(A1085="","",I1085*J1085)</f>
        <v/>
      </c>
      <c r="L1085">
        <f>IF(A1085="","",IFERROR(MINIFS(Tickets[Trip Start Time],Tickets[TripKey],A1085),""))</f>
        <v/>
      </c>
    </row>
    <row r="1086">
      <c r="B1086" s="8">
        <f>IF(A1086="","",IFERROR(DATEVALUE(TEXTBEFORE(A1086,"|")),--LEFT(A1086,10)))</f>
        <v/>
      </c>
      <c r="C1086">
        <f>IF(A1086="","",TEXTBEFORE(TEXTAFTER(A1086,"|"),"|"))</f>
        <v/>
      </c>
      <c r="D1086">
        <f>IF(A1086="","",TEXTAFTER(A1086,"|",2))</f>
        <v/>
      </c>
      <c r="E1086">
        <f>IF(A1086="","",SUMIF(Tickets[TripKey],A1086,Tickets[TP]))</f>
        <v/>
      </c>
      <c r="F1086">
        <f>IF(A1086="","",SUMIF(Tickets[TripKey],A1086,Tickets[Revenue]))</f>
        <v/>
      </c>
      <c r="G1086">
        <f>IF(A1086="","",SUMIF(Tickets[TripKey],A1086,Tickets[PK]))</f>
        <v/>
      </c>
      <c r="H1086">
        <f>IF(A1086="","",IFERROR(XLOOKUP(A1086,Tickets[TripKey],Tickets[VehClean]),""))</f>
        <v/>
      </c>
      <c r="I1086">
        <f>IF(A1086="","",IFERROR(XLOOKUP(A1086,Tickets[TripKey],Tickets[RouteLen]),0))</f>
        <v/>
      </c>
      <c r="J1086">
        <f>IF(A1086="","",IFERROR(XLOOKUP(A1086,Tickets[TripKey],Tickets[Capacity]),0))</f>
        <v/>
      </c>
      <c r="K1086">
        <f>IF(A1086="","",I1086*J1086)</f>
        <v/>
      </c>
      <c r="L1086">
        <f>IF(A1086="","",IFERROR(MINIFS(Tickets[Trip Start Time],Tickets[TripKey],A1086),""))</f>
        <v/>
      </c>
    </row>
    <row r="1087">
      <c r="B1087" s="8">
        <f>IF(A1087="","",IFERROR(DATEVALUE(TEXTBEFORE(A1087,"|")),--LEFT(A1087,10)))</f>
        <v/>
      </c>
      <c r="C1087">
        <f>IF(A1087="","",TEXTBEFORE(TEXTAFTER(A1087,"|"),"|"))</f>
        <v/>
      </c>
      <c r="D1087">
        <f>IF(A1087="","",TEXTAFTER(A1087,"|",2))</f>
        <v/>
      </c>
      <c r="E1087">
        <f>IF(A1087="","",SUMIF(Tickets[TripKey],A1087,Tickets[TP]))</f>
        <v/>
      </c>
      <c r="F1087">
        <f>IF(A1087="","",SUMIF(Tickets[TripKey],A1087,Tickets[Revenue]))</f>
        <v/>
      </c>
      <c r="G1087">
        <f>IF(A1087="","",SUMIF(Tickets[TripKey],A1087,Tickets[PK]))</f>
        <v/>
      </c>
      <c r="H1087">
        <f>IF(A1087="","",IFERROR(XLOOKUP(A1087,Tickets[TripKey],Tickets[VehClean]),""))</f>
        <v/>
      </c>
      <c r="I1087">
        <f>IF(A1087="","",IFERROR(XLOOKUP(A1087,Tickets[TripKey],Tickets[RouteLen]),0))</f>
        <v/>
      </c>
      <c r="J1087">
        <f>IF(A1087="","",IFERROR(XLOOKUP(A1087,Tickets[TripKey],Tickets[Capacity]),0))</f>
        <v/>
      </c>
      <c r="K1087">
        <f>IF(A1087="","",I1087*J1087)</f>
        <v/>
      </c>
      <c r="L1087">
        <f>IF(A1087="","",IFERROR(MINIFS(Tickets[Trip Start Time],Tickets[TripKey],A1087),""))</f>
        <v/>
      </c>
    </row>
    <row r="1088">
      <c r="B1088" s="8">
        <f>IF(A1088="","",IFERROR(DATEVALUE(TEXTBEFORE(A1088,"|")),--LEFT(A1088,10)))</f>
        <v/>
      </c>
      <c r="C1088">
        <f>IF(A1088="","",TEXTBEFORE(TEXTAFTER(A1088,"|"),"|"))</f>
        <v/>
      </c>
      <c r="D1088">
        <f>IF(A1088="","",TEXTAFTER(A1088,"|",2))</f>
        <v/>
      </c>
      <c r="E1088">
        <f>IF(A1088="","",SUMIF(Tickets[TripKey],A1088,Tickets[TP]))</f>
        <v/>
      </c>
      <c r="F1088">
        <f>IF(A1088="","",SUMIF(Tickets[TripKey],A1088,Tickets[Revenue]))</f>
        <v/>
      </c>
      <c r="G1088">
        <f>IF(A1088="","",SUMIF(Tickets[TripKey],A1088,Tickets[PK]))</f>
        <v/>
      </c>
      <c r="H1088">
        <f>IF(A1088="","",IFERROR(XLOOKUP(A1088,Tickets[TripKey],Tickets[VehClean]),""))</f>
        <v/>
      </c>
      <c r="I1088">
        <f>IF(A1088="","",IFERROR(XLOOKUP(A1088,Tickets[TripKey],Tickets[RouteLen]),0))</f>
        <v/>
      </c>
      <c r="J1088">
        <f>IF(A1088="","",IFERROR(XLOOKUP(A1088,Tickets[TripKey],Tickets[Capacity]),0))</f>
        <v/>
      </c>
      <c r="K1088">
        <f>IF(A1088="","",I1088*J1088)</f>
        <v/>
      </c>
      <c r="L1088">
        <f>IF(A1088="","",IFERROR(MINIFS(Tickets[Trip Start Time],Tickets[TripKey],A1088),""))</f>
        <v/>
      </c>
    </row>
    <row r="1089">
      <c r="B1089" s="8">
        <f>IF(A1089="","",IFERROR(DATEVALUE(TEXTBEFORE(A1089,"|")),--LEFT(A1089,10)))</f>
        <v/>
      </c>
      <c r="C1089">
        <f>IF(A1089="","",TEXTBEFORE(TEXTAFTER(A1089,"|"),"|"))</f>
        <v/>
      </c>
      <c r="D1089">
        <f>IF(A1089="","",TEXTAFTER(A1089,"|",2))</f>
        <v/>
      </c>
      <c r="E1089">
        <f>IF(A1089="","",SUMIF(Tickets[TripKey],A1089,Tickets[TP]))</f>
        <v/>
      </c>
      <c r="F1089">
        <f>IF(A1089="","",SUMIF(Tickets[TripKey],A1089,Tickets[Revenue]))</f>
        <v/>
      </c>
      <c r="G1089">
        <f>IF(A1089="","",SUMIF(Tickets[TripKey],A1089,Tickets[PK]))</f>
        <v/>
      </c>
      <c r="H1089">
        <f>IF(A1089="","",IFERROR(XLOOKUP(A1089,Tickets[TripKey],Tickets[VehClean]),""))</f>
        <v/>
      </c>
      <c r="I1089">
        <f>IF(A1089="","",IFERROR(XLOOKUP(A1089,Tickets[TripKey],Tickets[RouteLen]),0))</f>
        <v/>
      </c>
      <c r="J1089">
        <f>IF(A1089="","",IFERROR(XLOOKUP(A1089,Tickets[TripKey],Tickets[Capacity]),0))</f>
        <v/>
      </c>
      <c r="K1089">
        <f>IF(A1089="","",I1089*J1089)</f>
        <v/>
      </c>
      <c r="L1089">
        <f>IF(A1089="","",IFERROR(MINIFS(Tickets[Trip Start Time],Tickets[TripKey],A1089),""))</f>
        <v/>
      </c>
    </row>
    <row r="1090">
      <c r="B1090" s="8">
        <f>IF(A1090="","",IFERROR(DATEVALUE(TEXTBEFORE(A1090,"|")),--LEFT(A1090,10)))</f>
        <v/>
      </c>
      <c r="C1090">
        <f>IF(A1090="","",TEXTBEFORE(TEXTAFTER(A1090,"|"),"|"))</f>
        <v/>
      </c>
      <c r="D1090">
        <f>IF(A1090="","",TEXTAFTER(A1090,"|",2))</f>
        <v/>
      </c>
      <c r="E1090">
        <f>IF(A1090="","",SUMIF(Tickets[TripKey],A1090,Tickets[TP]))</f>
        <v/>
      </c>
      <c r="F1090">
        <f>IF(A1090="","",SUMIF(Tickets[TripKey],A1090,Tickets[Revenue]))</f>
        <v/>
      </c>
      <c r="G1090">
        <f>IF(A1090="","",SUMIF(Tickets[TripKey],A1090,Tickets[PK]))</f>
        <v/>
      </c>
      <c r="H1090">
        <f>IF(A1090="","",IFERROR(XLOOKUP(A1090,Tickets[TripKey],Tickets[VehClean]),""))</f>
        <v/>
      </c>
      <c r="I1090">
        <f>IF(A1090="","",IFERROR(XLOOKUP(A1090,Tickets[TripKey],Tickets[RouteLen]),0))</f>
        <v/>
      </c>
      <c r="J1090">
        <f>IF(A1090="","",IFERROR(XLOOKUP(A1090,Tickets[TripKey],Tickets[Capacity]),0))</f>
        <v/>
      </c>
      <c r="K1090">
        <f>IF(A1090="","",I1090*J1090)</f>
        <v/>
      </c>
      <c r="L1090">
        <f>IF(A1090="","",IFERROR(MINIFS(Tickets[Trip Start Time],Tickets[TripKey],A1090),""))</f>
        <v/>
      </c>
    </row>
    <row r="1091">
      <c r="B1091" s="8">
        <f>IF(A1091="","",IFERROR(DATEVALUE(TEXTBEFORE(A1091,"|")),--LEFT(A1091,10)))</f>
        <v/>
      </c>
      <c r="C1091">
        <f>IF(A1091="","",TEXTBEFORE(TEXTAFTER(A1091,"|"),"|"))</f>
        <v/>
      </c>
      <c r="D1091">
        <f>IF(A1091="","",TEXTAFTER(A1091,"|",2))</f>
        <v/>
      </c>
      <c r="E1091">
        <f>IF(A1091="","",SUMIF(Tickets[TripKey],A1091,Tickets[TP]))</f>
        <v/>
      </c>
      <c r="F1091">
        <f>IF(A1091="","",SUMIF(Tickets[TripKey],A1091,Tickets[Revenue]))</f>
        <v/>
      </c>
      <c r="G1091">
        <f>IF(A1091="","",SUMIF(Tickets[TripKey],A1091,Tickets[PK]))</f>
        <v/>
      </c>
      <c r="H1091">
        <f>IF(A1091="","",IFERROR(XLOOKUP(A1091,Tickets[TripKey],Tickets[VehClean]),""))</f>
        <v/>
      </c>
      <c r="I1091">
        <f>IF(A1091="","",IFERROR(XLOOKUP(A1091,Tickets[TripKey],Tickets[RouteLen]),0))</f>
        <v/>
      </c>
      <c r="J1091">
        <f>IF(A1091="","",IFERROR(XLOOKUP(A1091,Tickets[TripKey],Tickets[Capacity]),0))</f>
        <v/>
      </c>
      <c r="K1091">
        <f>IF(A1091="","",I1091*J1091)</f>
        <v/>
      </c>
      <c r="L1091">
        <f>IF(A1091="","",IFERROR(MINIFS(Tickets[Trip Start Time],Tickets[TripKey],A1091),""))</f>
        <v/>
      </c>
    </row>
    <row r="1092">
      <c r="B1092" s="8">
        <f>IF(A1092="","",IFERROR(DATEVALUE(TEXTBEFORE(A1092,"|")),--LEFT(A1092,10)))</f>
        <v/>
      </c>
      <c r="C1092">
        <f>IF(A1092="","",TEXTBEFORE(TEXTAFTER(A1092,"|"),"|"))</f>
        <v/>
      </c>
      <c r="D1092">
        <f>IF(A1092="","",TEXTAFTER(A1092,"|",2))</f>
        <v/>
      </c>
      <c r="E1092">
        <f>IF(A1092="","",SUMIF(Tickets[TripKey],A1092,Tickets[TP]))</f>
        <v/>
      </c>
      <c r="F1092">
        <f>IF(A1092="","",SUMIF(Tickets[TripKey],A1092,Tickets[Revenue]))</f>
        <v/>
      </c>
      <c r="G1092">
        <f>IF(A1092="","",SUMIF(Tickets[TripKey],A1092,Tickets[PK]))</f>
        <v/>
      </c>
      <c r="H1092">
        <f>IF(A1092="","",IFERROR(XLOOKUP(A1092,Tickets[TripKey],Tickets[VehClean]),""))</f>
        <v/>
      </c>
      <c r="I1092">
        <f>IF(A1092="","",IFERROR(XLOOKUP(A1092,Tickets[TripKey],Tickets[RouteLen]),0))</f>
        <v/>
      </c>
      <c r="J1092">
        <f>IF(A1092="","",IFERROR(XLOOKUP(A1092,Tickets[TripKey],Tickets[Capacity]),0))</f>
        <v/>
      </c>
      <c r="K1092">
        <f>IF(A1092="","",I1092*J1092)</f>
        <v/>
      </c>
      <c r="L1092">
        <f>IF(A1092="","",IFERROR(MINIFS(Tickets[Trip Start Time],Tickets[TripKey],A1092),""))</f>
        <v/>
      </c>
    </row>
    <row r="1093">
      <c r="B1093" s="8">
        <f>IF(A1093="","",IFERROR(DATEVALUE(TEXTBEFORE(A1093,"|")),--LEFT(A1093,10)))</f>
        <v/>
      </c>
      <c r="C1093">
        <f>IF(A1093="","",TEXTBEFORE(TEXTAFTER(A1093,"|"),"|"))</f>
        <v/>
      </c>
      <c r="D1093">
        <f>IF(A1093="","",TEXTAFTER(A1093,"|",2))</f>
        <v/>
      </c>
      <c r="E1093">
        <f>IF(A1093="","",SUMIF(Tickets[TripKey],A1093,Tickets[TP]))</f>
        <v/>
      </c>
      <c r="F1093">
        <f>IF(A1093="","",SUMIF(Tickets[TripKey],A1093,Tickets[Revenue]))</f>
        <v/>
      </c>
      <c r="G1093">
        <f>IF(A1093="","",SUMIF(Tickets[TripKey],A1093,Tickets[PK]))</f>
        <v/>
      </c>
      <c r="H1093">
        <f>IF(A1093="","",IFERROR(XLOOKUP(A1093,Tickets[TripKey],Tickets[VehClean]),""))</f>
        <v/>
      </c>
      <c r="I1093">
        <f>IF(A1093="","",IFERROR(XLOOKUP(A1093,Tickets[TripKey],Tickets[RouteLen]),0))</f>
        <v/>
      </c>
      <c r="J1093">
        <f>IF(A1093="","",IFERROR(XLOOKUP(A1093,Tickets[TripKey],Tickets[Capacity]),0))</f>
        <v/>
      </c>
      <c r="K1093">
        <f>IF(A1093="","",I1093*J1093)</f>
        <v/>
      </c>
      <c r="L1093">
        <f>IF(A1093="","",IFERROR(MINIFS(Tickets[Trip Start Time],Tickets[TripKey],A1093),""))</f>
        <v/>
      </c>
    </row>
    <row r="1094">
      <c r="B1094" s="8">
        <f>IF(A1094="","",IFERROR(DATEVALUE(TEXTBEFORE(A1094,"|")),--LEFT(A1094,10)))</f>
        <v/>
      </c>
      <c r="C1094">
        <f>IF(A1094="","",TEXTBEFORE(TEXTAFTER(A1094,"|"),"|"))</f>
        <v/>
      </c>
      <c r="D1094">
        <f>IF(A1094="","",TEXTAFTER(A1094,"|",2))</f>
        <v/>
      </c>
      <c r="E1094">
        <f>IF(A1094="","",SUMIF(Tickets[TripKey],A1094,Tickets[TP]))</f>
        <v/>
      </c>
      <c r="F1094">
        <f>IF(A1094="","",SUMIF(Tickets[TripKey],A1094,Tickets[Revenue]))</f>
        <v/>
      </c>
      <c r="G1094">
        <f>IF(A1094="","",SUMIF(Tickets[TripKey],A1094,Tickets[PK]))</f>
        <v/>
      </c>
      <c r="H1094">
        <f>IF(A1094="","",IFERROR(XLOOKUP(A1094,Tickets[TripKey],Tickets[VehClean]),""))</f>
        <v/>
      </c>
      <c r="I1094">
        <f>IF(A1094="","",IFERROR(XLOOKUP(A1094,Tickets[TripKey],Tickets[RouteLen]),0))</f>
        <v/>
      </c>
      <c r="J1094">
        <f>IF(A1094="","",IFERROR(XLOOKUP(A1094,Tickets[TripKey],Tickets[Capacity]),0))</f>
        <v/>
      </c>
      <c r="K1094">
        <f>IF(A1094="","",I1094*J1094)</f>
        <v/>
      </c>
      <c r="L1094">
        <f>IF(A1094="","",IFERROR(MINIFS(Tickets[Trip Start Time],Tickets[TripKey],A1094),""))</f>
        <v/>
      </c>
    </row>
    <row r="1095">
      <c r="B1095" s="8">
        <f>IF(A1095="","",IFERROR(DATEVALUE(TEXTBEFORE(A1095,"|")),--LEFT(A1095,10)))</f>
        <v/>
      </c>
      <c r="C1095">
        <f>IF(A1095="","",TEXTBEFORE(TEXTAFTER(A1095,"|"),"|"))</f>
        <v/>
      </c>
      <c r="D1095">
        <f>IF(A1095="","",TEXTAFTER(A1095,"|",2))</f>
        <v/>
      </c>
      <c r="E1095">
        <f>IF(A1095="","",SUMIF(Tickets[TripKey],A1095,Tickets[TP]))</f>
        <v/>
      </c>
      <c r="F1095">
        <f>IF(A1095="","",SUMIF(Tickets[TripKey],A1095,Tickets[Revenue]))</f>
        <v/>
      </c>
      <c r="G1095">
        <f>IF(A1095="","",SUMIF(Tickets[TripKey],A1095,Tickets[PK]))</f>
        <v/>
      </c>
      <c r="H1095">
        <f>IF(A1095="","",IFERROR(XLOOKUP(A1095,Tickets[TripKey],Tickets[VehClean]),""))</f>
        <v/>
      </c>
      <c r="I1095">
        <f>IF(A1095="","",IFERROR(XLOOKUP(A1095,Tickets[TripKey],Tickets[RouteLen]),0))</f>
        <v/>
      </c>
      <c r="J1095">
        <f>IF(A1095="","",IFERROR(XLOOKUP(A1095,Tickets[TripKey],Tickets[Capacity]),0))</f>
        <v/>
      </c>
      <c r="K1095">
        <f>IF(A1095="","",I1095*J1095)</f>
        <v/>
      </c>
      <c r="L1095">
        <f>IF(A1095="","",IFERROR(MINIFS(Tickets[Trip Start Time],Tickets[TripKey],A1095),""))</f>
        <v/>
      </c>
    </row>
    <row r="1096">
      <c r="B1096" s="8">
        <f>IF(A1096="","",IFERROR(DATEVALUE(TEXTBEFORE(A1096,"|")),--LEFT(A1096,10)))</f>
        <v/>
      </c>
      <c r="C1096">
        <f>IF(A1096="","",TEXTBEFORE(TEXTAFTER(A1096,"|"),"|"))</f>
        <v/>
      </c>
      <c r="D1096">
        <f>IF(A1096="","",TEXTAFTER(A1096,"|",2))</f>
        <v/>
      </c>
      <c r="E1096">
        <f>IF(A1096="","",SUMIF(Tickets[TripKey],A1096,Tickets[TP]))</f>
        <v/>
      </c>
      <c r="F1096">
        <f>IF(A1096="","",SUMIF(Tickets[TripKey],A1096,Tickets[Revenue]))</f>
        <v/>
      </c>
      <c r="G1096">
        <f>IF(A1096="","",SUMIF(Tickets[TripKey],A1096,Tickets[PK]))</f>
        <v/>
      </c>
      <c r="H1096">
        <f>IF(A1096="","",IFERROR(XLOOKUP(A1096,Tickets[TripKey],Tickets[VehClean]),""))</f>
        <v/>
      </c>
      <c r="I1096">
        <f>IF(A1096="","",IFERROR(XLOOKUP(A1096,Tickets[TripKey],Tickets[RouteLen]),0))</f>
        <v/>
      </c>
      <c r="J1096">
        <f>IF(A1096="","",IFERROR(XLOOKUP(A1096,Tickets[TripKey],Tickets[Capacity]),0))</f>
        <v/>
      </c>
      <c r="K1096">
        <f>IF(A1096="","",I1096*J1096)</f>
        <v/>
      </c>
      <c r="L1096">
        <f>IF(A1096="","",IFERROR(MINIFS(Tickets[Trip Start Time],Tickets[TripKey],A1096),""))</f>
        <v/>
      </c>
    </row>
    <row r="1097">
      <c r="B1097" s="8">
        <f>IF(A1097="","",IFERROR(DATEVALUE(TEXTBEFORE(A1097,"|")),--LEFT(A1097,10)))</f>
        <v/>
      </c>
      <c r="C1097">
        <f>IF(A1097="","",TEXTBEFORE(TEXTAFTER(A1097,"|"),"|"))</f>
        <v/>
      </c>
      <c r="D1097">
        <f>IF(A1097="","",TEXTAFTER(A1097,"|",2))</f>
        <v/>
      </c>
      <c r="E1097">
        <f>IF(A1097="","",SUMIF(Tickets[TripKey],A1097,Tickets[TP]))</f>
        <v/>
      </c>
      <c r="F1097">
        <f>IF(A1097="","",SUMIF(Tickets[TripKey],A1097,Tickets[Revenue]))</f>
        <v/>
      </c>
      <c r="G1097">
        <f>IF(A1097="","",SUMIF(Tickets[TripKey],A1097,Tickets[PK]))</f>
        <v/>
      </c>
      <c r="H1097">
        <f>IF(A1097="","",IFERROR(XLOOKUP(A1097,Tickets[TripKey],Tickets[VehClean]),""))</f>
        <v/>
      </c>
      <c r="I1097">
        <f>IF(A1097="","",IFERROR(XLOOKUP(A1097,Tickets[TripKey],Tickets[RouteLen]),0))</f>
        <v/>
      </c>
      <c r="J1097">
        <f>IF(A1097="","",IFERROR(XLOOKUP(A1097,Tickets[TripKey],Tickets[Capacity]),0))</f>
        <v/>
      </c>
      <c r="K1097">
        <f>IF(A1097="","",I1097*J1097)</f>
        <v/>
      </c>
      <c r="L1097">
        <f>IF(A1097="","",IFERROR(MINIFS(Tickets[Trip Start Time],Tickets[TripKey],A1097),""))</f>
        <v/>
      </c>
    </row>
    <row r="1098">
      <c r="B1098" s="8">
        <f>IF(A1098="","",IFERROR(DATEVALUE(TEXTBEFORE(A1098,"|")),--LEFT(A1098,10)))</f>
        <v/>
      </c>
      <c r="C1098">
        <f>IF(A1098="","",TEXTBEFORE(TEXTAFTER(A1098,"|"),"|"))</f>
        <v/>
      </c>
      <c r="D1098">
        <f>IF(A1098="","",TEXTAFTER(A1098,"|",2))</f>
        <v/>
      </c>
      <c r="E1098">
        <f>IF(A1098="","",SUMIF(Tickets[TripKey],A1098,Tickets[TP]))</f>
        <v/>
      </c>
      <c r="F1098">
        <f>IF(A1098="","",SUMIF(Tickets[TripKey],A1098,Tickets[Revenue]))</f>
        <v/>
      </c>
      <c r="G1098">
        <f>IF(A1098="","",SUMIF(Tickets[TripKey],A1098,Tickets[PK]))</f>
        <v/>
      </c>
      <c r="H1098">
        <f>IF(A1098="","",IFERROR(XLOOKUP(A1098,Tickets[TripKey],Tickets[VehClean]),""))</f>
        <v/>
      </c>
      <c r="I1098">
        <f>IF(A1098="","",IFERROR(XLOOKUP(A1098,Tickets[TripKey],Tickets[RouteLen]),0))</f>
        <v/>
      </c>
      <c r="J1098">
        <f>IF(A1098="","",IFERROR(XLOOKUP(A1098,Tickets[TripKey],Tickets[Capacity]),0))</f>
        <v/>
      </c>
      <c r="K1098">
        <f>IF(A1098="","",I1098*J1098)</f>
        <v/>
      </c>
      <c r="L1098">
        <f>IF(A1098="","",IFERROR(MINIFS(Tickets[Trip Start Time],Tickets[TripKey],A1098),""))</f>
        <v/>
      </c>
    </row>
    <row r="1099">
      <c r="B1099" s="8">
        <f>IF(A1099="","",IFERROR(DATEVALUE(TEXTBEFORE(A1099,"|")),--LEFT(A1099,10)))</f>
        <v/>
      </c>
      <c r="C1099">
        <f>IF(A1099="","",TEXTBEFORE(TEXTAFTER(A1099,"|"),"|"))</f>
        <v/>
      </c>
      <c r="D1099">
        <f>IF(A1099="","",TEXTAFTER(A1099,"|",2))</f>
        <v/>
      </c>
      <c r="E1099">
        <f>IF(A1099="","",SUMIF(Tickets[TripKey],A1099,Tickets[TP]))</f>
        <v/>
      </c>
      <c r="F1099">
        <f>IF(A1099="","",SUMIF(Tickets[TripKey],A1099,Tickets[Revenue]))</f>
        <v/>
      </c>
      <c r="G1099">
        <f>IF(A1099="","",SUMIF(Tickets[TripKey],A1099,Tickets[PK]))</f>
        <v/>
      </c>
      <c r="H1099">
        <f>IF(A1099="","",IFERROR(XLOOKUP(A1099,Tickets[TripKey],Tickets[VehClean]),""))</f>
        <v/>
      </c>
      <c r="I1099">
        <f>IF(A1099="","",IFERROR(XLOOKUP(A1099,Tickets[TripKey],Tickets[RouteLen]),0))</f>
        <v/>
      </c>
      <c r="J1099">
        <f>IF(A1099="","",IFERROR(XLOOKUP(A1099,Tickets[TripKey],Tickets[Capacity]),0))</f>
        <v/>
      </c>
      <c r="K1099">
        <f>IF(A1099="","",I1099*J1099)</f>
        <v/>
      </c>
      <c r="L1099">
        <f>IF(A1099="","",IFERROR(MINIFS(Tickets[Trip Start Time],Tickets[TripKey],A1099),""))</f>
        <v/>
      </c>
    </row>
    <row r="1100">
      <c r="B1100" s="8">
        <f>IF(A1100="","",IFERROR(DATEVALUE(TEXTBEFORE(A1100,"|")),--LEFT(A1100,10)))</f>
        <v/>
      </c>
      <c r="C1100">
        <f>IF(A1100="","",TEXTBEFORE(TEXTAFTER(A1100,"|"),"|"))</f>
        <v/>
      </c>
      <c r="D1100">
        <f>IF(A1100="","",TEXTAFTER(A1100,"|",2))</f>
        <v/>
      </c>
      <c r="E1100">
        <f>IF(A1100="","",SUMIF(Tickets[TripKey],A1100,Tickets[TP]))</f>
        <v/>
      </c>
      <c r="F1100">
        <f>IF(A1100="","",SUMIF(Tickets[TripKey],A1100,Tickets[Revenue]))</f>
        <v/>
      </c>
      <c r="G1100">
        <f>IF(A1100="","",SUMIF(Tickets[TripKey],A1100,Tickets[PK]))</f>
        <v/>
      </c>
      <c r="H1100">
        <f>IF(A1100="","",IFERROR(XLOOKUP(A1100,Tickets[TripKey],Tickets[VehClean]),""))</f>
        <v/>
      </c>
      <c r="I1100">
        <f>IF(A1100="","",IFERROR(XLOOKUP(A1100,Tickets[TripKey],Tickets[RouteLen]),0))</f>
        <v/>
      </c>
      <c r="J1100">
        <f>IF(A1100="","",IFERROR(XLOOKUP(A1100,Tickets[TripKey],Tickets[Capacity]),0))</f>
        <v/>
      </c>
      <c r="K1100">
        <f>IF(A1100="","",I1100*J1100)</f>
        <v/>
      </c>
      <c r="L1100">
        <f>IF(A1100="","",IFERROR(MINIFS(Tickets[Trip Start Time],Tickets[TripKey],A1100),""))</f>
        <v/>
      </c>
    </row>
    <row r="1101">
      <c r="B1101" s="8">
        <f>IF(A1101="","",IFERROR(DATEVALUE(TEXTBEFORE(A1101,"|")),--LEFT(A1101,10)))</f>
        <v/>
      </c>
      <c r="C1101">
        <f>IF(A1101="","",TEXTBEFORE(TEXTAFTER(A1101,"|"),"|"))</f>
        <v/>
      </c>
      <c r="D1101">
        <f>IF(A1101="","",TEXTAFTER(A1101,"|",2))</f>
        <v/>
      </c>
      <c r="E1101">
        <f>IF(A1101="","",SUMIF(Tickets[TripKey],A1101,Tickets[TP]))</f>
        <v/>
      </c>
      <c r="F1101">
        <f>IF(A1101="","",SUMIF(Tickets[TripKey],A1101,Tickets[Revenue]))</f>
        <v/>
      </c>
      <c r="G1101">
        <f>IF(A1101="","",SUMIF(Tickets[TripKey],A1101,Tickets[PK]))</f>
        <v/>
      </c>
      <c r="H1101">
        <f>IF(A1101="","",IFERROR(XLOOKUP(A1101,Tickets[TripKey],Tickets[VehClean]),""))</f>
        <v/>
      </c>
      <c r="I1101">
        <f>IF(A1101="","",IFERROR(XLOOKUP(A1101,Tickets[TripKey],Tickets[RouteLen]),0))</f>
        <v/>
      </c>
      <c r="J1101">
        <f>IF(A1101="","",IFERROR(XLOOKUP(A1101,Tickets[TripKey],Tickets[Capacity]),0))</f>
        <v/>
      </c>
      <c r="K1101">
        <f>IF(A1101="","",I1101*J1101)</f>
        <v/>
      </c>
      <c r="L1101">
        <f>IF(A1101="","",IFERROR(MINIFS(Tickets[Trip Start Time],Tickets[TripKey],A1101),""))</f>
        <v/>
      </c>
    </row>
    <row r="1102">
      <c r="B1102" s="8">
        <f>IF(A1102="","",IFERROR(DATEVALUE(TEXTBEFORE(A1102,"|")),--LEFT(A1102,10)))</f>
        <v/>
      </c>
      <c r="C1102">
        <f>IF(A1102="","",TEXTBEFORE(TEXTAFTER(A1102,"|"),"|"))</f>
        <v/>
      </c>
      <c r="D1102">
        <f>IF(A1102="","",TEXTAFTER(A1102,"|",2))</f>
        <v/>
      </c>
      <c r="E1102">
        <f>IF(A1102="","",SUMIF(Tickets[TripKey],A1102,Tickets[TP]))</f>
        <v/>
      </c>
      <c r="F1102">
        <f>IF(A1102="","",SUMIF(Tickets[TripKey],A1102,Tickets[Revenue]))</f>
        <v/>
      </c>
      <c r="G1102">
        <f>IF(A1102="","",SUMIF(Tickets[TripKey],A1102,Tickets[PK]))</f>
        <v/>
      </c>
      <c r="H1102">
        <f>IF(A1102="","",IFERROR(XLOOKUP(A1102,Tickets[TripKey],Tickets[VehClean]),""))</f>
        <v/>
      </c>
      <c r="I1102">
        <f>IF(A1102="","",IFERROR(XLOOKUP(A1102,Tickets[TripKey],Tickets[RouteLen]),0))</f>
        <v/>
      </c>
      <c r="J1102">
        <f>IF(A1102="","",IFERROR(XLOOKUP(A1102,Tickets[TripKey],Tickets[Capacity]),0))</f>
        <v/>
      </c>
      <c r="K1102">
        <f>IF(A1102="","",I1102*J1102)</f>
        <v/>
      </c>
      <c r="L1102">
        <f>IF(A1102="","",IFERROR(MINIFS(Tickets[Trip Start Time],Tickets[TripKey],A1102),""))</f>
        <v/>
      </c>
    </row>
    <row r="1103">
      <c r="B1103" s="8">
        <f>IF(A1103="","",IFERROR(DATEVALUE(TEXTBEFORE(A1103,"|")),--LEFT(A1103,10)))</f>
        <v/>
      </c>
      <c r="C1103">
        <f>IF(A1103="","",TEXTBEFORE(TEXTAFTER(A1103,"|"),"|"))</f>
        <v/>
      </c>
      <c r="D1103">
        <f>IF(A1103="","",TEXTAFTER(A1103,"|",2))</f>
        <v/>
      </c>
      <c r="E1103">
        <f>IF(A1103="","",SUMIF(Tickets[TripKey],A1103,Tickets[TP]))</f>
        <v/>
      </c>
      <c r="F1103">
        <f>IF(A1103="","",SUMIF(Tickets[TripKey],A1103,Tickets[Revenue]))</f>
        <v/>
      </c>
      <c r="G1103">
        <f>IF(A1103="","",SUMIF(Tickets[TripKey],A1103,Tickets[PK]))</f>
        <v/>
      </c>
      <c r="H1103">
        <f>IF(A1103="","",IFERROR(XLOOKUP(A1103,Tickets[TripKey],Tickets[VehClean]),""))</f>
        <v/>
      </c>
      <c r="I1103">
        <f>IF(A1103="","",IFERROR(XLOOKUP(A1103,Tickets[TripKey],Tickets[RouteLen]),0))</f>
        <v/>
      </c>
      <c r="J1103">
        <f>IF(A1103="","",IFERROR(XLOOKUP(A1103,Tickets[TripKey],Tickets[Capacity]),0))</f>
        <v/>
      </c>
      <c r="K1103">
        <f>IF(A1103="","",I1103*J1103)</f>
        <v/>
      </c>
      <c r="L1103">
        <f>IF(A1103="","",IFERROR(MINIFS(Tickets[Trip Start Time],Tickets[TripKey],A1103),""))</f>
        <v/>
      </c>
    </row>
    <row r="1104">
      <c r="B1104" s="8">
        <f>IF(A1104="","",IFERROR(DATEVALUE(TEXTBEFORE(A1104,"|")),--LEFT(A1104,10)))</f>
        <v/>
      </c>
      <c r="C1104">
        <f>IF(A1104="","",TEXTBEFORE(TEXTAFTER(A1104,"|"),"|"))</f>
        <v/>
      </c>
      <c r="D1104">
        <f>IF(A1104="","",TEXTAFTER(A1104,"|",2))</f>
        <v/>
      </c>
      <c r="E1104">
        <f>IF(A1104="","",SUMIF(Tickets[TripKey],A1104,Tickets[TP]))</f>
        <v/>
      </c>
      <c r="F1104">
        <f>IF(A1104="","",SUMIF(Tickets[TripKey],A1104,Tickets[Revenue]))</f>
        <v/>
      </c>
      <c r="G1104">
        <f>IF(A1104="","",SUMIF(Tickets[TripKey],A1104,Tickets[PK]))</f>
        <v/>
      </c>
      <c r="H1104">
        <f>IF(A1104="","",IFERROR(XLOOKUP(A1104,Tickets[TripKey],Tickets[VehClean]),""))</f>
        <v/>
      </c>
      <c r="I1104">
        <f>IF(A1104="","",IFERROR(XLOOKUP(A1104,Tickets[TripKey],Tickets[RouteLen]),0))</f>
        <v/>
      </c>
      <c r="J1104">
        <f>IF(A1104="","",IFERROR(XLOOKUP(A1104,Tickets[TripKey],Tickets[Capacity]),0))</f>
        <v/>
      </c>
      <c r="K1104">
        <f>IF(A1104="","",I1104*J1104)</f>
        <v/>
      </c>
      <c r="L1104">
        <f>IF(A1104="","",IFERROR(MINIFS(Tickets[Trip Start Time],Tickets[TripKey],A1104),""))</f>
        <v/>
      </c>
    </row>
    <row r="1105">
      <c r="B1105" s="8">
        <f>IF(A1105="","",IFERROR(DATEVALUE(TEXTBEFORE(A1105,"|")),--LEFT(A1105,10)))</f>
        <v/>
      </c>
      <c r="C1105">
        <f>IF(A1105="","",TEXTBEFORE(TEXTAFTER(A1105,"|"),"|"))</f>
        <v/>
      </c>
      <c r="D1105">
        <f>IF(A1105="","",TEXTAFTER(A1105,"|",2))</f>
        <v/>
      </c>
      <c r="E1105">
        <f>IF(A1105="","",SUMIF(Tickets[TripKey],A1105,Tickets[TP]))</f>
        <v/>
      </c>
      <c r="F1105">
        <f>IF(A1105="","",SUMIF(Tickets[TripKey],A1105,Tickets[Revenue]))</f>
        <v/>
      </c>
      <c r="G1105">
        <f>IF(A1105="","",SUMIF(Tickets[TripKey],A1105,Tickets[PK]))</f>
        <v/>
      </c>
      <c r="H1105">
        <f>IF(A1105="","",IFERROR(XLOOKUP(A1105,Tickets[TripKey],Tickets[VehClean]),""))</f>
        <v/>
      </c>
      <c r="I1105">
        <f>IF(A1105="","",IFERROR(XLOOKUP(A1105,Tickets[TripKey],Tickets[RouteLen]),0))</f>
        <v/>
      </c>
      <c r="J1105">
        <f>IF(A1105="","",IFERROR(XLOOKUP(A1105,Tickets[TripKey],Tickets[Capacity]),0))</f>
        <v/>
      </c>
      <c r="K1105">
        <f>IF(A1105="","",I1105*J1105)</f>
        <v/>
      </c>
      <c r="L1105">
        <f>IF(A1105="","",IFERROR(MINIFS(Tickets[Trip Start Time],Tickets[TripKey],A1105),""))</f>
        <v/>
      </c>
    </row>
    <row r="1106">
      <c r="B1106" s="8">
        <f>IF(A1106="","",IFERROR(DATEVALUE(TEXTBEFORE(A1106,"|")),--LEFT(A1106,10)))</f>
        <v/>
      </c>
      <c r="C1106">
        <f>IF(A1106="","",TEXTBEFORE(TEXTAFTER(A1106,"|"),"|"))</f>
        <v/>
      </c>
      <c r="D1106">
        <f>IF(A1106="","",TEXTAFTER(A1106,"|",2))</f>
        <v/>
      </c>
      <c r="E1106">
        <f>IF(A1106="","",SUMIF(Tickets[TripKey],A1106,Tickets[TP]))</f>
        <v/>
      </c>
      <c r="F1106">
        <f>IF(A1106="","",SUMIF(Tickets[TripKey],A1106,Tickets[Revenue]))</f>
        <v/>
      </c>
      <c r="G1106">
        <f>IF(A1106="","",SUMIF(Tickets[TripKey],A1106,Tickets[PK]))</f>
        <v/>
      </c>
      <c r="H1106">
        <f>IF(A1106="","",IFERROR(XLOOKUP(A1106,Tickets[TripKey],Tickets[VehClean]),""))</f>
        <v/>
      </c>
      <c r="I1106">
        <f>IF(A1106="","",IFERROR(XLOOKUP(A1106,Tickets[TripKey],Tickets[RouteLen]),0))</f>
        <v/>
      </c>
      <c r="J1106">
        <f>IF(A1106="","",IFERROR(XLOOKUP(A1106,Tickets[TripKey],Tickets[Capacity]),0))</f>
        <v/>
      </c>
      <c r="K1106">
        <f>IF(A1106="","",I1106*J1106)</f>
        <v/>
      </c>
      <c r="L1106">
        <f>IF(A1106="","",IFERROR(MINIFS(Tickets[Trip Start Time],Tickets[TripKey],A1106),""))</f>
        <v/>
      </c>
    </row>
    <row r="1107">
      <c r="B1107" s="8">
        <f>IF(A1107="","",IFERROR(DATEVALUE(TEXTBEFORE(A1107,"|")),--LEFT(A1107,10)))</f>
        <v/>
      </c>
      <c r="C1107">
        <f>IF(A1107="","",TEXTBEFORE(TEXTAFTER(A1107,"|"),"|"))</f>
        <v/>
      </c>
      <c r="D1107">
        <f>IF(A1107="","",TEXTAFTER(A1107,"|",2))</f>
        <v/>
      </c>
      <c r="E1107">
        <f>IF(A1107="","",SUMIF(Tickets[TripKey],A1107,Tickets[TP]))</f>
        <v/>
      </c>
      <c r="F1107">
        <f>IF(A1107="","",SUMIF(Tickets[TripKey],A1107,Tickets[Revenue]))</f>
        <v/>
      </c>
      <c r="G1107">
        <f>IF(A1107="","",SUMIF(Tickets[TripKey],A1107,Tickets[PK]))</f>
        <v/>
      </c>
      <c r="H1107">
        <f>IF(A1107="","",IFERROR(XLOOKUP(A1107,Tickets[TripKey],Tickets[VehClean]),""))</f>
        <v/>
      </c>
      <c r="I1107">
        <f>IF(A1107="","",IFERROR(XLOOKUP(A1107,Tickets[TripKey],Tickets[RouteLen]),0))</f>
        <v/>
      </c>
      <c r="J1107">
        <f>IF(A1107="","",IFERROR(XLOOKUP(A1107,Tickets[TripKey],Tickets[Capacity]),0))</f>
        <v/>
      </c>
      <c r="K1107">
        <f>IF(A1107="","",I1107*J1107)</f>
        <v/>
      </c>
      <c r="L1107">
        <f>IF(A1107="","",IFERROR(MINIFS(Tickets[Trip Start Time],Tickets[TripKey],A1107),""))</f>
        <v/>
      </c>
    </row>
    <row r="1108">
      <c r="B1108" s="8">
        <f>IF(A1108="","",IFERROR(DATEVALUE(TEXTBEFORE(A1108,"|")),--LEFT(A1108,10)))</f>
        <v/>
      </c>
      <c r="C1108">
        <f>IF(A1108="","",TEXTBEFORE(TEXTAFTER(A1108,"|"),"|"))</f>
        <v/>
      </c>
      <c r="D1108">
        <f>IF(A1108="","",TEXTAFTER(A1108,"|",2))</f>
        <v/>
      </c>
      <c r="E1108">
        <f>IF(A1108="","",SUMIF(Tickets[TripKey],A1108,Tickets[TP]))</f>
        <v/>
      </c>
      <c r="F1108">
        <f>IF(A1108="","",SUMIF(Tickets[TripKey],A1108,Tickets[Revenue]))</f>
        <v/>
      </c>
      <c r="G1108">
        <f>IF(A1108="","",SUMIF(Tickets[TripKey],A1108,Tickets[PK]))</f>
        <v/>
      </c>
      <c r="H1108">
        <f>IF(A1108="","",IFERROR(XLOOKUP(A1108,Tickets[TripKey],Tickets[VehClean]),""))</f>
        <v/>
      </c>
      <c r="I1108">
        <f>IF(A1108="","",IFERROR(XLOOKUP(A1108,Tickets[TripKey],Tickets[RouteLen]),0))</f>
        <v/>
      </c>
      <c r="J1108">
        <f>IF(A1108="","",IFERROR(XLOOKUP(A1108,Tickets[TripKey],Tickets[Capacity]),0))</f>
        <v/>
      </c>
      <c r="K1108">
        <f>IF(A1108="","",I1108*J1108)</f>
        <v/>
      </c>
      <c r="L1108">
        <f>IF(A1108="","",IFERROR(MINIFS(Tickets[Trip Start Time],Tickets[TripKey],A1108),""))</f>
        <v/>
      </c>
    </row>
    <row r="1109">
      <c r="B1109" s="8">
        <f>IF(A1109="","",IFERROR(DATEVALUE(TEXTBEFORE(A1109,"|")),--LEFT(A1109,10)))</f>
        <v/>
      </c>
      <c r="C1109">
        <f>IF(A1109="","",TEXTBEFORE(TEXTAFTER(A1109,"|"),"|"))</f>
        <v/>
      </c>
      <c r="D1109">
        <f>IF(A1109="","",TEXTAFTER(A1109,"|",2))</f>
        <v/>
      </c>
      <c r="E1109">
        <f>IF(A1109="","",SUMIF(Tickets[TripKey],A1109,Tickets[TP]))</f>
        <v/>
      </c>
      <c r="F1109">
        <f>IF(A1109="","",SUMIF(Tickets[TripKey],A1109,Tickets[Revenue]))</f>
        <v/>
      </c>
      <c r="G1109">
        <f>IF(A1109="","",SUMIF(Tickets[TripKey],A1109,Tickets[PK]))</f>
        <v/>
      </c>
      <c r="H1109">
        <f>IF(A1109="","",IFERROR(XLOOKUP(A1109,Tickets[TripKey],Tickets[VehClean]),""))</f>
        <v/>
      </c>
      <c r="I1109">
        <f>IF(A1109="","",IFERROR(XLOOKUP(A1109,Tickets[TripKey],Tickets[RouteLen]),0))</f>
        <v/>
      </c>
      <c r="J1109">
        <f>IF(A1109="","",IFERROR(XLOOKUP(A1109,Tickets[TripKey],Tickets[Capacity]),0))</f>
        <v/>
      </c>
      <c r="K1109">
        <f>IF(A1109="","",I1109*J1109)</f>
        <v/>
      </c>
      <c r="L1109">
        <f>IF(A1109="","",IFERROR(MINIFS(Tickets[Trip Start Time],Tickets[TripKey],A1109),""))</f>
        <v/>
      </c>
    </row>
    <row r="1110">
      <c r="B1110" s="8">
        <f>IF(A1110="","",IFERROR(DATEVALUE(TEXTBEFORE(A1110,"|")),--LEFT(A1110,10)))</f>
        <v/>
      </c>
      <c r="C1110">
        <f>IF(A1110="","",TEXTBEFORE(TEXTAFTER(A1110,"|"),"|"))</f>
        <v/>
      </c>
      <c r="D1110">
        <f>IF(A1110="","",TEXTAFTER(A1110,"|",2))</f>
        <v/>
      </c>
      <c r="E1110">
        <f>IF(A1110="","",SUMIF(Tickets[TripKey],A1110,Tickets[TP]))</f>
        <v/>
      </c>
      <c r="F1110">
        <f>IF(A1110="","",SUMIF(Tickets[TripKey],A1110,Tickets[Revenue]))</f>
        <v/>
      </c>
      <c r="G1110">
        <f>IF(A1110="","",SUMIF(Tickets[TripKey],A1110,Tickets[PK]))</f>
        <v/>
      </c>
      <c r="H1110">
        <f>IF(A1110="","",IFERROR(XLOOKUP(A1110,Tickets[TripKey],Tickets[VehClean]),""))</f>
        <v/>
      </c>
      <c r="I1110">
        <f>IF(A1110="","",IFERROR(XLOOKUP(A1110,Tickets[TripKey],Tickets[RouteLen]),0))</f>
        <v/>
      </c>
      <c r="J1110">
        <f>IF(A1110="","",IFERROR(XLOOKUP(A1110,Tickets[TripKey],Tickets[Capacity]),0))</f>
        <v/>
      </c>
      <c r="K1110">
        <f>IF(A1110="","",I1110*J1110)</f>
        <v/>
      </c>
      <c r="L1110">
        <f>IF(A1110="","",IFERROR(MINIFS(Tickets[Trip Start Time],Tickets[TripKey],A1110),""))</f>
        <v/>
      </c>
    </row>
    <row r="1111">
      <c r="B1111" s="8">
        <f>IF(A1111="","",IFERROR(DATEVALUE(TEXTBEFORE(A1111,"|")),--LEFT(A1111,10)))</f>
        <v/>
      </c>
      <c r="C1111">
        <f>IF(A1111="","",TEXTBEFORE(TEXTAFTER(A1111,"|"),"|"))</f>
        <v/>
      </c>
      <c r="D1111">
        <f>IF(A1111="","",TEXTAFTER(A1111,"|",2))</f>
        <v/>
      </c>
      <c r="E1111">
        <f>IF(A1111="","",SUMIF(Tickets[TripKey],A1111,Tickets[TP]))</f>
        <v/>
      </c>
      <c r="F1111">
        <f>IF(A1111="","",SUMIF(Tickets[TripKey],A1111,Tickets[Revenue]))</f>
        <v/>
      </c>
      <c r="G1111">
        <f>IF(A1111="","",SUMIF(Tickets[TripKey],A1111,Tickets[PK]))</f>
        <v/>
      </c>
      <c r="H1111">
        <f>IF(A1111="","",IFERROR(XLOOKUP(A1111,Tickets[TripKey],Tickets[VehClean]),""))</f>
        <v/>
      </c>
      <c r="I1111">
        <f>IF(A1111="","",IFERROR(XLOOKUP(A1111,Tickets[TripKey],Tickets[RouteLen]),0))</f>
        <v/>
      </c>
      <c r="J1111">
        <f>IF(A1111="","",IFERROR(XLOOKUP(A1111,Tickets[TripKey],Tickets[Capacity]),0))</f>
        <v/>
      </c>
      <c r="K1111">
        <f>IF(A1111="","",I1111*J1111)</f>
        <v/>
      </c>
      <c r="L1111">
        <f>IF(A1111="","",IFERROR(MINIFS(Tickets[Trip Start Time],Tickets[TripKey],A1111),""))</f>
        <v/>
      </c>
    </row>
    <row r="1112">
      <c r="B1112" s="8">
        <f>IF(A1112="","",IFERROR(DATEVALUE(TEXTBEFORE(A1112,"|")),--LEFT(A1112,10)))</f>
        <v/>
      </c>
      <c r="C1112">
        <f>IF(A1112="","",TEXTBEFORE(TEXTAFTER(A1112,"|"),"|"))</f>
        <v/>
      </c>
      <c r="D1112">
        <f>IF(A1112="","",TEXTAFTER(A1112,"|",2))</f>
        <v/>
      </c>
      <c r="E1112">
        <f>IF(A1112="","",SUMIF(Tickets[TripKey],A1112,Tickets[TP]))</f>
        <v/>
      </c>
      <c r="F1112">
        <f>IF(A1112="","",SUMIF(Tickets[TripKey],A1112,Tickets[Revenue]))</f>
        <v/>
      </c>
      <c r="G1112">
        <f>IF(A1112="","",SUMIF(Tickets[TripKey],A1112,Tickets[PK]))</f>
        <v/>
      </c>
      <c r="H1112">
        <f>IF(A1112="","",IFERROR(XLOOKUP(A1112,Tickets[TripKey],Tickets[VehClean]),""))</f>
        <v/>
      </c>
      <c r="I1112">
        <f>IF(A1112="","",IFERROR(XLOOKUP(A1112,Tickets[TripKey],Tickets[RouteLen]),0))</f>
        <v/>
      </c>
      <c r="J1112">
        <f>IF(A1112="","",IFERROR(XLOOKUP(A1112,Tickets[TripKey],Tickets[Capacity]),0))</f>
        <v/>
      </c>
      <c r="K1112">
        <f>IF(A1112="","",I1112*J1112)</f>
        <v/>
      </c>
      <c r="L1112">
        <f>IF(A1112="","",IFERROR(MINIFS(Tickets[Trip Start Time],Tickets[TripKey],A1112),""))</f>
        <v/>
      </c>
    </row>
    <row r="1113">
      <c r="B1113" s="8">
        <f>IF(A1113="","",IFERROR(DATEVALUE(TEXTBEFORE(A1113,"|")),--LEFT(A1113,10)))</f>
        <v/>
      </c>
      <c r="C1113">
        <f>IF(A1113="","",TEXTBEFORE(TEXTAFTER(A1113,"|"),"|"))</f>
        <v/>
      </c>
      <c r="D1113">
        <f>IF(A1113="","",TEXTAFTER(A1113,"|",2))</f>
        <v/>
      </c>
      <c r="E1113">
        <f>IF(A1113="","",SUMIF(Tickets[TripKey],A1113,Tickets[TP]))</f>
        <v/>
      </c>
      <c r="F1113">
        <f>IF(A1113="","",SUMIF(Tickets[TripKey],A1113,Tickets[Revenue]))</f>
        <v/>
      </c>
      <c r="G1113">
        <f>IF(A1113="","",SUMIF(Tickets[TripKey],A1113,Tickets[PK]))</f>
        <v/>
      </c>
      <c r="H1113">
        <f>IF(A1113="","",IFERROR(XLOOKUP(A1113,Tickets[TripKey],Tickets[VehClean]),""))</f>
        <v/>
      </c>
      <c r="I1113">
        <f>IF(A1113="","",IFERROR(XLOOKUP(A1113,Tickets[TripKey],Tickets[RouteLen]),0))</f>
        <v/>
      </c>
      <c r="J1113">
        <f>IF(A1113="","",IFERROR(XLOOKUP(A1113,Tickets[TripKey],Tickets[Capacity]),0))</f>
        <v/>
      </c>
      <c r="K1113">
        <f>IF(A1113="","",I1113*J1113)</f>
        <v/>
      </c>
      <c r="L1113">
        <f>IF(A1113="","",IFERROR(MINIFS(Tickets[Trip Start Time],Tickets[TripKey],A1113),""))</f>
        <v/>
      </c>
    </row>
    <row r="1114">
      <c r="B1114" s="8">
        <f>IF(A1114="","",IFERROR(DATEVALUE(TEXTBEFORE(A1114,"|")),--LEFT(A1114,10)))</f>
        <v/>
      </c>
      <c r="C1114">
        <f>IF(A1114="","",TEXTBEFORE(TEXTAFTER(A1114,"|"),"|"))</f>
        <v/>
      </c>
      <c r="D1114">
        <f>IF(A1114="","",TEXTAFTER(A1114,"|",2))</f>
        <v/>
      </c>
      <c r="E1114">
        <f>IF(A1114="","",SUMIF(Tickets[TripKey],A1114,Tickets[TP]))</f>
        <v/>
      </c>
      <c r="F1114">
        <f>IF(A1114="","",SUMIF(Tickets[TripKey],A1114,Tickets[Revenue]))</f>
        <v/>
      </c>
      <c r="G1114">
        <f>IF(A1114="","",SUMIF(Tickets[TripKey],A1114,Tickets[PK]))</f>
        <v/>
      </c>
      <c r="H1114">
        <f>IF(A1114="","",IFERROR(XLOOKUP(A1114,Tickets[TripKey],Tickets[VehClean]),""))</f>
        <v/>
      </c>
      <c r="I1114">
        <f>IF(A1114="","",IFERROR(XLOOKUP(A1114,Tickets[TripKey],Tickets[RouteLen]),0))</f>
        <v/>
      </c>
      <c r="J1114">
        <f>IF(A1114="","",IFERROR(XLOOKUP(A1114,Tickets[TripKey],Tickets[Capacity]),0))</f>
        <v/>
      </c>
      <c r="K1114">
        <f>IF(A1114="","",I1114*J1114)</f>
        <v/>
      </c>
      <c r="L1114">
        <f>IF(A1114="","",IFERROR(MINIFS(Tickets[Trip Start Time],Tickets[TripKey],A1114),""))</f>
        <v/>
      </c>
    </row>
    <row r="1115">
      <c r="B1115" s="8">
        <f>IF(A1115="","",IFERROR(DATEVALUE(TEXTBEFORE(A1115,"|")),--LEFT(A1115,10)))</f>
        <v/>
      </c>
      <c r="C1115">
        <f>IF(A1115="","",TEXTBEFORE(TEXTAFTER(A1115,"|"),"|"))</f>
        <v/>
      </c>
      <c r="D1115">
        <f>IF(A1115="","",TEXTAFTER(A1115,"|",2))</f>
        <v/>
      </c>
      <c r="E1115">
        <f>IF(A1115="","",SUMIF(Tickets[TripKey],A1115,Tickets[TP]))</f>
        <v/>
      </c>
      <c r="F1115">
        <f>IF(A1115="","",SUMIF(Tickets[TripKey],A1115,Tickets[Revenue]))</f>
        <v/>
      </c>
      <c r="G1115">
        <f>IF(A1115="","",SUMIF(Tickets[TripKey],A1115,Tickets[PK]))</f>
        <v/>
      </c>
      <c r="H1115">
        <f>IF(A1115="","",IFERROR(XLOOKUP(A1115,Tickets[TripKey],Tickets[VehClean]),""))</f>
        <v/>
      </c>
      <c r="I1115">
        <f>IF(A1115="","",IFERROR(XLOOKUP(A1115,Tickets[TripKey],Tickets[RouteLen]),0))</f>
        <v/>
      </c>
      <c r="J1115">
        <f>IF(A1115="","",IFERROR(XLOOKUP(A1115,Tickets[TripKey],Tickets[Capacity]),0))</f>
        <v/>
      </c>
      <c r="K1115">
        <f>IF(A1115="","",I1115*J1115)</f>
        <v/>
      </c>
      <c r="L1115">
        <f>IF(A1115="","",IFERROR(MINIFS(Tickets[Trip Start Time],Tickets[TripKey],A1115),""))</f>
        <v/>
      </c>
    </row>
    <row r="1116">
      <c r="B1116" s="8">
        <f>IF(A1116="","",IFERROR(DATEVALUE(TEXTBEFORE(A1116,"|")),--LEFT(A1116,10)))</f>
        <v/>
      </c>
      <c r="C1116">
        <f>IF(A1116="","",TEXTBEFORE(TEXTAFTER(A1116,"|"),"|"))</f>
        <v/>
      </c>
      <c r="D1116">
        <f>IF(A1116="","",TEXTAFTER(A1116,"|",2))</f>
        <v/>
      </c>
      <c r="E1116">
        <f>IF(A1116="","",SUMIF(Tickets[TripKey],A1116,Tickets[TP]))</f>
        <v/>
      </c>
      <c r="F1116">
        <f>IF(A1116="","",SUMIF(Tickets[TripKey],A1116,Tickets[Revenue]))</f>
        <v/>
      </c>
      <c r="G1116">
        <f>IF(A1116="","",SUMIF(Tickets[TripKey],A1116,Tickets[PK]))</f>
        <v/>
      </c>
      <c r="H1116">
        <f>IF(A1116="","",IFERROR(XLOOKUP(A1116,Tickets[TripKey],Tickets[VehClean]),""))</f>
        <v/>
      </c>
      <c r="I1116">
        <f>IF(A1116="","",IFERROR(XLOOKUP(A1116,Tickets[TripKey],Tickets[RouteLen]),0))</f>
        <v/>
      </c>
      <c r="J1116">
        <f>IF(A1116="","",IFERROR(XLOOKUP(A1116,Tickets[TripKey],Tickets[Capacity]),0))</f>
        <v/>
      </c>
      <c r="K1116">
        <f>IF(A1116="","",I1116*J1116)</f>
        <v/>
      </c>
      <c r="L1116">
        <f>IF(A1116="","",IFERROR(MINIFS(Tickets[Trip Start Time],Tickets[TripKey],A1116),""))</f>
        <v/>
      </c>
    </row>
    <row r="1117">
      <c r="B1117" s="8">
        <f>IF(A1117="","",IFERROR(DATEVALUE(TEXTBEFORE(A1117,"|")),--LEFT(A1117,10)))</f>
        <v/>
      </c>
      <c r="C1117">
        <f>IF(A1117="","",TEXTBEFORE(TEXTAFTER(A1117,"|"),"|"))</f>
        <v/>
      </c>
      <c r="D1117">
        <f>IF(A1117="","",TEXTAFTER(A1117,"|",2))</f>
        <v/>
      </c>
      <c r="E1117">
        <f>IF(A1117="","",SUMIF(Tickets[TripKey],A1117,Tickets[TP]))</f>
        <v/>
      </c>
      <c r="F1117">
        <f>IF(A1117="","",SUMIF(Tickets[TripKey],A1117,Tickets[Revenue]))</f>
        <v/>
      </c>
      <c r="G1117">
        <f>IF(A1117="","",SUMIF(Tickets[TripKey],A1117,Tickets[PK]))</f>
        <v/>
      </c>
      <c r="H1117">
        <f>IF(A1117="","",IFERROR(XLOOKUP(A1117,Tickets[TripKey],Tickets[VehClean]),""))</f>
        <v/>
      </c>
      <c r="I1117">
        <f>IF(A1117="","",IFERROR(XLOOKUP(A1117,Tickets[TripKey],Tickets[RouteLen]),0))</f>
        <v/>
      </c>
      <c r="J1117">
        <f>IF(A1117="","",IFERROR(XLOOKUP(A1117,Tickets[TripKey],Tickets[Capacity]),0))</f>
        <v/>
      </c>
      <c r="K1117">
        <f>IF(A1117="","",I1117*J1117)</f>
        <v/>
      </c>
      <c r="L1117">
        <f>IF(A1117="","",IFERROR(MINIFS(Tickets[Trip Start Time],Tickets[TripKey],A1117),""))</f>
        <v/>
      </c>
    </row>
    <row r="1118">
      <c r="B1118" s="8">
        <f>IF(A1118="","",IFERROR(DATEVALUE(TEXTBEFORE(A1118,"|")),--LEFT(A1118,10)))</f>
        <v/>
      </c>
      <c r="C1118">
        <f>IF(A1118="","",TEXTBEFORE(TEXTAFTER(A1118,"|"),"|"))</f>
        <v/>
      </c>
      <c r="D1118">
        <f>IF(A1118="","",TEXTAFTER(A1118,"|",2))</f>
        <v/>
      </c>
      <c r="E1118">
        <f>IF(A1118="","",SUMIF(Tickets[TripKey],A1118,Tickets[TP]))</f>
        <v/>
      </c>
      <c r="F1118">
        <f>IF(A1118="","",SUMIF(Tickets[TripKey],A1118,Tickets[Revenue]))</f>
        <v/>
      </c>
      <c r="G1118">
        <f>IF(A1118="","",SUMIF(Tickets[TripKey],A1118,Tickets[PK]))</f>
        <v/>
      </c>
      <c r="H1118">
        <f>IF(A1118="","",IFERROR(XLOOKUP(A1118,Tickets[TripKey],Tickets[VehClean]),""))</f>
        <v/>
      </c>
      <c r="I1118">
        <f>IF(A1118="","",IFERROR(XLOOKUP(A1118,Tickets[TripKey],Tickets[RouteLen]),0))</f>
        <v/>
      </c>
      <c r="J1118">
        <f>IF(A1118="","",IFERROR(XLOOKUP(A1118,Tickets[TripKey],Tickets[Capacity]),0))</f>
        <v/>
      </c>
      <c r="K1118">
        <f>IF(A1118="","",I1118*J1118)</f>
        <v/>
      </c>
      <c r="L1118">
        <f>IF(A1118="","",IFERROR(MINIFS(Tickets[Trip Start Time],Tickets[TripKey],A1118),""))</f>
        <v/>
      </c>
    </row>
    <row r="1119">
      <c r="B1119" s="8">
        <f>IF(A1119="","",IFERROR(DATEVALUE(TEXTBEFORE(A1119,"|")),--LEFT(A1119,10)))</f>
        <v/>
      </c>
      <c r="C1119">
        <f>IF(A1119="","",TEXTBEFORE(TEXTAFTER(A1119,"|"),"|"))</f>
        <v/>
      </c>
      <c r="D1119">
        <f>IF(A1119="","",TEXTAFTER(A1119,"|",2))</f>
        <v/>
      </c>
      <c r="E1119">
        <f>IF(A1119="","",SUMIF(Tickets[TripKey],A1119,Tickets[TP]))</f>
        <v/>
      </c>
      <c r="F1119">
        <f>IF(A1119="","",SUMIF(Tickets[TripKey],A1119,Tickets[Revenue]))</f>
        <v/>
      </c>
      <c r="G1119">
        <f>IF(A1119="","",SUMIF(Tickets[TripKey],A1119,Tickets[PK]))</f>
        <v/>
      </c>
      <c r="H1119">
        <f>IF(A1119="","",IFERROR(XLOOKUP(A1119,Tickets[TripKey],Tickets[VehClean]),""))</f>
        <v/>
      </c>
      <c r="I1119">
        <f>IF(A1119="","",IFERROR(XLOOKUP(A1119,Tickets[TripKey],Tickets[RouteLen]),0))</f>
        <v/>
      </c>
      <c r="J1119">
        <f>IF(A1119="","",IFERROR(XLOOKUP(A1119,Tickets[TripKey],Tickets[Capacity]),0))</f>
        <v/>
      </c>
      <c r="K1119">
        <f>IF(A1119="","",I1119*J1119)</f>
        <v/>
      </c>
      <c r="L1119">
        <f>IF(A1119="","",IFERROR(MINIFS(Tickets[Trip Start Time],Tickets[TripKey],A1119),""))</f>
        <v/>
      </c>
    </row>
    <row r="1120">
      <c r="B1120" s="8">
        <f>IF(A1120="","",IFERROR(DATEVALUE(TEXTBEFORE(A1120,"|")),--LEFT(A1120,10)))</f>
        <v/>
      </c>
      <c r="C1120">
        <f>IF(A1120="","",TEXTBEFORE(TEXTAFTER(A1120,"|"),"|"))</f>
        <v/>
      </c>
      <c r="D1120">
        <f>IF(A1120="","",TEXTAFTER(A1120,"|",2))</f>
        <v/>
      </c>
      <c r="E1120">
        <f>IF(A1120="","",SUMIF(Tickets[TripKey],A1120,Tickets[TP]))</f>
        <v/>
      </c>
      <c r="F1120">
        <f>IF(A1120="","",SUMIF(Tickets[TripKey],A1120,Tickets[Revenue]))</f>
        <v/>
      </c>
      <c r="G1120">
        <f>IF(A1120="","",SUMIF(Tickets[TripKey],A1120,Tickets[PK]))</f>
        <v/>
      </c>
      <c r="H1120">
        <f>IF(A1120="","",IFERROR(XLOOKUP(A1120,Tickets[TripKey],Tickets[VehClean]),""))</f>
        <v/>
      </c>
      <c r="I1120">
        <f>IF(A1120="","",IFERROR(XLOOKUP(A1120,Tickets[TripKey],Tickets[RouteLen]),0))</f>
        <v/>
      </c>
      <c r="J1120">
        <f>IF(A1120="","",IFERROR(XLOOKUP(A1120,Tickets[TripKey],Tickets[Capacity]),0))</f>
        <v/>
      </c>
      <c r="K1120">
        <f>IF(A1120="","",I1120*J1120)</f>
        <v/>
      </c>
      <c r="L1120">
        <f>IF(A1120="","",IFERROR(MINIFS(Tickets[Trip Start Time],Tickets[TripKey],A1120),""))</f>
        <v/>
      </c>
    </row>
    <row r="1121">
      <c r="B1121" s="8">
        <f>IF(A1121="","",IFERROR(DATEVALUE(TEXTBEFORE(A1121,"|")),--LEFT(A1121,10)))</f>
        <v/>
      </c>
      <c r="C1121">
        <f>IF(A1121="","",TEXTBEFORE(TEXTAFTER(A1121,"|"),"|"))</f>
        <v/>
      </c>
      <c r="D1121">
        <f>IF(A1121="","",TEXTAFTER(A1121,"|",2))</f>
        <v/>
      </c>
      <c r="E1121">
        <f>IF(A1121="","",SUMIF(Tickets[TripKey],A1121,Tickets[TP]))</f>
        <v/>
      </c>
      <c r="F1121">
        <f>IF(A1121="","",SUMIF(Tickets[TripKey],A1121,Tickets[Revenue]))</f>
        <v/>
      </c>
      <c r="G1121">
        <f>IF(A1121="","",SUMIF(Tickets[TripKey],A1121,Tickets[PK]))</f>
        <v/>
      </c>
      <c r="H1121">
        <f>IF(A1121="","",IFERROR(XLOOKUP(A1121,Tickets[TripKey],Tickets[VehClean]),""))</f>
        <v/>
      </c>
      <c r="I1121">
        <f>IF(A1121="","",IFERROR(XLOOKUP(A1121,Tickets[TripKey],Tickets[RouteLen]),0))</f>
        <v/>
      </c>
      <c r="J1121">
        <f>IF(A1121="","",IFERROR(XLOOKUP(A1121,Tickets[TripKey],Tickets[Capacity]),0))</f>
        <v/>
      </c>
      <c r="K1121">
        <f>IF(A1121="","",I1121*J1121)</f>
        <v/>
      </c>
      <c r="L1121">
        <f>IF(A1121="","",IFERROR(MINIFS(Tickets[Trip Start Time],Tickets[TripKey],A1121),""))</f>
        <v/>
      </c>
    </row>
    <row r="1122">
      <c r="B1122" s="8">
        <f>IF(A1122="","",IFERROR(DATEVALUE(TEXTBEFORE(A1122,"|")),--LEFT(A1122,10)))</f>
        <v/>
      </c>
      <c r="C1122">
        <f>IF(A1122="","",TEXTBEFORE(TEXTAFTER(A1122,"|"),"|"))</f>
        <v/>
      </c>
      <c r="D1122">
        <f>IF(A1122="","",TEXTAFTER(A1122,"|",2))</f>
        <v/>
      </c>
      <c r="E1122">
        <f>IF(A1122="","",SUMIF(Tickets[TripKey],A1122,Tickets[TP]))</f>
        <v/>
      </c>
      <c r="F1122">
        <f>IF(A1122="","",SUMIF(Tickets[TripKey],A1122,Tickets[Revenue]))</f>
        <v/>
      </c>
      <c r="G1122">
        <f>IF(A1122="","",SUMIF(Tickets[TripKey],A1122,Tickets[PK]))</f>
        <v/>
      </c>
      <c r="H1122">
        <f>IF(A1122="","",IFERROR(XLOOKUP(A1122,Tickets[TripKey],Tickets[VehClean]),""))</f>
        <v/>
      </c>
      <c r="I1122">
        <f>IF(A1122="","",IFERROR(XLOOKUP(A1122,Tickets[TripKey],Tickets[RouteLen]),0))</f>
        <v/>
      </c>
      <c r="J1122">
        <f>IF(A1122="","",IFERROR(XLOOKUP(A1122,Tickets[TripKey],Tickets[Capacity]),0))</f>
        <v/>
      </c>
      <c r="K1122">
        <f>IF(A1122="","",I1122*J1122)</f>
        <v/>
      </c>
      <c r="L1122">
        <f>IF(A1122="","",IFERROR(MINIFS(Tickets[Trip Start Time],Tickets[TripKey],A1122),""))</f>
        <v/>
      </c>
    </row>
    <row r="1123">
      <c r="B1123" s="8">
        <f>IF(A1123="","",IFERROR(DATEVALUE(TEXTBEFORE(A1123,"|")),--LEFT(A1123,10)))</f>
        <v/>
      </c>
      <c r="C1123">
        <f>IF(A1123="","",TEXTBEFORE(TEXTAFTER(A1123,"|"),"|"))</f>
        <v/>
      </c>
      <c r="D1123">
        <f>IF(A1123="","",TEXTAFTER(A1123,"|",2))</f>
        <v/>
      </c>
      <c r="E1123">
        <f>IF(A1123="","",SUMIF(Tickets[TripKey],A1123,Tickets[TP]))</f>
        <v/>
      </c>
      <c r="F1123">
        <f>IF(A1123="","",SUMIF(Tickets[TripKey],A1123,Tickets[Revenue]))</f>
        <v/>
      </c>
      <c r="G1123">
        <f>IF(A1123="","",SUMIF(Tickets[TripKey],A1123,Tickets[PK]))</f>
        <v/>
      </c>
      <c r="H1123">
        <f>IF(A1123="","",IFERROR(XLOOKUP(A1123,Tickets[TripKey],Tickets[VehClean]),""))</f>
        <v/>
      </c>
      <c r="I1123">
        <f>IF(A1123="","",IFERROR(XLOOKUP(A1123,Tickets[TripKey],Tickets[RouteLen]),0))</f>
        <v/>
      </c>
      <c r="J1123">
        <f>IF(A1123="","",IFERROR(XLOOKUP(A1123,Tickets[TripKey],Tickets[Capacity]),0))</f>
        <v/>
      </c>
      <c r="K1123">
        <f>IF(A1123="","",I1123*J1123)</f>
        <v/>
      </c>
      <c r="L1123">
        <f>IF(A1123="","",IFERROR(MINIFS(Tickets[Trip Start Time],Tickets[TripKey],A1123),""))</f>
        <v/>
      </c>
    </row>
    <row r="1124">
      <c r="B1124" s="8">
        <f>IF(A1124="","",IFERROR(DATEVALUE(TEXTBEFORE(A1124,"|")),--LEFT(A1124,10)))</f>
        <v/>
      </c>
      <c r="C1124">
        <f>IF(A1124="","",TEXTBEFORE(TEXTAFTER(A1124,"|"),"|"))</f>
        <v/>
      </c>
      <c r="D1124">
        <f>IF(A1124="","",TEXTAFTER(A1124,"|",2))</f>
        <v/>
      </c>
      <c r="E1124">
        <f>IF(A1124="","",SUMIF(Tickets[TripKey],A1124,Tickets[TP]))</f>
        <v/>
      </c>
      <c r="F1124">
        <f>IF(A1124="","",SUMIF(Tickets[TripKey],A1124,Tickets[Revenue]))</f>
        <v/>
      </c>
      <c r="G1124">
        <f>IF(A1124="","",SUMIF(Tickets[TripKey],A1124,Tickets[PK]))</f>
        <v/>
      </c>
      <c r="H1124">
        <f>IF(A1124="","",IFERROR(XLOOKUP(A1124,Tickets[TripKey],Tickets[VehClean]),""))</f>
        <v/>
      </c>
      <c r="I1124">
        <f>IF(A1124="","",IFERROR(XLOOKUP(A1124,Tickets[TripKey],Tickets[RouteLen]),0))</f>
        <v/>
      </c>
      <c r="J1124">
        <f>IF(A1124="","",IFERROR(XLOOKUP(A1124,Tickets[TripKey],Tickets[Capacity]),0))</f>
        <v/>
      </c>
      <c r="K1124">
        <f>IF(A1124="","",I1124*J1124)</f>
        <v/>
      </c>
      <c r="L1124">
        <f>IF(A1124="","",IFERROR(MINIFS(Tickets[Trip Start Time],Tickets[TripKey],A1124),""))</f>
        <v/>
      </c>
    </row>
    <row r="1125">
      <c r="B1125" s="8">
        <f>IF(A1125="","",IFERROR(DATEVALUE(TEXTBEFORE(A1125,"|")),--LEFT(A1125,10)))</f>
        <v/>
      </c>
      <c r="C1125">
        <f>IF(A1125="","",TEXTBEFORE(TEXTAFTER(A1125,"|"),"|"))</f>
        <v/>
      </c>
      <c r="D1125">
        <f>IF(A1125="","",TEXTAFTER(A1125,"|",2))</f>
        <v/>
      </c>
      <c r="E1125">
        <f>IF(A1125="","",SUMIF(Tickets[TripKey],A1125,Tickets[TP]))</f>
        <v/>
      </c>
      <c r="F1125">
        <f>IF(A1125="","",SUMIF(Tickets[TripKey],A1125,Tickets[Revenue]))</f>
        <v/>
      </c>
      <c r="G1125">
        <f>IF(A1125="","",SUMIF(Tickets[TripKey],A1125,Tickets[PK]))</f>
        <v/>
      </c>
      <c r="H1125">
        <f>IF(A1125="","",IFERROR(XLOOKUP(A1125,Tickets[TripKey],Tickets[VehClean]),""))</f>
        <v/>
      </c>
      <c r="I1125">
        <f>IF(A1125="","",IFERROR(XLOOKUP(A1125,Tickets[TripKey],Tickets[RouteLen]),0))</f>
        <v/>
      </c>
      <c r="J1125">
        <f>IF(A1125="","",IFERROR(XLOOKUP(A1125,Tickets[TripKey],Tickets[Capacity]),0))</f>
        <v/>
      </c>
      <c r="K1125">
        <f>IF(A1125="","",I1125*J1125)</f>
        <v/>
      </c>
      <c r="L1125">
        <f>IF(A1125="","",IFERROR(MINIFS(Tickets[Trip Start Time],Tickets[TripKey],A1125),""))</f>
        <v/>
      </c>
    </row>
    <row r="1126">
      <c r="B1126" s="8">
        <f>IF(A1126="","",IFERROR(DATEVALUE(TEXTBEFORE(A1126,"|")),--LEFT(A1126,10)))</f>
        <v/>
      </c>
      <c r="C1126">
        <f>IF(A1126="","",TEXTBEFORE(TEXTAFTER(A1126,"|"),"|"))</f>
        <v/>
      </c>
      <c r="D1126">
        <f>IF(A1126="","",TEXTAFTER(A1126,"|",2))</f>
        <v/>
      </c>
      <c r="E1126">
        <f>IF(A1126="","",SUMIF(Tickets[TripKey],A1126,Tickets[TP]))</f>
        <v/>
      </c>
      <c r="F1126">
        <f>IF(A1126="","",SUMIF(Tickets[TripKey],A1126,Tickets[Revenue]))</f>
        <v/>
      </c>
      <c r="G1126">
        <f>IF(A1126="","",SUMIF(Tickets[TripKey],A1126,Tickets[PK]))</f>
        <v/>
      </c>
      <c r="H1126">
        <f>IF(A1126="","",IFERROR(XLOOKUP(A1126,Tickets[TripKey],Tickets[VehClean]),""))</f>
        <v/>
      </c>
      <c r="I1126">
        <f>IF(A1126="","",IFERROR(XLOOKUP(A1126,Tickets[TripKey],Tickets[RouteLen]),0))</f>
        <v/>
      </c>
      <c r="J1126">
        <f>IF(A1126="","",IFERROR(XLOOKUP(A1126,Tickets[TripKey],Tickets[Capacity]),0))</f>
        <v/>
      </c>
      <c r="K1126">
        <f>IF(A1126="","",I1126*J1126)</f>
        <v/>
      </c>
      <c r="L1126">
        <f>IF(A1126="","",IFERROR(MINIFS(Tickets[Trip Start Time],Tickets[TripKey],A1126),""))</f>
        <v/>
      </c>
    </row>
    <row r="1127">
      <c r="B1127" s="8">
        <f>IF(A1127="","",IFERROR(DATEVALUE(TEXTBEFORE(A1127,"|")),--LEFT(A1127,10)))</f>
        <v/>
      </c>
      <c r="C1127">
        <f>IF(A1127="","",TEXTBEFORE(TEXTAFTER(A1127,"|"),"|"))</f>
        <v/>
      </c>
      <c r="D1127">
        <f>IF(A1127="","",TEXTAFTER(A1127,"|",2))</f>
        <v/>
      </c>
      <c r="E1127">
        <f>IF(A1127="","",SUMIF(Tickets[TripKey],A1127,Tickets[TP]))</f>
        <v/>
      </c>
      <c r="F1127">
        <f>IF(A1127="","",SUMIF(Tickets[TripKey],A1127,Tickets[Revenue]))</f>
        <v/>
      </c>
      <c r="G1127">
        <f>IF(A1127="","",SUMIF(Tickets[TripKey],A1127,Tickets[PK]))</f>
        <v/>
      </c>
      <c r="H1127">
        <f>IF(A1127="","",IFERROR(XLOOKUP(A1127,Tickets[TripKey],Tickets[VehClean]),""))</f>
        <v/>
      </c>
      <c r="I1127">
        <f>IF(A1127="","",IFERROR(XLOOKUP(A1127,Tickets[TripKey],Tickets[RouteLen]),0))</f>
        <v/>
      </c>
      <c r="J1127">
        <f>IF(A1127="","",IFERROR(XLOOKUP(A1127,Tickets[TripKey],Tickets[Capacity]),0))</f>
        <v/>
      </c>
      <c r="K1127">
        <f>IF(A1127="","",I1127*J1127)</f>
        <v/>
      </c>
      <c r="L1127">
        <f>IF(A1127="","",IFERROR(MINIFS(Tickets[Trip Start Time],Tickets[TripKey],A1127),""))</f>
        <v/>
      </c>
    </row>
    <row r="1128">
      <c r="B1128" s="8">
        <f>IF(A1128="","",IFERROR(DATEVALUE(TEXTBEFORE(A1128,"|")),--LEFT(A1128,10)))</f>
        <v/>
      </c>
      <c r="C1128">
        <f>IF(A1128="","",TEXTBEFORE(TEXTAFTER(A1128,"|"),"|"))</f>
        <v/>
      </c>
      <c r="D1128">
        <f>IF(A1128="","",TEXTAFTER(A1128,"|",2))</f>
        <v/>
      </c>
      <c r="E1128">
        <f>IF(A1128="","",SUMIF(Tickets[TripKey],A1128,Tickets[TP]))</f>
        <v/>
      </c>
      <c r="F1128">
        <f>IF(A1128="","",SUMIF(Tickets[TripKey],A1128,Tickets[Revenue]))</f>
        <v/>
      </c>
      <c r="G1128">
        <f>IF(A1128="","",SUMIF(Tickets[TripKey],A1128,Tickets[PK]))</f>
        <v/>
      </c>
      <c r="H1128">
        <f>IF(A1128="","",IFERROR(XLOOKUP(A1128,Tickets[TripKey],Tickets[VehClean]),""))</f>
        <v/>
      </c>
      <c r="I1128">
        <f>IF(A1128="","",IFERROR(XLOOKUP(A1128,Tickets[TripKey],Tickets[RouteLen]),0))</f>
        <v/>
      </c>
      <c r="J1128">
        <f>IF(A1128="","",IFERROR(XLOOKUP(A1128,Tickets[TripKey],Tickets[Capacity]),0))</f>
        <v/>
      </c>
      <c r="K1128">
        <f>IF(A1128="","",I1128*J1128)</f>
        <v/>
      </c>
      <c r="L1128">
        <f>IF(A1128="","",IFERROR(MINIFS(Tickets[Trip Start Time],Tickets[TripKey],A1128),""))</f>
        <v/>
      </c>
    </row>
    <row r="1129">
      <c r="B1129" s="8">
        <f>IF(A1129="","",IFERROR(DATEVALUE(TEXTBEFORE(A1129,"|")),--LEFT(A1129,10)))</f>
        <v/>
      </c>
      <c r="C1129">
        <f>IF(A1129="","",TEXTBEFORE(TEXTAFTER(A1129,"|"),"|"))</f>
        <v/>
      </c>
      <c r="D1129">
        <f>IF(A1129="","",TEXTAFTER(A1129,"|",2))</f>
        <v/>
      </c>
      <c r="E1129">
        <f>IF(A1129="","",SUMIF(Tickets[TripKey],A1129,Tickets[TP]))</f>
        <v/>
      </c>
      <c r="F1129">
        <f>IF(A1129="","",SUMIF(Tickets[TripKey],A1129,Tickets[Revenue]))</f>
        <v/>
      </c>
      <c r="G1129">
        <f>IF(A1129="","",SUMIF(Tickets[TripKey],A1129,Tickets[PK]))</f>
        <v/>
      </c>
      <c r="H1129">
        <f>IF(A1129="","",IFERROR(XLOOKUP(A1129,Tickets[TripKey],Tickets[VehClean]),""))</f>
        <v/>
      </c>
      <c r="I1129">
        <f>IF(A1129="","",IFERROR(XLOOKUP(A1129,Tickets[TripKey],Tickets[RouteLen]),0))</f>
        <v/>
      </c>
      <c r="J1129">
        <f>IF(A1129="","",IFERROR(XLOOKUP(A1129,Tickets[TripKey],Tickets[Capacity]),0))</f>
        <v/>
      </c>
      <c r="K1129">
        <f>IF(A1129="","",I1129*J1129)</f>
        <v/>
      </c>
      <c r="L1129">
        <f>IF(A1129="","",IFERROR(MINIFS(Tickets[Trip Start Time],Tickets[TripKey],A1129),""))</f>
        <v/>
      </c>
    </row>
    <row r="1130">
      <c r="B1130" s="8">
        <f>IF(A1130="","",IFERROR(DATEVALUE(TEXTBEFORE(A1130,"|")),--LEFT(A1130,10)))</f>
        <v/>
      </c>
      <c r="C1130">
        <f>IF(A1130="","",TEXTBEFORE(TEXTAFTER(A1130,"|"),"|"))</f>
        <v/>
      </c>
      <c r="D1130">
        <f>IF(A1130="","",TEXTAFTER(A1130,"|",2))</f>
        <v/>
      </c>
      <c r="E1130">
        <f>IF(A1130="","",SUMIF(Tickets[TripKey],A1130,Tickets[TP]))</f>
        <v/>
      </c>
      <c r="F1130">
        <f>IF(A1130="","",SUMIF(Tickets[TripKey],A1130,Tickets[Revenue]))</f>
        <v/>
      </c>
      <c r="G1130">
        <f>IF(A1130="","",SUMIF(Tickets[TripKey],A1130,Tickets[PK]))</f>
        <v/>
      </c>
      <c r="H1130">
        <f>IF(A1130="","",IFERROR(XLOOKUP(A1130,Tickets[TripKey],Tickets[VehClean]),""))</f>
        <v/>
      </c>
      <c r="I1130">
        <f>IF(A1130="","",IFERROR(XLOOKUP(A1130,Tickets[TripKey],Tickets[RouteLen]),0))</f>
        <v/>
      </c>
      <c r="J1130">
        <f>IF(A1130="","",IFERROR(XLOOKUP(A1130,Tickets[TripKey],Tickets[Capacity]),0))</f>
        <v/>
      </c>
      <c r="K1130">
        <f>IF(A1130="","",I1130*J1130)</f>
        <v/>
      </c>
      <c r="L1130">
        <f>IF(A1130="","",IFERROR(MINIFS(Tickets[Trip Start Time],Tickets[TripKey],A1130),""))</f>
        <v/>
      </c>
    </row>
    <row r="1131">
      <c r="B1131" s="8">
        <f>IF(A1131="","",IFERROR(DATEVALUE(TEXTBEFORE(A1131,"|")),--LEFT(A1131,10)))</f>
        <v/>
      </c>
      <c r="C1131">
        <f>IF(A1131="","",TEXTBEFORE(TEXTAFTER(A1131,"|"),"|"))</f>
        <v/>
      </c>
      <c r="D1131">
        <f>IF(A1131="","",TEXTAFTER(A1131,"|",2))</f>
        <v/>
      </c>
      <c r="E1131">
        <f>IF(A1131="","",SUMIF(Tickets[TripKey],A1131,Tickets[TP]))</f>
        <v/>
      </c>
      <c r="F1131">
        <f>IF(A1131="","",SUMIF(Tickets[TripKey],A1131,Tickets[Revenue]))</f>
        <v/>
      </c>
      <c r="G1131">
        <f>IF(A1131="","",SUMIF(Tickets[TripKey],A1131,Tickets[PK]))</f>
        <v/>
      </c>
      <c r="H1131">
        <f>IF(A1131="","",IFERROR(XLOOKUP(A1131,Tickets[TripKey],Tickets[VehClean]),""))</f>
        <v/>
      </c>
      <c r="I1131">
        <f>IF(A1131="","",IFERROR(XLOOKUP(A1131,Tickets[TripKey],Tickets[RouteLen]),0))</f>
        <v/>
      </c>
      <c r="J1131">
        <f>IF(A1131="","",IFERROR(XLOOKUP(A1131,Tickets[TripKey],Tickets[Capacity]),0))</f>
        <v/>
      </c>
      <c r="K1131">
        <f>IF(A1131="","",I1131*J1131)</f>
        <v/>
      </c>
      <c r="L1131">
        <f>IF(A1131="","",IFERROR(MINIFS(Tickets[Trip Start Time],Tickets[TripKey],A1131),""))</f>
        <v/>
      </c>
    </row>
    <row r="1132">
      <c r="B1132" s="8">
        <f>IF(A1132="","",IFERROR(DATEVALUE(TEXTBEFORE(A1132,"|")),--LEFT(A1132,10)))</f>
        <v/>
      </c>
      <c r="C1132">
        <f>IF(A1132="","",TEXTBEFORE(TEXTAFTER(A1132,"|"),"|"))</f>
        <v/>
      </c>
      <c r="D1132">
        <f>IF(A1132="","",TEXTAFTER(A1132,"|",2))</f>
        <v/>
      </c>
      <c r="E1132">
        <f>IF(A1132="","",SUMIF(Tickets[TripKey],A1132,Tickets[TP]))</f>
        <v/>
      </c>
      <c r="F1132">
        <f>IF(A1132="","",SUMIF(Tickets[TripKey],A1132,Tickets[Revenue]))</f>
        <v/>
      </c>
      <c r="G1132">
        <f>IF(A1132="","",SUMIF(Tickets[TripKey],A1132,Tickets[PK]))</f>
        <v/>
      </c>
      <c r="H1132">
        <f>IF(A1132="","",IFERROR(XLOOKUP(A1132,Tickets[TripKey],Tickets[VehClean]),""))</f>
        <v/>
      </c>
      <c r="I1132">
        <f>IF(A1132="","",IFERROR(XLOOKUP(A1132,Tickets[TripKey],Tickets[RouteLen]),0))</f>
        <v/>
      </c>
      <c r="J1132">
        <f>IF(A1132="","",IFERROR(XLOOKUP(A1132,Tickets[TripKey],Tickets[Capacity]),0))</f>
        <v/>
      </c>
      <c r="K1132">
        <f>IF(A1132="","",I1132*J1132)</f>
        <v/>
      </c>
      <c r="L1132">
        <f>IF(A1132="","",IFERROR(MINIFS(Tickets[Trip Start Time],Tickets[TripKey],A1132),""))</f>
        <v/>
      </c>
    </row>
    <row r="1133">
      <c r="B1133" s="8">
        <f>IF(A1133="","",IFERROR(DATEVALUE(TEXTBEFORE(A1133,"|")),--LEFT(A1133,10)))</f>
        <v/>
      </c>
      <c r="C1133">
        <f>IF(A1133="","",TEXTBEFORE(TEXTAFTER(A1133,"|"),"|"))</f>
        <v/>
      </c>
      <c r="D1133">
        <f>IF(A1133="","",TEXTAFTER(A1133,"|",2))</f>
        <v/>
      </c>
      <c r="E1133">
        <f>IF(A1133="","",SUMIF(Tickets[TripKey],A1133,Tickets[TP]))</f>
        <v/>
      </c>
      <c r="F1133">
        <f>IF(A1133="","",SUMIF(Tickets[TripKey],A1133,Tickets[Revenue]))</f>
        <v/>
      </c>
      <c r="G1133">
        <f>IF(A1133="","",SUMIF(Tickets[TripKey],A1133,Tickets[PK]))</f>
        <v/>
      </c>
      <c r="H1133">
        <f>IF(A1133="","",IFERROR(XLOOKUP(A1133,Tickets[TripKey],Tickets[VehClean]),""))</f>
        <v/>
      </c>
      <c r="I1133">
        <f>IF(A1133="","",IFERROR(XLOOKUP(A1133,Tickets[TripKey],Tickets[RouteLen]),0))</f>
        <v/>
      </c>
      <c r="J1133">
        <f>IF(A1133="","",IFERROR(XLOOKUP(A1133,Tickets[TripKey],Tickets[Capacity]),0))</f>
        <v/>
      </c>
      <c r="K1133">
        <f>IF(A1133="","",I1133*J1133)</f>
        <v/>
      </c>
      <c r="L1133">
        <f>IF(A1133="","",IFERROR(MINIFS(Tickets[Trip Start Time],Tickets[TripKey],A1133),""))</f>
        <v/>
      </c>
    </row>
    <row r="1134">
      <c r="B1134" s="8">
        <f>IF(A1134="","",IFERROR(DATEVALUE(TEXTBEFORE(A1134,"|")),--LEFT(A1134,10)))</f>
        <v/>
      </c>
      <c r="C1134">
        <f>IF(A1134="","",TEXTBEFORE(TEXTAFTER(A1134,"|"),"|"))</f>
        <v/>
      </c>
      <c r="D1134">
        <f>IF(A1134="","",TEXTAFTER(A1134,"|",2))</f>
        <v/>
      </c>
      <c r="E1134">
        <f>IF(A1134="","",SUMIF(Tickets[TripKey],A1134,Tickets[TP]))</f>
        <v/>
      </c>
      <c r="F1134">
        <f>IF(A1134="","",SUMIF(Tickets[TripKey],A1134,Tickets[Revenue]))</f>
        <v/>
      </c>
      <c r="G1134">
        <f>IF(A1134="","",SUMIF(Tickets[TripKey],A1134,Tickets[PK]))</f>
        <v/>
      </c>
      <c r="H1134">
        <f>IF(A1134="","",IFERROR(XLOOKUP(A1134,Tickets[TripKey],Tickets[VehClean]),""))</f>
        <v/>
      </c>
      <c r="I1134">
        <f>IF(A1134="","",IFERROR(XLOOKUP(A1134,Tickets[TripKey],Tickets[RouteLen]),0))</f>
        <v/>
      </c>
      <c r="J1134">
        <f>IF(A1134="","",IFERROR(XLOOKUP(A1134,Tickets[TripKey],Tickets[Capacity]),0))</f>
        <v/>
      </c>
      <c r="K1134">
        <f>IF(A1134="","",I1134*J1134)</f>
        <v/>
      </c>
      <c r="L1134">
        <f>IF(A1134="","",IFERROR(MINIFS(Tickets[Trip Start Time],Tickets[TripKey],A1134),""))</f>
        <v/>
      </c>
    </row>
    <row r="1135">
      <c r="B1135" s="8">
        <f>IF(A1135="","",IFERROR(DATEVALUE(TEXTBEFORE(A1135,"|")),--LEFT(A1135,10)))</f>
        <v/>
      </c>
      <c r="C1135">
        <f>IF(A1135="","",TEXTBEFORE(TEXTAFTER(A1135,"|"),"|"))</f>
        <v/>
      </c>
      <c r="D1135">
        <f>IF(A1135="","",TEXTAFTER(A1135,"|",2))</f>
        <v/>
      </c>
      <c r="E1135">
        <f>IF(A1135="","",SUMIF(Tickets[TripKey],A1135,Tickets[TP]))</f>
        <v/>
      </c>
      <c r="F1135">
        <f>IF(A1135="","",SUMIF(Tickets[TripKey],A1135,Tickets[Revenue]))</f>
        <v/>
      </c>
      <c r="G1135">
        <f>IF(A1135="","",SUMIF(Tickets[TripKey],A1135,Tickets[PK]))</f>
        <v/>
      </c>
      <c r="H1135">
        <f>IF(A1135="","",IFERROR(XLOOKUP(A1135,Tickets[TripKey],Tickets[VehClean]),""))</f>
        <v/>
      </c>
      <c r="I1135">
        <f>IF(A1135="","",IFERROR(XLOOKUP(A1135,Tickets[TripKey],Tickets[RouteLen]),0))</f>
        <v/>
      </c>
      <c r="J1135">
        <f>IF(A1135="","",IFERROR(XLOOKUP(A1135,Tickets[TripKey],Tickets[Capacity]),0))</f>
        <v/>
      </c>
      <c r="K1135">
        <f>IF(A1135="","",I1135*J1135)</f>
        <v/>
      </c>
      <c r="L1135">
        <f>IF(A1135="","",IFERROR(MINIFS(Tickets[Trip Start Time],Tickets[TripKey],A1135),""))</f>
        <v/>
      </c>
    </row>
    <row r="1136">
      <c r="B1136" s="8">
        <f>IF(A1136="","",IFERROR(DATEVALUE(TEXTBEFORE(A1136,"|")),--LEFT(A1136,10)))</f>
        <v/>
      </c>
      <c r="C1136">
        <f>IF(A1136="","",TEXTBEFORE(TEXTAFTER(A1136,"|"),"|"))</f>
        <v/>
      </c>
      <c r="D1136">
        <f>IF(A1136="","",TEXTAFTER(A1136,"|",2))</f>
        <v/>
      </c>
      <c r="E1136">
        <f>IF(A1136="","",SUMIF(Tickets[TripKey],A1136,Tickets[TP]))</f>
        <v/>
      </c>
      <c r="F1136">
        <f>IF(A1136="","",SUMIF(Tickets[TripKey],A1136,Tickets[Revenue]))</f>
        <v/>
      </c>
      <c r="G1136">
        <f>IF(A1136="","",SUMIF(Tickets[TripKey],A1136,Tickets[PK]))</f>
        <v/>
      </c>
      <c r="H1136">
        <f>IF(A1136="","",IFERROR(XLOOKUP(A1136,Tickets[TripKey],Tickets[VehClean]),""))</f>
        <v/>
      </c>
      <c r="I1136">
        <f>IF(A1136="","",IFERROR(XLOOKUP(A1136,Tickets[TripKey],Tickets[RouteLen]),0))</f>
        <v/>
      </c>
      <c r="J1136">
        <f>IF(A1136="","",IFERROR(XLOOKUP(A1136,Tickets[TripKey],Tickets[Capacity]),0))</f>
        <v/>
      </c>
      <c r="K1136">
        <f>IF(A1136="","",I1136*J1136)</f>
        <v/>
      </c>
      <c r="L1136">
        <f>IF(A1136="","",IFERROR(MINIFS(Tickets[Trip Start Time],Tickets[TripKey],A1136),""))</f>
        <v/>
      </c>
    </row>
    <row r="1137">
      <c r="B1137" s="8">
        <f>IF(A1137="","",IFERROR(DATEVALUE(TEXTBEFORE(A1137,"|")),--LEFT(A1137,10)))</f>
        <v/>
      </c>
      <c r="C1137">
        <f>IF(A1137="","",TEXTBEFORE(TEXTAFTER(A1137,"|"),"|"))</f>
        <v/>
      </c>
      <c r="D1137">
        <f>IF(A1137="","",TEXTAFTER(A1137,"|",2))</f>
        <v/>
      </c>
      <c r="E1137">
        <f>IF(A1137="","",SUMIF(Tickets[TripKey],A1137,Tickets[TP]))</f>
        <v/>
      </c>
      <c r="F1137">
        <f>IF(A1137="","",SUMIF(Tickets[TripKey],A1137,Tickets[Revenue]))</f>
        <v/>
      </c>
      <c r="G1137">
        <f>IF(A1137="","",SUMIF(Tickets[TripKey],A1137,Tickets[PK]))</f>
        <v/>
      </c>
      <c r="H1137">
        <f>IF(A1137="","",IFERROR(XLOOKUP(A1137,Tickets[TripKey],Tickets[VehClean]),""))</f>
        <v/>
      </c>
      <c r="I1137">
        <f>IF(A1137="","",IFERROR(XLOOKUP(A1137,Tickets[TripKey],Tickets[RouteLen]),0))</f>
        <v/>
      </c>
      <c r="J1137">
        <f>IF(A1137="","",IFERROR(XLOOKUP(A1137,Tickets[TripKey],Tickets[Capacity]),0))</f>
        <v/>
      </c>
      <c r="K1137">
        <f>IF(A1137="","",I1137*J1137)</f>
        <v/>
      </c>
      <c r="L1137">
        <f>IF(A1137="","",IFERROR(MINIFS(Tickets[Trip Start Time],Tickets[TripKey],A1137),""))</f>
        <v/>
      </c>
    </row>
    <row r="1138">
      <c r="B1138" s="8">
        <f>IF(A1138="","",IFERROR(DATEVALUE(TEXTBEFORE(A1138,"|")),--LEFT(A1138,10)))</f>
        <v/>
      </c>
      <c r="C1138">
        <f>IF(A1138="","",TEXTBEFORE(TEXTAFTER(A1138,"|"),"|"))</f>
        <v/>
      </c>
      <c r="D1138">
        <f>IF(A1138="","",TEXTAFTER(A1138,"|",2))</f>
        <v/>
      </c>
      <c r="E1138">
        <f>IF(A1138="","",SUMIF(Tickets[TripKey],A1138,Tickets[TP]))</f>
        <v/>
      </c>
      <c r="F1138">
        <f>IF(A1138="","",SUMIF(Tickets[TripKey],A1138,Tickets[Revenue]))</f>
        <v/>
      </c>
      <c r="G1138">
        <f>IF(A1138="","",SUMIF(Tickets[TripKey],A1138,Tickets[PK]))</f>
        <v/>
      </c>
      <c r="H1138">
        <f>IF(A1138="","",IFERROR(XLOOKUP(A1138,Tickets[TripKey],Tickets[VehClean]),""))</f>
        <v/>
      </c>
      <c r="I1138">
        <f>IF(A1138="","",IFERROR(XLOOKUP(A1138,Tickets[TripKey],Tickets[RouteLen]),0))</f>
        <v/>
      </c>
      <c r="J1138">
        <f>IF(A1138="","",IFERROR(XLOOKUP(A1138,Tickets[TripKey],Tickets[Capacity]),0))</f>
        <v/>
      </c>
      <c r="K1138">
        <f>IF(A1138="","",I1138*J1138)</f>
        <v/>
      </c>
      <c r="L1138">
        <f>IF(A1138="","",IFERROR(MINIFS(Tickets[Trip Start Time],Tickets[TripKey],A1138),""))</f>
        <v/>
      </c>
    </row>
    <row r="1139">
      <c r="B1139" s="8">
        <f>IF(A1139="","",IFERROR(DATEVALUE(TEXTBEFORE(A1139,"|")),--LEFT(A1139,10)))</f>
        <v/>
      </c>
      <c r="C1139">
        <f>IF(A1139="","",TEXTBEFORE(TEXTAFTER(A1139,"|"),"|"))</f>
        <v/>
      </c>
      <c r="D1139">
        <f>IF(A1139="","",TEXTAFTER(A1139,"|",2))</f>
        <v/>
      </c>
      <c r="E1139">
        <f>IF(A1139="","",SUMIF(Tickets[TripKey],A1139,Tickets[TP]))</f>
        <v/>
      </c>
      <c r="F1139">
        <f>IF(A1139="","",SUMIF(Tickets[TripKey],A1139,Tickets[Revenue]))</f>
        <v/>
      </c>
      <c r="G1139">
        <f>IF(A1139="","",SUMIF(Tickets[TripKey],A1139,Tickets[PK]))</f>
        <v/>
      </c>
      <c r="H1139">
        <f>IF(A1139="","",IFERROR(XLOOKUP(A1139,Tickets[TripKey],Tickets[VehClean]),""))</f>
        <v/>
      </c>
      <c r="I1139">
        <f>IF(A1139="","",IFERROR(XLOOKUP(A1139,Tickets[TripKey],Tickets[RouteLen]),0))</f>
        <v/>
      </c>
      <c r="J1139">
        <f>IF(A1139="","",IFERROR(XLOOKUP(A1139,Tickets[TripKey],Tickets[Capacity]),0))</f>
        <v/>
      </c>
      <c r="K1139">
        <f>IF(A1139="","",I1139*J1139)</f>
        <v/>
      </c>
      <c r="L1139">
        <f>IF(A1139="","",IFERROR(MINIFS(Tickets[Trip Start Time],Tickets[TripKey],A1139),""))</f>
        <v/>
      </c>
    </row>
    <row r="1140">
      <c r="B1140" s="8">
        <f>IF(A1140="","",IFERROR(DATEVALUE(TEXTBEFORE(A1140,"|")),--LEFT(A1140,10)))</f>
        <v/>
      </c>
      <c r="C1140">
        <f>IF(A1140="","",TEXTBEFORE(TEXTAFTER(A1140,"|"),"|"))</f>
        <v/>
      </c>
      <c r="D1140">
        <f>IF(A1140="","",TEXTAFTER(A1140,"|",2))</f>
        <v/>
      </c>
      <c r="E1140">
        <f>IF(A1140="","",SUMIF(Tickets[TripKey],A1140,Tickets[TP]))</f>
        <v/>
      </c>
      <c r="F1140">
        <f>IF(A1140="","",SUMIF(Tickets[TripKey],A1140,Tickets[Revenue]))</f>
        <v/>
      </c>
      <c r="G1140">
        <f>IF(A1140="","",SUMIF(Tickets[TripKey],A1140,Tickets[PK]))</f>
        <v/>
      </c>
      <c r="H1140">
        <f>IF(A1140="","",IFERROR(XLOOKUP(A1140,Tickets[TripKey],Tickets[VehClean]),""))</f>
        <v/>
      </c>
      <c r="I1140">
        <f>IF(A1140="","",IFERROR(XLOOKUP(A1140,Tickets[TripKey],Tickets[RouteLen]),0))</f>
        <v/>
      </c>
      <c r="J1140">
        <f>IF(A1140="","",IFERROR(XLOOKUP(A1140,Tickets[TripKey],Tickets[Capacity]),0))</f>
        <v/>
      </c>
      <c r="K1140">
        <f>IF(A1140="","",I1140*J1140)</f>
        <v/>
      </c>
      <c r="L1140">
        <f>IF(A1140="","",IFERROR(MINIFS(Tickets[Trip Start Time],Tickets[TripKey],A1140),""))</f>
        <v/>
      </c>
    </row>
    <row r="1141">
      <c r="B1141" s="8">
        <f>IF(A1141="","",IFERROR(DATEVALUE(TEXTBEFORE(A1141,"|")),--LEFT(A1141,10)))</f>
        <v/>
      </c>
      <c r="C1141">
        <f>IF(A1141="","",TEXTBEFORE(TEXTAFTER(A1141,"|"),"|"))</f>
        <v/>
      </c>
      <c r="D1141">
        <f>IF(A1141="","",TEXTAFTER(A1141,"|",2))</f>
        <v/>
      </c>
      <c r="E1141">
        <f>IF(A1141="","",SUMIF(Tickets[TripKey],A1141,Tickets[TP]))</f>
        <v/>
      </c>
      <c r="F1141">
        <f>IF(A1141="","",SUMIF(Tickets[TripKey],A1141,Tickets[Revenue]))</f>
        <v/>
      </c>
      <c r="G1141">
        <f>IF(A1141="","",SUMIF(Tickets[TripKey],A1141,Tickets[PK]))</f>
        <v/>
      </c>
      <c r="H1141">
        <f>IF(A1141="","",IFERROR(XLOOKUP(A1141,Tickets[TripKey],Tickets[VehClean]),""))</f>
        <v/>
      </c>
      <c r="I1141">
        <f>IF(A1141="","",IFERROR(XLOOKUP(A1141,Tickets[TripKey],Tickets[RouteLen]),0))</f>
        <v/>
      </c>
      <c r="J1141">
        <f>IF(A1141="","",IFERROR(XLOOKUP(A1141,Tickets[TripKey],Tickets[Capacity]),0))</f>
        <v/>
      </c>
      <c r="K1141">
        <f>IF(A1141="","",I1141*J1141)</f>
        <v/>
      </c>
      <c r="L1141">
        <f>IF(A1141="","",IFERROR(MINIFS(Tickets[Trip Start Time],Tickets[TripKey],A1141),""))</f>
        <v/>
      </c>
    </row>
    <row r="1142">
      <c r="B1142" s="8">
        <f>IF(A1142="","",IFERROR(DATEVALUE(TEXTBEFORE(A1142,"|")),--LEFT(A1142,10)))</f>
        <v/>
      </c>
      <c r="C1142">
        <f>IF(A1142="","",TEXTBEFORE(TEXTAFTER(A1142,"|"),"|"))</f>
        <v/>
      </c>
      <c r="D1142">
        <f>IF(A1142="","",TEXTAFTER(A1142,"|",2))</f>
        <v/>
      </c>
      <c r="E1142">
        <f>IF(A1142="","",SUMIF(Tickets[TripKey],A1142,Tickets[TP]))</f>
        <v/>
      </c>
      <c r="F1142">
        <f>IF(A1142="","",SUMIF(Tickets[TripKey],A1142,Tickets[Revenue]))</f>
        <v/>
      </c>
      <c r="G1142">
        <f>IF(A1142="","",SUMIF(Tickets[TripKey],A1142,Tickets[PK]))</f>
        <v/>
      </c>
      <c r="H1142">
        <f>IF(A1142="","",IFERROR(XLOOKUP(A1142,Tickets[TripKey],Tickets[VehClean]),""))</f>
        <v/>
      </c>
      <c r="I1142">
        <f>IF(A1142="","",IFERROR(XLOOKUP(A1142,Tickets[TripKey],Tickets[RouteLen]),0))</f>
        <v/>
      </c>
      <c r="J1142">
        <f>IF(A1142="","",IFERROR(XLOOKUP(A1142,Tickets[TripKey],Tickets[Capacity]),0))</f>
        <v/>
      </c>
      <c r="K1142">
        <f>IF(A1142="","",I1142*J1142)</f>
        <v/>
      </c>
      <c r="L1142">
        <f>IF(A1142="","",IFERROR(MINIFS(Tickets[Trip Start Time],Tickets[TripKey],A1142),""))</f>
        <v/>
      </c>
    </row>
    <row r="1143">
      <c r="B1143" s="8">
        <f>IF(A1143="","",IFERROR(DATEVALUE(TEXTBEFORE(A1143,"|")),--LEFT(A1143,10)))</f>
        <v/>
      </c>
      <c r="C1143">
        <f>IF(A1143="","",TEXTBEFORE(TEXTAFTER(A1143,"|"),"|"))</f>
        <v/>
      </c>
      <c r="D1143">
        <f>IF(A1143="","",TEXTAFTER(A1143,"|",2))</f>
        <v/>
      </c>
      <c r="E1143">
        <f>IF(A1143="","",SUMIF(Tickets[TripKey],A1143,Tickets[TP]))</f>
        <v/>
      </c>
      <c r="F1143">
        <f>IF(A1143="","",SUMIF(Tickets[TripKey],A1143,Tickets[Revenue]))</f>
        <v/>
      </c>
      <c r="G1143">
        <f>IF(A1143="","",SUMIF(Tickets[TripKey],A1143,Tickets[PK]))</f>
        <v/>
      </c>
      <c r="H1143">
        <f>IF(A1143="","",IFERROR(XLOOKUP(A1143,Tickets[TripKey],Tickets[VehClean]),""))</f>
        <v/>
      </c>
      <c r="I1143">
        <f>IF(A1143="","",IFERROR(XLOOKUP(A1143,Tickets[TripKey],Tickets[RouteLen]),0))</f>
        <v/>
      </c>
      <c r="J1143">
        <f>IF(A1143="","",IFERROR(XLOOKUP(A1143,Tickets[TripKey],Tickets[Capacity]),0))</f>
        <v/>
      </c>
      <c r="K1143">
        <f>IF(A1143="","",I1143*J1143)</f>
        <v/>
      </c>
      <c r="L1143">
        <f>IF(A1143="","",IFERROR(MINIFS(Tickets[Trip Start Time],Tickets[TripKey],A1143),""))</f>
        <v/>
      </c>
    </row>
    <row r="1144">
      <c r="B1144" s="8">
        <f>IF(A1144="","",IFERROR(DATEVALUE(TEXTBEFORE(A1144,"|")),--LEFT(A1144,10)))</f>
        <v/>
      </c>
      <c r="C1144">
        <f>IF(A1144="","",TEXTBEFORE(TEXTAFTER(A1144,"|"),"|"))</f>
        <v/>
      </c>
      <c r="D1144">
        <f>IF(A1144="","",TEXTAFTER(A1144,"|",2))</f>
        <v/>
      </c>
      <c r="E1144">
        <f>IF(A1144="","",SUMIF(Tickets[TripKey],A1144,Tickets[TP]))</f>
        <v/>
      </c>
      <c r="F1144">
        <f>IF(A1144="","",SUMIF(Tickets[TripKey],A1144,Tickets[Revenue]))</f>
        <v/>
      </c>
      <c r="G1144">
        <f>IF(A1144="","",SUMIF(Tickets[TripKey],A1144,Tickets[PK]))</f>
        <v/>
      </c>
      <c r="H1144">
        <f>IF(A1144="","",IFERROR(XLOOKUP(A1144,Tickets[TripKey],Tickets[VehClean]),""))</f>
        <v/>
      </c>
      <c r="I1144">
        <f>IF(A1144="","",IFERROR(XLOOKUP(A1144,Tickets[TripKey],Tickets[RouteLen]),0))</f>
        <v/>
      </c>
      <c r="J1144">
        <f>IF(A1144="","",IFERROR(XLOOKUP(A1144,Tickets[TripKey],Tickets[Capacity]),0))</f>
        <v/>
      </c>
      <c r="K1144">
        <f>IF(A1144="","",I1144*J1144)</f>
        <v/>
      </c>
      <c r="L1144">
        <f>IF(A1144="","",IFERROR(MINIFS(Tickets[Trip Start Time],Tickets[TripKey],A1144),""))</f>
        <v/>
      </c>
    </row>
    <row r="1145">
      <c r="B1145" s="8">
        <f>IF(A1145="","",IFERROR(DATEVALUE(TEXTBEFORE(A1145,"|")),--LEFT(A1145,10)))</f>
        <v/>
      </c>
      <c r="C1145">
        <f>IF(A1145="","",TEXTBEFORE(TEXTAFTER(A1145,"|"),"|"))</f>
        <v/>
      </c>
      <c r="D1145">
        <f>IF(A1145="","",TEXTAFTER(A1145,"|",2))</f>
        <v/>
      </c>
      <c r="E1145">
        <f>IF(A1145="","",SUMIF(Tickets[TripKey],A1145,Tickets[TP]))</f>
        <v/>
      </c>
      <c r="F1145">
        <f>IF(A1145="","",SUMIF(Tickets[TripKey],A1145,Tickets[Revenue]))</f>
        <v/>
      </c>
      <c r="G1145">
        <f>IF(A1145="","",SUMIF(Tickets[TripKey],A1145,Tickets[PK]))</f>
        <v/>
      </c>
      <c r="H1145">
        <f>IF(A1145="","",IFERROR(XLOOKUP(A1145,Tickets[TripKey],Tickets[VehClean]),""))</f>
        <v/>
      </c>
      <c r="I1145">
        <f>IF(A1145="","",IFERROR(XLOOKUP(A1145,Tickets[TripKey],Tickets[RouteLen]),0))</f>
        <v/>
      </c>
      <c r="J1145">
        <f>IF(A1145="","",IFERROR(XLOOKUP(A1145,Tickets[TripKey],Tickets[Capacity]),0))</f>
        <v/>
      </c>
      <c r="K1145">
        <f>IF(A1145="","",I1145*J1145)</f>
        <v/>
      </c>
      <c r="L1145">
        <f>IF(A1145="","",IFERROR(MINIFS(Tickets[Trip Start Time],Tickets[TripKey],A1145),""))</f>
        <v/>
      </c>
    </row>
    <row r="1146">
      <c r="B1146" s="8">
        <f>IF(A1146="","",IFERROR(DATEVALUE(TEXTBEFORE(A1146,"|")),--LEFT(A1146,10)))</f>
        <v/>
      </c>
      <c r="C1146">
        <f>IF(A1146="","",TEXTBEFORE(TEXTAFTER(A1146,"|"),"|"))</f>
        <v/>
      </c>
      <c r="D1146">
        <f>IF(A1146="","",TEXTAFTER(A1146,"|",2))</f>
        <v/>
      </c>
      <c r="E1146">
        <f>IF(A1146="","",SUMIF(Tickets[TripKey],A1146,Tickets[TP]))</f>
        <v/>
      </c>
      <c r="F1146">
        <f>IF(A1146="","",SUMIF(Tickets[TripKey],A1146,Tickets[Revenue]))</f>
        <v/>
      </c>
      <c r="G1146">
        <f>IF(A1146="","",SUMIF(Tickets[TripKey],A1146,Tickets[PK]))</f>
        <v/>
      </c>
      <c r="H1146">
        <f>IF(A1146="","",IFERROR(XLOOKUP(A1146,Tickets[TripKey],Tickets[VehClean]),""))</f>
        <v/>
      </c>
      <c r="I1146">
        <f>IF(A1146="","",IFERROR(XLOOKUP(A1146,Tickets[TripKey],Tickets[RouteLen]),0))</f>
        <v/>
      </c>
      <c r="J1146">
        <f>IF(A1146="","",IFERROR(XLOOKUP(A1146,Tickets[TripKey],Tickets[Capacity]),0))</f>
        <v/>
      </c>
      <c r="K1146">
        <f>IF(A1146="","",I1146*J1146)</f>
        <v/>
      </c>
      <c r="L1146">
        <f>IF(A1146="","",IFERROR(MINIFS(Tickets[Trip Start Time],Tickets[TripKey],A1146),""))</f>
        <v/>
      </c>
    </row>
    <row r="1147">
      <c r="B1147" s="8">
        <f>IF(A1147="","",IFERROR(DATEVALUE(TEXTBEFORE(A1147,"|")),--LEFT(A1147,10)))</f>
        <v/>
      </c>
      <c r="C1147">
        <f>IF(A1147="","",TEXTBEFORE(TEXTAFTER(A1147,"|"),"|"))</f>
        <v/>
      </c>
      <c r="D1147">
        <f>IF(A1147="","",TEXTAFTER(A1147,"|",2))</f>
        <v/>
      </c>
      <c r="E1147">
        <f>IF(A1147="","",SUMIF(Tickets[TripKey],A1147,Tickets[TP]))</f>
        <v/>
      </c>
      <c r="F1147">
        <f>IF(A1147="","",SUMIF(Tickets[TripKey],A1147,Tickets[Revenue]))</f>
        <v/>
      </c>
      <c r="G1147">
        <f>IF(A1147="","",SUMIF(Tickets[TripKey],A1147,Tickets[PK]))</f>
        <v/>
      </c>
      <c r="H1147">
        <f>IF(A1147="","",IFERROR(XLOOKUP(A1147,Tickets[TripKey],Tickets[VehClean]),""))</f>
        <v/>
      </c>
      <c r="I1147">
        <f>IF(A1147="","",IFERROR(XLOOKUP(A1147,Tickets[TripKey],Tickets[RouteLen]),0))</f>
        <v/>
      </c>
      <c r="J1147">
        <f>IF(A1147="","",IFERROR(XLOOKUP(A1147,Tickets[TripKey],Tickets[Capacity]),0))</f>
        <v/>
      </c>
      <c r="K1147">
        <f>IF(A1147="","",I1147*J1147)</f>
        <v/>
      </c>
      <c r="L1147">
        <f>IF(A1147="","",IFERROR(MINIFS(Tickets[Trip Start Time],Tickets[TripKey],A1147),""))</f>
        <v/>
      </c>
    </row>
    <row r="1148">
      <c r="B1148" s="8">
        <f>IF(A1148="","",IFERROR(DATEVALUE(TEXTBEFORE(A1148,"|")),--LEFT(A1148,10)))</f>
        <v/>
      </c>
      <c r="C1148">
        <f>IF(A1148="","",TEXTBEFORE(TEXTAFTER(A1148,"|"),"|"))</f>
        <v/>
      </c>
      <c r="D1148">
        <f>IF(A1148="","",TEXTAFTER(A1148,"|",2))</f>
        <v/>
      </c>
      <c r="E1148">
        <f>IF(A1148="","",SUMIF(Tickets[TripKey],A1148,Tickets[TP]))</f>
        <v/>
      </c>
      <c r="F1148">
        <f>IF(A1148="","",SUMIF(Tickets[TripKey],A1148,Tickets[Revenue]))</f>
        <v/>
      </c>
      <c r="G1148">
        <f>IF(A1148="","",SUMIF(Tickets[TripKey],A1148,Tickets[PK]))</f>
        <v/>
      </c>
      <c r="H1148">
        <f>IF(A1148="","",IFERROR(XLOOKUP(A1148,Tickets[TripKey],Tickets[VehClean]),""))</f>
        <v/>
      </c>
      <c r="I1148">
        <f>IF(A1148="","",IFERROR(XLOOKUP(A1148,Tickets[TripKey],Tickets[RouteLen]),0))</f>
        <v/>
      </c>
      <c r="J1148">
        <f>IF(A1148="","",IFERROR(XLOOKUP(A1148,Tickets[TripKey],Tickets[Capacity]),0))</f>
        <v/>
      </c>
      <c r="K1148">
        <f>IF(A1148="","",I1148*J1148)</f>
        <v/>
      </c>
      <c r="L1148">
        <f>IF(A1148="","",IFERROR(MINIFS(Tickets[Trip Start Time],Tickets[TripKey],A1148),""))</f>
        <v/>
      </c>
    </row>
    <row r="1149">
      <c r="B1149" s="8">
        <f>IF(A1149="","",IFERROR(DATEVALUE(TEXTBEFORE(A1149,"|")),--LEFT(A1149,10)))</f>
        <v/>
      </c>
      <c r="C1149">
        <f>IF(A1149="","",TEXTBEFORE(TEXTAFTER(A1149,"|"),"|"))</f>
        <v/>
      </c>
      <c r="D1149">
        <f>IF(A1149="","",TEXTAFTER(A1149,"|",2))</f>
        <v/>
      </c>
      <c r="E1149">
        <f>IF(A1149="","",SUMIF(Tickets[TripKey],A1149,Tickets[TP]))</f>
        <v/>
      </c>
      <c r="F1149">
        <f>IF(A1149="","",SUMIF(Tickets[TripKey],A1149,Tickets[Revenue]))</f>
        <v/>
      </c>
      <c r="G1149">
        <f>IF(A1149="","",SUMIF(Tickets[TripKey],A1149,Tickets[PK]))</f>
        <v/>
      </c>
      <c r="H1149">
        <f>IF(A1149="","",IFERROR(XLOOKUP(A1149,Tickets[TripKey],Tickets[VehClean]),""))</f>
        <v/>
      </c>
      <c r="I1149">
        <f>IF(A1149="","",IFERROR(XLOOKUP(A1149,Tickets[TripKey],Tickets[RouteLen]),0))</f>
        <v/>
      </c>
      <c r="J1149">
        <f>IF(A1149="","",IFERROR(XLOOKUP(A1149,Tickets[TripKey],Tickets[Capacity]),0))</f>
        <v/>
      </c>
      <c r="K1149">
        <f>IF(A1149="","",I1149*J1149)</f>
        <v/>
      </c>
      <c r="L1149">
        <f>IF(A1149="","",IFERROR(MINIFS(Tickets[Trip Start Time],Tickets[TripKey],A1149),""))</f>
        <v/>
      </c>
    </row>
    <row r="1150">
      <c r="B1150" s="8">
        <f>IF(A1150="","",IFERROR(DATEVALUE(TEXTBEFORE(A1150,"|")),--LEFT(A1150,10)))</f>
        <v/>
      </c>
      <c r="C1150">
        <f>IF(A1150="","",TEXTBEFORE(TEXTAFTER(A1150,"|"),"|"))</f>
        <v/>
      </c>
      <c r="D1150">
        <f>IF(A1150="","",TEXTAFTER(A1150,"|",2))</f>
        <v/>
      </c>
      <c r="E1150">
        <f>IF(A1150="","",SUMIF(Tickets[TripKey],A1150,Tickets[TP]))</f>
        <v/>
      </c>
      <c r="F1150">
        <f>IF(A1150="","",SUMIF(Tickets[TripKey],A1150,Tickets[Revenue]))</f>
        <v/>
      </c>
      <c r="G1150">
        <f>IF(A1150="","",SUMIF(Tickets[TripKey],A1150,Tickets[PK]))</f>
        <v/>
      </c>
      <c r="H1150">
        <f>IF(A1150="","",IFERROR(XLOOKUP(A1150,Tickets[TripKey],Tickets[VehClean]),""))</f>
        <v/>
      </c>
      <c r="I1150">
        <f>IF(A1150="","",IFERROR(XLOOKUP(A1150,Tickets[TripKey],Tickets[RouteLen]),0))</f>
        <v/>
      </c>
      <c r="J1150">
        <f>IF(A1150="","",IFERROR(XLOOKUP(A1150,Tickets[TripKey],Tickets[Capacity]),0))</f>
        <v/>
      </c>
      <c r="K1150">
        <f>IF(A1150="","",I1150*J1150)</f>
        <v/>
      </c>
      <c r="L1150">
        <f>IF(A1150="","",IFERROR(MINIFS(Tickets[Trip Start Time],Tickets[TripKey],A1150),""))</f>
        <v/>
      </c>
    </row>
    <row r="1151">
      <c r="B1151" s="8">
        <f>IF(A1151="","",IFERROR(DATEVALUE(TEXTBEFORE(A1151,"|")),--LEFT(A1151,10)))</f>
        <v/>
      </c>
      <c r="C1151">
        <f>IF(A1151="","",TEXTBEFORE(TEXTAFTER(A1151,"|"),"|"))</f>
        <v/>
      </c>
      <c r="D1151">
        <f>IF(A1151="","",TEXTAFTER(A1151,"|",2))</f>
        <v/>
      </c>
      <c r="E1151">
        <f>IF(A1151="","",SUMIF(Tickets[TripKey],A1151,Tickets[TP]))</f>
        <v/>
      </c>
      <c r="F1151">
        <f>IF(A1151="","",SUMIF(Tickets[TripKey],A1151,Tickets[Revenue]))</f>
        <v/>
      </c>
      <c r="G1151">
        <f>IF(A1151="","",SUMIF(Tickets[TripKey],A1151,Tickets[PK]))</f>
        <v/>
      </c>
      <c r="H1151">
        <f>IF(A1151="","",IFERROR(XLOOKUP(A1151,Tickets[TripKey],Tickets[VehClean]),""))</f>
        <v/>
      </c>
      <c r="I1151">
        <f>IF(A1151="","",IFERROR(XLOOKUP(A1151,Tickets[TripKey],Tickets[RouteLen]),0))</f>
        <v/>
      </c>
      <c r="J1151">
        <f>IF(A1151="","",IFERROR(XLOOKUP(A1151,Tickets[TripKey],Tickets[Capacity]),0))</f>
        <v/>
      </c>
      <c r="K1151">
        <f>IF(A1151="","",I1151*J1151)</f>
        <v/>
      </c>
      <c r="L1151">
        <f>IF(A1151="","",IFERROR(MINIFS(Tickets[Trip Start Time],Tickets[TripKey],A1151),""))</f>
        <v/>
      </c>
    </row>
    <row r="1152">
      <c r="B1152" s="8">
        <f>IF(A1152="","",IFERROR(DATEVALUE(TEXTBEFORE(A1152,"|")),--LEFT(A1152,10)))</f>
        <v/>
      </c>
      <c r="C1152">
        <f>IF(A1152="","",TEXTBEFORE(TEXTAFTER(A1152,"|"),"|"))</f>
        <v/>
      </c>
      <c r="D1152">
        <f>IF(A1152="","",TEXTAFTER(A1152,"|",2))</f>
        <v/>
      </c>
      <c r="E1152">
        <f>IF(A1152="","",SUMIF(Tickets[TripKey],A1152,Tickets[TP]))</f>
        <v/>
      </c>
      <c r="F1152">
        <f>IF(A1152="","",SUMIF(Tickets[TripKey],A1152,Tickets[Revenue]))</f>
        <v/>
      </c>
      <c r="G1152">
        <f>IF(A1152="","",SUMIF(Tickets[TripKey],A1152,Tickets[PK]))</f>
        <v/>
      </c>
      <c r="H1152">
        <f>IF(A1152="","",IFERROR(XLOOKUP(A1152,Tickets[TripKey],Tickets[VehClean]),""))</f>
        <v/>
      </c>
      <c r="I1152">
        <f>IF(A1152="","",IFERROR(XLOOKUP(A1152,Tickets[TripKey],Tickets[RouteLen]),0))</f>
        <v/>
      </c>
      <c r="J1152">
        <f>IF(A1152="","",IFERROR(XLOOKUP(A1152,Tickets[TripKey],Tickets[Capacity]),0))</f>
        <v/>
      </c>
      <c r="K1152">
        <f>IF(A1152="","",I1152*J1152)</f>
        <v/>
      </c>
      <c r="L1152">
        <f>IF(A1152="","",IFERROR(MINIFS(Tickets[Trip Start Time],Tickets[TripKey],A1152),""))</f>
        <v/>
      </c>
    </row>
    <row r="1153">
      <c r="B1153" s="8">
        <f>IF(A1153="","",IFERROR(DATEVALUE(TEXTBEFORE(A1153,"|")),--LEFT(A1153,10)))</f>
        <v/>
      </c>
      <c r="C1153">
        <f>IF(A1153="","",TEXTBEFORE(TEXTAFTER(A1153,"|"),"|"))</f>
        <v/>
      </c>
      <c r="D1153">
        <f>IF(A1153="","",TEXTAFTER(A1153,"|",2))</f>
        <v/>
      </c>
      <c r="E1153">
        <f>IF(A1153="","",SUMIF(Tickets[TripKey],A1153,Tickets[TP]))</f>
        <v/>
      </c>
      <c r="F1153">
        <f>IF(A1153="","",SUMIF(Tickets[TripKey],A1153,Tickets[Revenue]))</f>
        <v/>
      </c>
      <c r="G1153">
        <f>IF(A1153="","",SUMIF(Tickets[TripKey],A1153,Tickets[PK]))</f>
        <v/>
      </c>
      <c r="H1153">
        <f>IF(A1153="","",IFERROR(XLOOKUP(A1153,Tickets[TripKey],Tickets[VehClean]),""))</f>
        <v/>
      </c>
      <c r="I1153">
        <f>IF(A1153="","",IFERROR(XLOOKUP(A1153,Tickets[TripKey],Tickets[RouteLen]),0))</f>
        <v/>
      </c>
      <c r="J1153">
        <f>IF(A1153="","",IFERROR(XLOOKUP(A1153,Tickets[TripKey],Tickets[Capacity]),0))</f>
        <v/>
      </c>
      <c r="K1153">
        <f>IF(A1153="","",I1153*J1153)</f>
        <v/>
      </c>
      <c r="L1153">
        <f>IF(A1153="","",IFERROR(MINIFS(Tickets[Trip Start Time],Tickets[TripKey],A1153),""))</f>
        <v/>
      </c>
    </row>
    <row r="1154">
      <c r="B1154" s="8">
        <f>IF(A1154="","",IFERROR(DATEVALUE(TEXTBEFORE(A1154,"|")),--LEFT(A1154,10)))</f>
        <v/>
      </c>
      <c r="C1154">
        <f>IF(A1154="","",TEXTBEFORE(TEXTAFTER(A1154,"|"),"|"))</f>
        <v/>
      </c>
      <c r="D1154">
        <f>IF(A1154="","",TEXTAFTER(A1154,"|",2))</f>
        <v/>
      </c>
      <c r="E1154">
        <f>IF(A1154="","",SUMIF(Tickets[TripKey],A1154,Tickets[TP]))</f>
        <v/>
      </c>
      <c r="F1154">
        <f>IF(A1154="","",SUMIF(Tickets[TripKey],A1154,Tickets[Revenue]))</f>
        <v/>
      </c>
      <c r="G1154">
        <f>IF(A1154="","",SUMIF(Tickets[TripKey],A1154,Tickets[PK]))</f>
        <v/>
      </c>
      <c r="H1154">
        <f>IF(A1154="","",IFERROR(XLOOKUP(A1154,Tickets[TripKey],Tickets[VehClean]),""))</f>
        <v/>
      </c>
      <c r="I1154">
        <f>IF(A1154="","",IFERROR(XLOOKUP(A1154,Tickets[TripKey],Tickets[RouteLen]),0))</f>
        <v/>
      </c>
      <c r="J1154">
        <f>IF(A1154="","",IFERROR(XLOOKUP(A1154,Tickets[TripKey],Tickets[Capacity]),0))</f>
        <v/>
      </c>
      <c r="K1154">
        <f>IF(A1154="","",I1154*J1154)</f>
        <v/>
      </c>
      <c r="L1154">
        <f>IF(A1154="","",IFERROR(MINIFS(Tickets[Trip Start Time],Tickets[TripKey],A1154),""))</f>
        <v/>
      </c>
    </row>
    <row r="1155">
      <c r="B1155" s="8">
        <f>IF(A1155="","",IFERROR(DATEVALUE(TEXTBEFORE(A1155,"|")),--LEFT(A1155,10)))</f>
        <v/>
      </c>
      <c r="C1155">
        <f>IF(A1155="","",TEXTBEFORE(TEXTAFTER(A1155,"|"),"|"))</f>
        <v/>
      </c>
      <c r="D1155">
        <f>IF(A1155="","",TEXTAFTER(A1155,"|",2))</f>
        <v/>
      </c>
      <c r="E1155">
        <f>IF(A1155="","",SUMIF(Tickets[TripKey],A1155,Tickets[TP]))</f>
        <v/>
      </c>
      <c r="F1155">
        <f>IF(A1155="","",SUMIF(Tickets[TripKey],A1155,Tickets[Revenue]))</f>
        <v/>
      </c>
      <c r="G1155">
        <f>IF(A1155="","",SUMIF(Tickets[TripKey],A1155,Tickets[PK]))</f>
        <v/>
      </c>
      <c r="H1155">
        <f>IF(A1155="","",IFERROR(XLOOKUP(A1155,Tickets[TripKey],Tickets[VehClean]),""))</f>
        <v/>
      </c>
      <c r="I1155">
        <f>IF(A1155="","",IFERROR(XLOOKUP(A1155,Tickets[TripKey],Tickets[RouteLen]),0))</f>
        <v/>
      </c>
      <c r="J1155">
        <f>IF(A1155="","",IFERROR(XLOOKUP(A1155,Tickets[TripKey],Tickets[Capacity]),0))</f>
        <v/>
      </c>
      <c r="K1155">
        <f>IF(A1155="","",I1155*J1155)</f>
        <v/>
      </c>
      <c r="L1155">
        <f>IF(A1155="","",IFERROR(MINIFS(Tickets[Trip Start Time],Tickets[TripKey],A1155),""))</f>
        <v/>
      </c>
    </row>
    <row r="1156">
      <c r="B1156" s="8">
        <f>IF(A1156="","",IFERROR(DATEVALUE(TEXTBEFORE(A1156,"|")),--LEFT(A1156,10)))</f>
        <v/>
      </c>
      <c r="C1156">
        <f>IF(A1156="","",TEXTBEFORE(TEXTAFTER(A1156,"|"),"|"))</f>
        <v/>
      </c>
      <c r="D1156">
        <f>IF(A1156="","",TEXTAFTER(A1156,"|",2))</f>
        <v/>
      </c>
      <c r="E1156">
        <f>IF(A1156="","",SUMIF(Tickets[TripKey],A1156,Tickets[TP]))</f>
        <v/>
      </c>
      <c r="F1156">
        <f>IF(A1156="","",SUMIF(Tickets[TripKey],A1156,Tickets[Revenue]))</f>
        <v/>
      </c>
      <c r="G1156">
        <f>IF(A1156="","",SUMIF(Tickets[TripKey],A1156,Tickets[PK]))</f>
        <v/>
      </c>
      <c r="H1156">
        <f>IF(A1156="","",IFERROR(XLOOKUP(A1156,Tickets[TripKey],Tickets[VehClean]),""))</f>
        <v/>
      </c>
      <c r="I1156">
        <f>IF(A1156="","",IFERROR(XLOOKUP(A1156,Tickets[TripKey],Tickets[RouteLen]),0))</f>
        <v/>
      </c>
      <c r="J1156">
        <f>IF(A1156="","",IFERROR(XLOOKUP(A1156,Tickets[TripKey],Tickets[Capacity]),0))</f>
        <v/>
      </c>
      <c r="K1156">
        <f>IF(A1156="","",I1156*J1156)</f>
        <v/>
      </c>
      <c r="L1156">
        <f>IF(A1156="","",IFERROR(MINIFS(Tickets[Trip Start Time],Tickets[TripKey],A1156),""))</f>
        <v/>
      </c>
    </row>
    <row r="1157">
      <c r="B1157" s="8">
        <f>IF(A1157="","",IFERROR(DATEVALUE(TEXTBEFORE(A1157,"|")),--LEFT(A1157,10)))</f>
        <v/>
      </c>
      <c r="C1157">
        <f>IF(A1157="","",TEXTBEFORE(TEXTAFTER(A1157,"|"),"|"))</f>
        <v/>
      </c>
      <c r="D1157">
        <f>IF(A1157="","",TEXTAFTER(A1157,"|",2))</f>
        <v/>
      </c>
      <c r="E1157">
        <f>IF(A1157="","",SUMIF(Tickets[TripKey],A1157,Tickets[TP]))</f>
        <v/>
      </c>
      <c r="F1157">
        <f>IF(A1157="","",SUMIF(Tickets[TripKey],A1157,Tickets[Revenue]))</f>
        <v/>
      </c>
      <c r="G1157">
        <f>IF(A1157="","",SUMIF(Tickets[TripKey],A1157,Tickets[PK]))</f>
        <v/>
      </c>
      <c r="H1157">
        <f>IF(A1157="","",IFERROR(XLOOKUP(A1157,Tickets[TripKey],Tickets[VehClean]),""))</f>
        <v/>
      </c>
      <c r="I1157">
        <f>IF(A1157="","",IFERROR(XLOOKUP(A1157,Tickets[TripKey],Tickets[RouteLen]),0))</f>
        <v/>
      </c>
      <c r="J1157">
        <f>IF(A1157="","",IFERROR(XLOOKUP(A1157,Tickets[TripKey],Tickets[Capacity]),0))</f>
        <v/>
      </c>
      <c r="K1157">
        <f>IF(A1157="","",I1157*J1157)</f>
        <v/>
      </c>
      <c r="L1157">
        <f>IF(A1157="","",IFERROR(MINIFS(Tickets[Trip Start Time],Tickets[TripKey],A1157),""))</f>
        <v/>
      </c>
    </row>
    <row r="1158">
      <c r="B1158" s="8">
        <f>IF(A1158="","",IFERROR(DATEVALUE(TEXTBEFORE(A1158,"|")),--LEFT(A1158,10)))</f>
        <v/>
      </c>
      <c r="C1158">
        <f>IF(A1158="","",TEXTBEFORE(TEXTAFTER(A1158,"|"),"|"))</f>
        <v/>
      </c>
      <c r="D1158">
        <f>IF(A1158="","",TEXTAFTER(A1158,"|",2))</f>
        <v/>
      </c>
      <c r="E1158">
        <f>IF(A1158="","",SUMIF(Tickets[TripKey],A1158,Tickets[TP]))</f>
        <v/>
      </c>
      <c r="F1158">
        <f>IF(A1158="","",SUMIF(Tickets[TripKey],A1158,Tickets[Revenue]))</f>
        <v/>
      </c>
      <c r="G1158">
        <f>IF(A1158="","",SUMIF(Tickets[TripKey],A1158,Tickets[PK]))</f>
        <v/>
      </c>
      <c r="H1158">
        <f>IF(A1158="","",IFERROR(XLOOKUP(A1158,Tickets[TripKey],Tickets[VehClean]),""))</f>
        <v/>
      </c>
      <c r="I1158">
        <f>IF(A1158="","",IFERROR(XLOOKUP(A1158,Tickets[TripKey],Tickets[RouteLen]),0))</f>
        <v/>
      </c>
      <c r="J1158">
        <f>IF(A1158="","",IFERROR(XLOOKUP(A1158,Tickets[TripKey],Tickets[Capacity]),0))</f>
        <v/>
      </c>
      <c r="K1158">
        <f>IF(A1158="","",I1158*J1158)</f>
        <v/>
      </c>
      <c r="L1158">
        <f>IF(A1158="","",IFERROR(MINIFS(Tickets[Trip Start Time],Tickets[TripKey],A1158),""))</f>
        <v/>
      </c>
    </row>
    <row r="1159">
      <c r="B1159" s="8">
        <f>IF(A1159="","",IFERROR(DATEVALUE(TEXTBEFORE(A1159,"|")),--LEFT(A1159,10)))</f>
        <v/>
      </c>
      <c r="C1159">
        <f>IF(A1159="","",TEXTBEFORE(TEXTAFTER(A1159,"|"),"|"))</f>
        <v/>
      </c>
      <c r="D1159">
        <f>IF(A1159="","",TEXTAFTER(A1159,"|",2))</f>
        <v/>
      </c>
      <c r="E1159">
        <f>IF(A1159="","",SUMIF(Tickets[TripKey],A1159,Tickets[TP]))</f>
        <v/>
      </c>
      <c r="F1159">
        <f>IF(A1159="","",SUMIF(Tickets[TripKey],A1159,Tickets[Revenue]))</f>
        <v/>
      </c>
      <c r="G1159">
        <f>IF(A1159="","",SUMIF(Tickets[TripKey],A1159,Tickets[PK]))</f>
        <v/>
      </c>
      <c r="H1159">
        <f>IF(A1159="","",IFERROR(XLOOKUP(A1159,Tickets[TripKey],Tickets[VehClean]),""))</f>
        <v/>
      </c>
      <c r="I1159">
        <f>IF(A1159="","",IFERROR(XLOOKUP(A1159,Tickets[TripKey],Tickets[RouteLen]),0))</f>
        <v/>
      </c>
      <c r="J1159">
        <f>IF(A1159="","",IFERROR(XLOOKUP(A1159,Tickets[TripKey],Tickets[Capacity]),0))</f>
        <v/>
      </c>
      <c r="K1159">
        <f>IF(A1159="","",I1159*J1159)</f>
        <v/>
      </c>
      <c r="L1159">
        <f>IF(A1159="","",IFERROR(MINIFS(Tickets[Trip Start Time],Tickets[TripKey],A1159),""))</f>
        <v/>
      </c>
    </row>
    <row r="1160">
      <c r="B1160" s="8">
        <f>IF(A1160="","",IFERROR(DATEVALUE(TEXTBEFORE(A1160,"|")),--LEFT(A1160,10)))</f>
        <v/>
      </c>
      <c r="C1160">
        <f>IF(A1160="","",TEXTBEFORE(TEXTAFTER(A1160,"|"),"|"))</f>
        <v/>
      </c>
      <c r="D1160">
        <f>IF(A1160="","",TEXTAFTER(A1160,"|",2))</f>
        <v/>
      </c>
      <c r="E1160">
        <f>IF(A1160="","",SUMIF(Tickets[TripKey],A1160,Tickets[TP]))</f>
        <v/>
      </c>
      <c r="F1160">
        <f>IF(A1160="","",SUMIF(Tickets[TripKey],A1160,Tickets[Revenue]))</f>
        <v/>
      </c>
      <c r="G1160">
        <f>IF(A1160="","",SUMIF(Tickets[TripKey],A1160,Tickets[PK]))</f>
        <v/>
      </c>
      <c r="H1160">
        <f>IF(A1160="","",IFERROR(XLOOKUP(A1160,Tickets[TripKey],Tickets[VehClean]),""))</f>
        <v/>
      </c>
      <c r="I1160">
        <f>IF(A1160="","",IFERROR(XLOOKUP(A1160,Tickets[TripKey],Tickets[RouteLen]),0))</f>
        <v/>
      </c>
      <c r="J1160">
        <f>IF(A1160="","",IFERROR(XLOOKUP(A1160,Tickets[TripKey],Tickets[Capacity]),0))</f>
        <v/>
      </c>
      <c r="K1160">
        <f>IF(A1160="","",I1160*J1160)</f>
        <v/>
      </c>
      <c r="L1160">
        <f>IF(A1160="","",IFERROR(MINIFS(Tickets[Trip Start Time],Tickets[TripKey],A1160),""))</f>
        <v/>
      </c>
    </row>
    <row r="1161">
      <c r="B1161" s="8">
        <f>IF(A1161="","",IFERROR(DATEVALUE(TEXTBEFORE(A1161,"|")),--LEFT(A1161,10)))</f>
        <v/>
      </c>
      <c r="C1161">
        <f>IF(A1161="","",TEXTBEFORE(TEXTAFTER(A1161,"|"),"|"))</f>
        <v/>
      </c>
      <c r="D1161">
        <f>IF(A1161="","",TEXTAFTER(A1161,"|",2))</f>
        <v/>
      </c>
      <c r="E1161">
        <f>IF(A1161="","",SUMIF(Tickets[TripKey],A1161,Tickets[TP]))</f>
        <v/>
      </c>
      <c r="F1161">
        <f>IF(A1161="","",SUMIF(Tickets[TripKey],A1161,Tickets[Revenue]))</f>
        <v/>
      </c>
      <c r="G1161">
        <f>IF(A1161="","",SUMIF(Tickets[TripKey],A1161,Tickets[PK]))</f>
        <v/>
      </c>
      <c r="H1161">
        <f>IF(A1161="","",IFERROR(XLOOKUP(A1161,Tickets[TripKey],Tickets[VehClean]),""))</f>
        <v/>
      </c>
      <c r="I1161">
        <f>IF(A1161="","",IFERROR(XLOOKUP(A1161,Tickets[TripKey],Tickets[RouteLen]),0))</f>
        <v/>
      </c>
      <c r="J1161">
        <f>IF(A1161="","",IFERROR(XLOOKUP(A1161,Tickets[TripKey],Tickets[Capacity]),0))</f>
        <v/>
      </c>
      <c r="K1161">
        <f>IF(A1161="","",I1161*J1161)</f>
        <v/>
      </c>
      <c r="L1161">
        <f>IF(A1161="","",IFERROR(MINIFS(Tickets[Trip Start Time],Tickets[TripKey],A1161),""))</f>
        <v/>
      </c>
    </row>
    <row r="1162">
      <c r="B1162" s="8">
        <f>IF(A1162="","",IFERROR(DATEVALUE(TEXTBEFORE(A1162,"|")),--LEFT(A1162,10)))</f>
        <v/>
      </c>
      <c r="C1162">
        <f>IF(A1162="","",TEXTBEFORE(TEXTAFTER(A1162,"|"),"|"))</f>
        <v/>
      </c>
      <c r="D1162">
        <f>IF(A1162="","",TEXTAFTER(A1162,"|",2))</f>
        <v/>
      </c>
      <c r="E1162">
        <f>IF(A1162="","",SUMIF(Tickets[TripKey],A1162,Tickets[TP]))</f>
        <v/>
      </c>
      <c r="F1162">
        <f>IF(A1162="","",SUMIF(Tickets[TripKey],A1162,Tickets[Revenue]))</f>
        <v/>
      </c>
      <c r="G1162">
        <f>IF(A1162="","",SUMIF(Tickets[TripKey],A1162,Tickets[PK]))</f>
        <v/>
      </c>
      <c r="H1162">
        <f>IF(A1162="","",IFERROR(XLOOKUP(A1162,Tickets[TripKey],Tickets[VehClean]),""))</f>
        <v/>
      </c>
      <c r="I1162">
        <f>IF(A1162="","",IFERROR(XLOOKUP(A1162,Tickets[TripKey],Tickets[RouteLen]),0))</f>
        <v/>
      </c>
      <c r="J1162">
        <f>IF(A1162="","",IFERROR(XLOOKUP(A1162,Tickets[TripKey],Tickets[Capacity]),0))</f>
        <v/>
      </c>
      <c r="K1162">
        <f>IF(A1162="","",I1162*J1162)</f>
        <v/>
      </c>
      <c r="L1162">
        <f>IF(A1162="","",IFERROR(MINIFS(Tickets[Trip Start Time],Tickets[TripKey],A1162),""))</f>
        <v/>
      </c>
    </row>
    <row r="1163">
      <c r="B1163" s="8">
        <f>IF(A1163="","",IFERROR(DATEVALUE(TEXTBEFORE(A1163,"|")),--LEFT(A1163,10)))</f>
        <v/>
      </c>
      <c r="C1163">
        <f>IF(A1163="","",TEXTBEFORE(TEXTAFTER(A1163,"|"),"|"))</f>
        <v/>
      </c>
      <c r="D1163">
        <f>IF(A1163="","",TEXTAFTER(A1163,"|",2))</f>
        <v/>
      </c>
      <c r="E1163">
        <f>IF(A1163="","",SUMIF(Tickets[TripKey],A1163,Tickets[TP]))</f>
        <v/>
      </c>
      <c r="F1163">
        <f>IF(A1163="","",SUMIF(Tickets[TripKey],A1163,Tickets[Revenue]))</f>
        <v/>
      </c>
      <c r="G1163">
        <f>IF(A1163="","",SUMIF(Tickets[TripKey],A1163,Tickets[PK]))</f>
        <v/>
      </c>
      <c r="H1163">
        <f>IF(A1163="","",IFERROR(XLOOKUP(A1163,Tickets[TripKey],Tickets[VehClean]),""))</f>
        <v/>
      </c>
      <c r="I1163">
        <f>IF(A1163="","",IFERROR(XLOOKUP(A1163,Tickets[TripKey],Tickets[RouteLen]),0))</f>
        <v/>
      </c>
      <c r="J1163">
        <f>IF(A1163="","",IFERROR(XLOOKUP(A1163,Tickets[TripKey],Tickets[Capacity]),0))</f>
        <v/>
      </c>
      <c r="K1163">
        <f>IF(A1163="","",I1163*J1163)</f>
        <v/>
      </c>
      <c r="L1163">
        <f>IF(A1163="","",IFERROR(MINIFS(Tickets[Trip Start Time],Tickets[TripKey],A1163),""))</f>
        <v/>
      </c>
    </row>
    <row r="1164">
      <c r="B1164" s="8">
        <f>IF(A1164="","",IFERROR(DATEVALUE(TEXTBEFORE(A1164,"|")),--LEFT(A1164,10)))</f>
        <v/>
      </c>
      <c r="C1164">
        <f>IF(A1164="","",TEXTBEFORE(TEXTAFTER(A1164,"|"),"|"))</f>
        <v/>
      </c>
      <c r="D1164">
        <f>IF(A1164="","",TEXTAFTER(A1164,"|",2))</f>
        <v/>
      </c>
      <c r="E1164">
        <f>IF(A1164="","",SUMIF(Tickets[TripKey],A1164,Tickets[TP]))</f>
        <v/>
      </c>
      <c r="F1164">
        <f>IF(A1164="","",SUMIF(Tickets[TripKey],A1164,Tickets[Revenue]))</f>
        <v/>
      </c>
      <c r="G1164">
        <f>IF(A1164="","",SUMIF(Tickets[TripKey],A1164,Tickets[PK]))</f>
        <v/>
      </c>
      <c r="H1164">
        <f>IF(A1164="","",IFERROR(XLOOKUP(A1164,Tickets[TripKey],Tickets[VehClean]),""))</f>
        <v/>
      </c>
      <c r="I1164">
        <f>IF(A1164="","",IFERROR(XLOOKUP(A1164,Tickets[TripKey],Tickets[RouteLen]),0))</f>
        <v/>
      </c>
      <c r="J1164">
        <f>IF(A1164="","",IFERROR(XLOOKUP(A1164,Tickets[TripKey],Tickets[Capacity]),0))</f>
        <v/>
      </c>
      <c r="K1164">
        <f>IF(A1164="","",I1164*J1164)</f>
        <v/>
      </c>
      <c r="L1164">
        <f>IF(A1164="","",IFERROR(MINIFS(Tickets[Trip Start Time],Tickets[TripKey],A1164),""))</f>
        <v/>
      </c>
    </row>
    <row r="1165">
      <c r="B1165" s="8">
        <f>IF(A1165="","",IFERROR(DATEVALUE(TEXTBEFORE(A1165,"|")),--LEFT(A1165,10)))</f>
        <v/>
      </c>
      <c r="C1165">
        <f>IF(A1165="","",TEXTBEFORE(TEXTAFTER(A1165,"|"),"|"))</f>
        <v/>
      </c>
      <c r="D1165">
        <f>IF(A1165="","",TEXTAFTER(A1165,"|",2))</f>
        <v/>
      </c>
      <c r="E1165">
        <f>IF(A1165="","",SUMIF(Tickets[TripKey],A1165,Tickets[TP]))</f>
        <v/>
      </c>
      <c r="F1165">
        <f>IF(A1165="","",SUMIF(Tickets[TripKey],A1165,Tickets[Revenue]))</f>
        <v/>
      </c>
      <c r="G1165">
        <f>IF(A1165="","",SUMIF(Tickets[TripKey],A1165,Tickets[PK]))</f>
        <v/>
      </c>
      <c r="H1165">
        <f>IF(A1165="","",IFERROR(XLOOKUP(A1165,Tickets[TripKey],Tickets[VehClean]),""))</f>
        <v/>
      </c>
      <c r="I1165">
        <f>IF(A1165="","",IFERROR(XLOOKUP(A1165,Tickets[TripKey],Tickets[RouteLen]),0))</f>
        <v/>
      </c>
      <c r="J1165">
        <f>IF(A1165="","",IFERROR(XLOOKUP(A1165,Tickets[TripKey],Tickets[Capacity]),0))</f>
        <v/>
      </c>
      <c r="K1165">
        <f>IF(A1165="","",I1165*J1165)</f>
        <v/>
      </c>
      <c r="L1165">
        <f>IF(A1165="","",IFERROR(MINIFS(Tickets[Trip Start Time],Tickets[TripKey],A1165),""))</f>
        <v/>
      </c>
    </row>
    <row r="1166">
      <c r="B1166" s="8">
        <f>IF(A1166="","",IFERROR(DATEVALUE(TEXTBEFORE(A1166,"|")),--LEFT(A1166,10)))</f>
        <v/>
      </c>
      <c r="C1166">
        <f>IF(A1166="","",TEXTBEFORE(TEXTAFTER(A1166,"|"),"|"))</f>
        <v/>
      </c>
      <c r="D1166">
        <f>IF(A1166="","",TEXTAFTER(A1166,"|",2))</f>
        <v/>
      </c>
      <c r="E1166">
        <f>IF(A1166="","",SUMIF(Tickets[TripKey],A1166,Tickets[TP]))</f>
        <v/>
      </c>
      <c r="F1166">
        <f>IF(A1166="","",SUMIF(Tickets[TripKey],A1166,Tickets[Revenue]))</f>
        <v/>
      </c>
      <c r="G1166">
        <f>IF(A1166="","",SUMIF(Tickets[TripKey],A1166,Tickets[PK]))</f>
        <v/>
      </c>
      <c r="H1166">
        <f>IF(A1166="","",IFERROR(XLOOKUP(A1166,Tickets[TripKey],Tickets[VehClean]),""))</f>
        <v/>
      </c>
      <c r="I1166">
        <f>IF(A1166="","",IFERROR(XLOOKUP(A1166,Tickets[TripKey],Tickets[RouteLen]),0))</f>
        <v/>
      </c>
      <c r="J1166">
        <f>IF(A1166="","",IFERROR(XLOOKUP(A1166,Tickets[TripKey],Tickets[Capacity]),0))</f>
        <v/>
      </c>
      <c r="K1166">
        <f>IF(A1166="","",I1166*J1166)</f>
        <v/>
      </c>
      <c r="L1166">
        <f>IF(A1166="","",IFERROR(MINIFS(Tickets[Trip Start Time],Tickets[TripKey],A1166),""))</f>
        <v/>
      </c>
    </row>
    <row r="1167">
      <c r="B1167" s="8">
        <f>IF(A1167="","",IFERROR(DATEVALUE(TEXTBEFORE(A1167,"|")),--LEFT(A1167,10)))</f>
        <v/>
      </c>
      <c r="C1167">
        <f>IF(A1167="","",TEXTBEFORE(TEXTAFTER(A1167,"|"),"|"))</f>
        <v/>
      </c>
      <c r="D1167">
        <f>IF(A1167="","",TEXTAFTER(A1167,"|",2))</f>
        <v/>
      </c>
      <c r="E1167">
        <f>IF(A1167="","",SUMIF(Tickets[TripKey],A1167,Tickets[TP]))</f>
        <v/>
      </c>
      <c r="F1167">
        <f>IF(A1167="","",SUMIF(Tickets[TripKey],A1167,Tickets[Revenue]))</f>
        <v/>
      </c>
      <c r="G1167">
        <f>IF(A1167="","",SUMIF(Tickets[TripKey],A1167,Tickets[PK]))</f>
        <v/>
      </c>
      <c r="H1167">
        <f>IF(A1167="","",IFERROR(XLOOKUP(A1167,Tickets[TripKey],Tickets[VehClean]),""))</f>
        <v/>
      </c>
      <c r="I1167">
        <f>IF(A1167="","",IFERROR(XLOOKUP(A1167,Tickets[TripKey],Tickets[RouteLen]),0))</f>
        <v/>
      </c>
      <c r="J1167">
        <f>IF(A1167="","",IFERROR(XLOOKUP(A1167,Tickets[TripKey],Tickets[Capacity]),0))</f>
        <v/>
      </c>
      <c r="K1167">
        <f>IF(A1167="","",I1167*J1167)</f>
        <v/>
      </c>
      <c r="L1167">
        <f>IF(A1167="","",IFERROR(MINIFS(Tickets[Trip Start Time],Tickets[TripKey],A1167),""))</f>
        <v/>
      </c>
    </row>
    <row r="1168">
      <c r="B1168" s="8">
        <f>IF(A1168="","",IFERROR(DATEVALUE(TEXTBEFORE(A1168,"|")),--LEFT(A1168,10)))</f>
        <v/>
      </c>
      <c r="C1168">
        <f>IF(A1168="","",TEXTBEFORE(TEXTAFTER(A1168,"|"),"|"))</f>
        <v/>
      </c>
      <c r="D1168">
        <f>IF(A1168="","",TEXTAFTER(A1168,"|",2))</f>
        <v/>
      </c>
      <c r="E1168">
        <f>IF(A1168="","",SUMIF(Tickets[TripKey],A1168,Tickets[TP]))</f>
        <v/>
      </c>
      <c r="F1168">
        <f>IF(A1168="","",SUMIF(Tickets[TripKey],A1168,Tickets[Revenue]))</f>
        <v/>
      </c>
      <c r="G1168">
        <f>IF(A1168="","",SUMIF(Tickets[TripKey],A1168,Tickets[PK]))</f>
        <v/>
      </c>
      <c r="H1168">
        <f>IF(A1168="","",IFERROR(XLOOKUP(A1168,Tickets[TripKey],Tickets[VehClean]),""))</f>
        <v/>
      </c>
      <c r="I1168">
        <f>IF(A1168="","",IFERROR(XLOOKUP(A1168,Tickets[TripKey],Tickets[RouteLen]),0))</f>
        <v/>
      </c>
      <c r="J1168">
        <f>IF(A1168="","",IFERROR(XLOOKUP(A1168,Tickets[TripKey],Tickets[Capacity]),0))</f>
        <v/>
      </c>
      <c r="K1168">
        <f>IF(A1168="","",I1168*J1168)</f>
        <v/>
      </c>
      <c r="L1168">
        <f>IF(A1168="","",IFERROR(MINIFS(Tickets[Trip Start Time],Tickets[TripKey],A1168),""))</f>
        <v/>
      </c>
    </row>
    <row r="1169">
      <c r="B1169" s="8">
        <f>IF(A1169="","",IFERROR(DATEVALUE(TEXTBEFORE(A1169,"|")),--LEFT(A1169,10)))</f>
        <v/>
      </c>
      <c r="C1169">
        <f>IF(A1169="","",TEXTBEFORE(TEXTAFTER(A1169,"|"),"|"))</f>
        <v/>
      </c>
      <c r="D1169">
        <f>IF(A1169="","",TEXTAFTER(A1169,"|",2))</f>
        <v/>
      </c>
      <c r="E1169">
        <f>IF(A1169="","",SUMIF(Tickets[TripKey],A1169,Tickets[TP]))</f>
        <v/>
      </c>
      <c r="F1169">
        <f>IF(A1169="","",SUMIF(Tickets[TripKey],A1169,Tickets[Revenue]))</f>
        <v/>
      </c>
      <c r="G1169">
        <f>IF(A1169="","",SUMIF(Tickets[TripKey],A1169,Tickets[PK]))</f>
        <v/>
      </c>
      <c r="H1169">
        <f>IF(A1169="","",IFERROR(XLOOKUP(A1169,Tickets[TripKey],Tickets[VehClean]),""))</f>
        <v/>
      </c>
      <c r="I1169">
        <f>IF(A1169="","",IFERROR(XLOOKUP(A1169,Tickets[TripKey],Tickets[RouteLen]),0))</f>
        <v/>
      </c>
      <c r="J1169">
        <f>IF(A1169="","",IFERROR(XLOOKUP(A1169,Tickets[TripKey],Tickets[Capacity]),0))</f>
        <v/>
      </c>
      <c r="K1169">
        <f>IF(A1169="","",I1169*J1169)</f>
        <v/>
      </c>
      <c r="L1169">
        <f>IF(A1169="","",IFERROR(MINIFS(Tickets[Trip Start Time],Tickets[TripKey],A1169),""))</f>
        <v/>
      </c>
    </row>
    <row r="1170">
      <c r="B1170" s="8">
        <f>IF(A1170="","",IFERROR(DATEVALUE(TEXTBEFORE(A1170,"|")),--LEFT(A1170,10)))</f>
        <v/>
      </c>
      <c r="C1170">
        <f>IF(A1170="","",TEXTBEFORE(TEXTAFTER(A1170,"|"),"|"))</f>
        <v/>
      </c>
      <c r="D1170">
        <f>IF(A1170="","",TEXTAFTER(A1170,"|",2))</f>
        <v/>
      </c>
      <c r="E1170">
        <f>IF(A1170="","",SUMIF(Tickets[TripKey],A1170,Tickets[TP]))</f>
        <v/>
      </c>
      <c r="F1170">
        <f>IF(A1170="","",SUMIF(Tickets[TripKey],A1170,Tickets[Revenue]))</f>
        <v/>
      </c>
      <c r="G1170">
        <f>IF(A1170="","",SUMIF(Tickets[TripKey],A1170,Tickets[PK]))</f>
        <v/>
      </c>
      <c r="H1170">
        <f>IF(A1170="","",IFERROR(XLOOKUP(A1170,Tickets[TripKey],Tickets[VehClean]),""))</f>
        <v/>
      </c>
      <c r="I1170">
        <f>IF(A1170="","",IFERROR(XLOOKUP(A1170,Tickets[TripKey],Tickets[RouteLen]),0))</f>
        <v/>
      </c>
      <c r="J1170">
        <f>IF(A1170="","",IFERROR(XLOOKUP(A1170,Tickets[TripKey],Tickets[Capacity]),0))</f>
        <v/>
      </c>
      <c r="K1170">
        <f>IF(A1170="","",I1170*J1170)</f>
        <v/>
      </c>
      <c r="L1170">
        <f>IF(A1170="","",IFERROR(MINIFS(Tickets[Trip Start Time],Tickets[TripKey],A1170),""))</f>
        <v/>
      </c>
    </row>
    <row r="1171">
      <c r="B1171" s="8">
        <f>IF(A1171="","",IFERROR(DATEVALUE(TEXTBEFORE(A1171,"|")),--LEFT(A1171,10)))</f>
        <v/>
      </c>
      <c r="C1171">
        <f>IF(A1171="","",TEXTBEFORE(TEXTAFTER(A1171,"|"),"|"))</f>
        <v/>
      </c>
      <c r="D1171">
        <f>IF(A1171="","",TEXTAFTER(A1171,"|",2))</f>
        <v/>
      </c>
      <c r="E1171">
        <f>IF(A1171="","",SUMIF(Tickets[TripKey],A1171,Tickets[TP]))</f>
        <v/>
      </c>
      <c r="F1171">
        <f>IF(A1171="","",SUMIF(Tickets[TripKey],A1171,Tickets[Revenue]))</f>
        <v/>
      </c>
      <c r="G1171">
        <f>IF(A1171="","",SUMIF(Tickets[TripKey],A1171,Tickets[PK]))</f>
        <v/>
      </c>
      <c r="H1171">
        <f>IF(A1171="","",IFERROR(XLOOKUP(A1171,Tickets[TripKey],Tickets[VehClean]),""))</f>
        <v/>
      </c>
      <c r="I1171">
        <f>IF(A1171="","",IFERROR(XLOOKUP(A1171,Tickets[TripKey],Tickets[RouteLen]),0))</f>
        <v/>
      </c>
      <c r="J1171">
        <f>IF(A1171="","",IFERROR(XLOOKUP(A1171,Tickets[TripKey],Tickets[Capacity]),0))</f>
        <v/>
      </c>
      <c r="K1171">
        <f>IF(A1171="","",I1171*J1171)</f>
        <v/>
      </c>
      <c r="L1171">
        <f>IF(A1171="","",IFERROR(MINIFS(Tickets[Trip Start Time],Tickets[TripKey],A1171),""))</f>
        <v/>
      </c>
    </row>
    <row r="1172">
      <c r="B1172" s="8">
        <f>IF(A1172="","",IFERROR(DATEVALUE(TEXTBEFORE(A1172,"|")),--LEFT(A1172,10)))</f>
        <v/>
      </c>
      <c r="C1172">
        <f>IF(A1172="","",TEXTBEFORE(TEXTAFTER(A1172,"|"),"|"))</f>
        <v/>
      </c>
      <c r="D1172">
        <f>IF(A1172="","",TEXTAFTER(A1172,"|",2))</f>
        <v/>
      </c>
      <c r="E1172">
        <f>IF(A1172="","",SUMIF(Tickets[TripKey],A1172,Tickets[TP]))</f>
        <v/>
      </c>
      <c r="F1172">
        <f>IF(A1172="","",SUMIF(Tickets[TripKey],A1172,Tickets[Revenue]))</f>
        <v/>
      </c>
      <c r="G1172">
        <f>IF(A1172="","",SUMIF(Tickets[TripKey],A1172,Tickets[PK]))</f>
        <v/>
      </c>
      <c r="H1172">
        <f>IF(A1172="","",IFERROR(XLOOKUP(A1172,Tickets[TripKey],Tickets[VehClean]),""))</f>
        <v/>
      </c>
      <c r="I1172">
        <f>IF(A1172="","",IFERROR(XLOOKUP(A1172,Tickets[TripKey],Tickets[RouteLen]),0))</f>
        <v/>
      </c>
      <c r="J1172">
        <f>IF(A1172="","",IFERROR(XLOOKUP(A1172,Tickets[TripKey],Tickets[Capacity]),0))</f>
        <v/>
      </c>
      <c r="K1172">
        <f>IF(A1172="","",I1172*J1172)</f>
        <v/>
      </c>
      <c r="L1172">
        <f>IF(A1172="","",IFERROR(MINIFS(Tickets[Trip Start Time],Tickets[TripKey],A1172),""))</f>
        <v/>
      </c>
    </row>
    <row r="1173">
      <c r="B1173" s="8">
        <f>IF(A1173="","",IFERROR(DATEVALUE(TEXTBEFORE(A1173,"|")),--LEFT(A1173,10)))</f>
        <v/>
      </c>
      <c r="C1173">
        <f>IF(A1173="","",TEXTBEFORE(TEXTAFTER(A1173,"|"),"|"))</f>
        <v/>
      </c>
      <c r="D1173">
        <f>IF(A1173="","",TEXTAFTER(A1173,"|",2))</f>
        <v/>
      </c>
      <c r="E1173">
        <f>IF(A1173="","",SUMIF(Tickets[TripKey],A1173,Tickets[TP]))</f>
        <v/>
      </c>
      <c r="F1173">
        <f>IF(A1173="","",SUMIF(Tickets[TripKey],A1173,Tickets[Revenue]))</f>
        <v/>
      </c>
      <c r="G1173">
        <f>IF(A1173="","",SUMIF(Tickets[TripKey],A1173,Tickets[PK]))</f>
        <v/>
      </c>
      <c r="H1173">
        <f>IF(A1173="","",IFERROR(XLOOKUP(A1173,Tickets[TripKey],Tickets[VehClean]),""))</f>
        <v/>
      </c>
      <c r="I1173">
        <f>IF(A1173="","",IFERROR(XLOOKUP(A1173,Tickets[TripKey],Tickets[RouteLen]),0))</f>
        <v/>
      </c>
      <c r="J1173">
        <f>IF(A1173="","",IFERROR(XLOOKUP(A1173,Tickets[TripKey],Tickets[Capacity]),0))</f>
        <v/>
      </c>
      <c r="K1173">
        <f>IF(A1173="","",I1173*J1173)</f>
        <v/>
      </c>
      <c r="L1173">
        <f>IF(A1173="","",IFERROR(MINIFS(Tickets[Trip Start Time],Tickets[TripKey],A1173),""))</f>
        <v/>
      </c>
    </row>
    <row r="1174">
      <c r="B1174" s="8">
        <f>IF(A1174="","",IFERROR(DATEVALUE(TEXTBEFORE(A1174,"|")),--LEFT(A1174,10)))</f>
        <v/>
      </c>
      <c r="C1174">
        <f>IF(A1174="","",TEXTBEFORE(TEXTAFTER(A1174,"|"),"|"))</f>
        <v/>
      </c>
      <c r="D1174">
        <f>IF(A1174="","",TEXTAFTER(A1174,"|",2))</f>
        <v/>
      </c>
      <c r="E1174">
        <f>IF(A1174="","",SUMIF(Tickets[TripKey],A1174,Tickets[TP]))</f>
        <v/>
      </c>
      <c r="F1174">
        <f>IF(A1174="","",SUMIF(Tickets[TripKey],A1174,Tickets[Revenue]))</f>
        <v/>
      </c>
      <c r="G1174">
        <f>IF(A1174="","",SUMIF(Tickets[TripKey],A1174,Tickets[PK]))</f>
        <v/>
      </c>
      <c r="H1174">
        <f>IF(A1174="","",IFERROR(XLOOKUP(A1174,Tickets[TripKey],Tickets[VehClean]),""))</f>
        <v/>
      </c>
      <c r="I1174">
        <f>IF(A1174="","",IFERROR(XLOOKUP(A1174,Tickets[TripKey],Tickets[RouteLen]),0))</f>
        <v/>
      </c>
      <c r="J1174">
        <f>IF(A1174="","",IFERROR(XLOOKUP(A1174,Tickets[TripKey],Tickets[Capacity]),0))</f>
        <v/>
      </c>
      <c r="K1174">
        <f>IF(A1174="","",I1174*J1174)</f>
        <v/>
      </c>
      <c r="L1174">
        <f>IF(A1174="","",IFERROR(MINIFS(Tickets[Trip Start Time],Tickets[TripKey],A1174),""))</f>
        <v/>
      </c>
    </row>
    <row r="1175">
      <c r="B1175" s="8">
        <f>IF(A1175="","",IFERROR(DATEVALUE(TEXTBEFORE(A1175,"|")),--LEFT(A1175,10)))</f>
        <v/>
      </c>
      <c r="C1175">
        <f>IF(A1175="","",TEXTBEFORE(TEXTAFTER(A1175,"|"),"|"))</f>
        <v/>
      </c>
      <c r="D1175">
        <f>IF(A1175="","",TEXTAFTER(A1175,"|",2))</f>
        <v/>
      </c>
      <c r="E1175">
        <f>IF(A1175="","",SUMIF(Tickets[TripKey],A1175,Tickets[TP]))</f>
        <v/>
      </c>
      <c r="F1175">
        <f>IF(A1175="","",SUMIF(Tickets[TripKey],A1175,Tickets[Revenue]))</f>
        <v/>
      </c>
      <c r="G1175">
        <f>IF(A1175="","",SUMIF(Tickets[TripKey],A1175,Tickets[PK]))</f>
        <v/>
      </c>
      <c r="H1175">
        <f>IF(A1175="","",IFERROR(XLOOKUP(A1175,Tickets[TripKey],Tickets[VehClean]),""))</f>
        <v/>
      </c>
      <c r="I1175">
        <f>IF(A1175="","",IFERROR(XLOOKUP(A1175,Tickets[TripKey],Tickets[RouteLen]),0))</f>
        <v/>
      </c>
      <c r="J1175">
        <f>IF(A1175="","",IFERROR(XLOOKUP(A1175,Tickets[TripKey],Tickets[Capacity]),0))</f>
        <v/>
      </c>
      <c r="K1175">
        <f>IF(A1175="","",I1175*J1175)</f>
        <v/>
      </c>
      <c r="L1175">
        <f>IF(A1175="","",IFERROR(MINIFS(Tickets[Trip Start Time],Tickets[TripKey],A1175),""))</f>
        <v/>
      </c>
    </row>
    <row r="1176">
      <c r="B1176" s="8">
        <f>IF(A1176="","",IFERROR(DATEVALUE(TEXTBEFORE(A1176,"|")),--LEFT(A1176,10)))</f>
        <v/>
      </c>
      <c r="C1176">
        <f>IF(A1176="","",TEXTBEFORE(TEXTAFTER(A1176,"|"),"|"))</f>
        <v/>
      </c>
      <c r="D1176">
        <f>IF(A1176="","",TEXTAFTER(A1176,"|",2))</f>
        <v/>
      </c>
      <c r="E1176">
        <f>IF(A1176="","",SUMIF(Tickets[TripKey],A1176,Tickets[TP]))</f>
        <v/>
      </c>
      <c r="F1176">
        <f>IF(A1176="","",SUMIF(Tickets[TripKey],A1176,Tickets[Revenue]))</f>
        <v/>
      </c>
      <c r="G1176">
        <f>IF(A1176="","",SUMIF(Tickets[TripKey],A1176,Tickets[PK]))</f>
        <v/>
      </c>
      <c r="H1176">
        <f>IF(A1176="","",IFERROR(XLOOKUP(A1176,Tickets[TripKey],Tickets[VehClean]),""))</f>
        <v/>
      </c>
      <c r="I1176">
        <f>IF(A1176="","",IFERROR(XLOOKUP(A1176,Tickets[TripKey],Tickets[RouteLen]),0))</f>
        <v/>
      </c>
      <c r="J1176">
        <f>IF(A1176="","",IFERROR(XLOOKUP(A1176,Tickets[TripKey],Tickets[Capacity]),0))</f>
        <v/>
      </c>
      <c r="K1176">
        <f>IF(A1176="","",I1176*J1176)</f>
        <v/>
      </c>
      <c r="L1176">
        <f>IF(A1176="","",IFERROR(MINIFS(Tickets[Trip Start Time],Tickets[TripKey],A1176),""))</f>
        <v/>
      </c>
    </row>
    <row r="1177">
      <c r="B1177" s="8">
        <f>IF(A1177="","",IFERROR(DATEVALUE(TEXTBEFORE(A1177,"|")),--LEFT(A1177,10)))</f>
        <v/>
      </c>
      <c r="C1177">
        <f>IF(A1177="","",TEXTBEFORE(TEXTAFTER(A1177,"|"),"|"))</f>
        <v/>
      </c>
      <c r="D1177">
        <f>IF(A1177="","",TEXTAFTER(A1177,"|",2))</f>
        <v/>
      </c>
      <c r="E1177">
        <f>IF(A1177="","",SUMIF(Tickets[TripKey],A1177,Tickets[TP]))</f>
        <v/>
      </c>
      <c r="F1177">
        <f>IF(A1177="","",SUMIF(Tickets[TripKey],A1177,Tickets[Revenue]))</f>
        <v/>
      </c>
      <c r="G1177">
        <f>IF(A1177="","",SUMIF(Tickets[TripKey],A1177,Tickets[PK]))</f>
        <v/>
      </c>
      <c r="H1177">
        <f>IF(A1177="","",IFERROR(XLOOKUP(A1177,Tickets[TripKey],Tickets[VehClean]),""))</f>
        <v/>
      </c>
      <c r="I1177">
        <f>IF(A1177="","",IFERROR(XLOOKUP(A1177,Tickets[TripKey],Tickets[RouteLen]),0))</f>
        <v/>
      </c>
      <c r="J1177">
        <f>IF(A1177="","",IFERROR(XLOOKUP(A1177,Tickets[TripKey],Tickets[Capacity]),0))</f>
        <v/>
      </c>
      <c r="K1177">
        <f>IF(A1177="","",I1177*J1177)</f>
        <v/>
      </c>
      <c r="L1177">
        <f>IF(A1177="","",IFERROR(MINIFS(Tickets[Trip Start Time],Tickets[TripKey],A1177),""))</f>
        <v/>
      </c>
    </row>
    <row r="1178">
      <c r="B1178" s="8">
        <f>IF(A1178="","",IFERROR(DATEVALUE(TEXTBEFORE(A1178,"|")),--LEFT(A1178,10)))</f>
        <v/>
      </c>
      <c r="C1178">
        <f>IF(A1178="","",TEXTBEFORE(TEXTAFTER(A1178,"|"),"|"))</f>
        <v/>
      </c>
      <c r="D1178">
        <f>IF(A1178="","",TEXTAFTER(A1178,"|",2))</f>
        <v/>
      </c>
      <c r="E1178">
        <f>IF(A1178="","",SUMIF(Tickets[TripKey],A1178,Tickets[TP]))</f>
        <v/>
      </c>
      <c r="F1178">
        <f>IF(A1178="","",SUMIF(Tickets[TripKey],A1178,Tickets[Revenue]))</f>
        <v/>
      </c>
      <c r="G1178">
        <f>IF(A1178="","",SUMIF(Tickets[TripKey],A1178,Tickets[PK]))</f>
        <v/>
      </c>
      <c r="H1178">
        <f>IF(A1178="","",IFERROR(XLOOKUP(A1178,Tickets[TripKey],Tickets[VehClean]),""))</f>
        <v/>
      </c>
      <c r="I1178">
        <f>IF(A1178="","",IFERROR(XLOOKUP(A1178,Tickets[TripKey],Tickets[RouteLen]),0))</f>
        <v/>
      </c>
      <c r="J1178">
        <f>IF(A1178="","",IFERROR(XLOOKUP(A1178,Tickets[TripKey],Tickets[Capacity]),0))</f>
        <v/>
      </c>
      <c r="K1178">
        <f>IF(A1178="","",I1178*J1178)</f>
        <v/>
      </c>
      <c r="L1178">
        <f>IF(A1178="","",IFERROR(MINIFS(Tickets[Trip Start Time],Tickets[TripKey],A1178),""))</f>
        <v/>
      </c>
    </row>
    <row r="1179">
      <c r="B1179" s="8">
        <f>IF(A1179="","",IFERROR(DATEVALUE(TEXTBEFORE(A1179,"|")),--LEFT(A1179,10)))</f>
        <v/>
      </c>
      <c r="C1179">
        <f>IF(A1179="","",TEXTBEFORE(TEXTAFTER(A1179,"|"),"|"))</f>
        <v/>
      </c>
      <c r="D1179">
        <f>IF(A1179="","",TEXTAFTER(A1179,"|",2))</f>
        <v/>
      </c>
      <c r="E1179">
        <f>IF(A1179="","",SUMIF(Tickets[TripKey],A1179,Tickets[TP]))</f>
        <v/>
      </c>
      <c r="F1179">
        <f>IF(A1179="","",SUMIF(Tickets[TripKey],A1179,Tickets[Revenue]))</f>
        <v/>
      </c>
      <c r="G1179">
        <f>IF(A1179="","",SUMIF(Tickets[TripKey],A1179,Tickets[PK]))</f>
        <v/>
      </c>
      <c r="H1179">
        <f>IF(A1179="","",IFERROR(XLOOKUP(A1179,Tickets[TripKey],Tickets[VehClean]),""))</f>
        <v/>
      </c>
      <c r="I1179">
        <f>IF(A1179="","",IFERROR(XLOOKUP(A1179,Tickets[TripKey],Tickets[RouteLen]),0))</f>
        <v/>
      </c>
      <c r="J1179">
        <f>IF(A1179="","",IFERROR(XLOOKUP(A1179,Tickets[TripKey],Tickets[Capacity]),0))</f>
        <v/>
      </c>
      <c r="K1179">
        <f>IF(A1179="","",I1179*J1179)</f>
        <v/>
      </c>
      <c r="L1179">
        <f>IF(A1179="","",IFERROR(MINIFS(Tickets[Trip Start Time],Tickets[TripKey],A1179),""))</f>
        <v/>
      </c>
    </row>
    <row r="1180">
      <c r="B1180" s="8">
        <f>IF(A1180="","",IFERROR(DATEVALUE(TEXTBEFORE(A1180,"|")),--LEFT(A1180,10)))</f>
        <v/>
      </c>
      <c r="C1180">
        <f>IF(A1180="","",TEXTBEFORE(TEXTAFTER(A1180,"|"),"|"))</f>
        <v/>
      </c>
      <c r="D1180">
        <f>IF(A1180="","",TEXTAFTER(A1180,"|",2))</f>
        <v/>
      </c>
      <c r="E1180">
        <f>IF(A1180="","",SUMIF(Tickets[TripKey],A1180,Tickets[TP]))</f>
        <v/>
      </c>
      <c r="F1180">
        <f>IF(A1180="","",SUMIF(Tickets[TripKey],A1180,Tickets[Revenue]))</f>
        <v/>
      </c>
      <c r="G1180">
        <f>IF(A1180="","",SUMIF(Tickets[TripKey],A1180,Tickets[PK]))</f>
        <v/>
      </c>
      <c r="H1180">
        <f>IF(A1180="","",IFERROR(XLOOKUP(A1180,Tickets[TripKey],Tickets[VehClean]),""))</f>
        <v/>
      </c>
      <c r="I1180">
        <f>IF(A1180="","",IFERROR(XLOOKUP(A1180,Tickets[TripKey],Tickets[RouteLen]),0))</f>
        <v/>
      </c>
      <c r="J1180">
        <f>IF(A1180="","",IFERROR(XLOOKUP(A1180,Tickets[TripKey],Tickets[Capacity]),0))</f>
        <v/>
      </c>
      <c r="K1180">
        <f>IF(A1180="","",I1180*J1180)</f>
        <v/>
      </c>
      <c r="L1180">
        <f>IF(A1180="","",IFERROR(MINIFS(Tickets[Trip Start Time],Tickets[TripKey],A1180),""))</f>
        <v/>
      </c>
    </row>
    <row r="1181">
      <c r="B1181" s="8">
        <f>IF(A1181="","",IFERROR(DATEVALUE(TEXTBEFORE(A1181,"|")),--LEFT(A1181,10)))</f>
        <v/>
      </c>
      <c r="C1181">
        <f>IF(A1181="","",TEXTBEFORE(TEXTAFTER(A1181,"|"),"|"))</f>
        <v/>
      </c>
      <c r="D1181">
        <f>IF(A1181="","",TEXTAFTER(A1181,"|",2))</f>
        <v/>
      </c>
      <c r="E1181">
        <f>IF(A1181="","",SUMIF(Tickets[TripKey],A1181,Tickets[TP]))</f>
        <v/>
      </c>
      <c r="F1181">
        <f>IF(A1181="","",SUMIF(Tickets[TripKey],A1181,Tickets[Revenue]))</f>
        <v/>
      </c>
      <c r="G1181">
        <f>IF(A1181="","",SUMIF(Tickets[TripKey],A1181,Tickets[PK]))</f>
        <v/>
      </c>
      <c r="H1181">
        <f>IF(A1181="","",IFERROR(XLOOKUP(A1181,Tickets[TripKey],Tickets[VehClean]),""))</f>
        <v/>
      </c>
      <c r="I1181">
        <f>IF(A1181="","",IFERROR(XLOOKUP(A1181,Tickets[TripKey],Tickets[RouteLen]),0))</f>
        <v/>
      </c>
      <c r="J1181">
        <f>IF(A1181="","",IFERROR(XLOOKUP(A1181,Tickets[TripKey],Tickets[Capacity]),0))</f>
        <v/>
      </c>
      <c r="K1181">
        <f>IF(A1181="","",I1181*J1181)</f>
        <v/>
      </c>
      <c r="L1181">
        <f>IF(A1181="","",IFERROR(MINIFS(Tickets[Trip Start Time],Tickets[TripKey],A1181),""))</f>
        <v/>
      </c>
    </row>
    <row r="1182">
      <c r="B1182" s="8">
        <f>IF(A1182="","",IFERROR(DATEVALUE(TEXTBEFORE(A1182,"|")),--LEFT(A1182,10)))</f>
        <v/>
      </c>
      <c r="C1182">
        <f>IF(A1182="","",TEXTBEFORE(TEXTAFTER(A1182,"|"),"|"))</f>
        <v/>
      </c>
      <c r="D1182">
        <f>IF(A1182="","",TEXTAFTER(A1182,"|",2))</f>
        <v/>
      </c>
      <c r="E1182">
        <f>IF(A1182="","",SUMIF(Tickets[TripKey],A1182,Tickets[TP]))</f>
        <v/>
      </c>
      <c r="F1182">
        <f>IF(A1182="","",SUMIF(Tickets[TripKey],A1182,Tickets[Revenue]))</f>
        <v/>
      </c>
      <c r="G1182">
        <f>IF(A1182="","",SUMIF(Tickets[TripKey],A1182,Tickets[PK]))</f>
        <v/>
      </c>
      <c r="H1182">
        <f>IF(A1182="","",IFERROR(XLOOKUP(A1182,Tickets[TripKey],Tickets[VehClean]),""))</f>
        <v/>
      </c>
      <c r="I1182">
        <f>IF(A1182="","",IFERROR(XLOOKUP(A1182,Tickets[TripKey],Tickets[RouteLen]),0))</f>
        <v/>
      </c>
      <c r="J1182">
        <f>IF(A1182="","",IFERROR(XLOOKUP(A1182,Tickets[TripKey],Tickets[Capacity]),0))</f>
        <v/>
      </c>
      <c r="K1182">
        <f>IF(A1182="","",I1182*J1182)</f>
        <v/>
      </c>
      <c r="L1182">
        <f>IF(A1182="","",IFERROR(MINIFS(Tickets[Trip Start Time],Tickets[TripKey],A1182),""))</f>
        <v/>
      </c>
    </row>
    <row r="1183">
      <c r="B1183" s="8">
        <f>IF(A1183="","",IFERROR(DATEVALUE(TEXTBEFORE(A1183,"|")),--LEFT(A1183,10)))</f>
        <v/>
      </c>
      <c r="C1183">
        <f>IF(A1183="","",TEXTBEFORE(TEXTAFTER(A1183,"|"),"|"))</f>
        <v/>
      </c>
      <c r="D1183">
        <f>IF(A1183="","",TEXTAFTER(A1183,"|",2))</f>
        <v/>
      </c>
      <c r="E1183">
        <f>IF(A1183="","",SUMIF(Tickets[TripKey],A1183,Tickets[TP]))</f>
        <v/>
      </c>
      <c r="F1183">
        <f>IF(A1183="","",SUMIF(Tickets[TripKey],A1183,Tickets[Revenue]))</f>
        <v/>
      </c>
      <c r="G1183">
        <f>IF(A1183="","",SUMIF(Tickets[TripKey],A1183,Tickets[PK]))</f>
        <v/>
      </c>
      <c r="H1183">
        <f>IF(A1183="","",IFERROR(XLOOKUP(A1183,Tickets[TripKey],Tickets[VehClean]),""))</f>
        <v/>
      </c>
      <c r="I1183">
        <f>IF(A1183="","",IFERROR(XLOOKUP(A1183,Tickets[TripKey],Tickets[RouteLen]),0))</f>
        <v/>
      </c>
      <c r="J1183">
        <f>IF(A1183="","",IFERROR(XLOOKUP(A1183,Tickets[TripKey],Tickets[Capacity]),0))</f>
        <v/>
      </c>
      <c r="K1183">
        <f>IF(A1183="","",I1183*J1183)</f>
        <v/>
      </c>
      <c r="L1183">
        <f>IF(A1183="","",IFERROR(MINIFS(Tickets[Trip Start Time],Tickets[TripKey],A1183),""))</f>
        <v/>
      </c>
    </row>
    <row r="1184">
      <c r="B1184" s="8">
        <f>IF(A1184="","",IFERROR(DATEVALUE(TEXTBEFORE(A1184,"|")),--LEFT(A1184,10)))</f>
        <v/>
      </c>
      <c r="C1184">
        <f>IF(A1184="","",TEXTBEFORE(TEXTAFTER(A1184,"|"),"|"))</f>
        <v/>
      </c>
      <c r="D1184">
        <f>IF(A1184="","",TEXTAFTER(A1184,"|",2))</f>
        <v/>
      </c>
      <c r="E1184">
        <f>IF(A1184="","",SUMIF(Tickets[TripKey],A1184,Tickets[TP]))</f>
        <v/>
      </c>
      <c r="F1184">
        <f>IF(A1184="","",SUMIF(Tickets[TripKey],A1184,Tickets[Revenue]))</f>
        <v/>
      </c>
      <c r="G1184">
        <f>IF(A1184="","",SUMIF(Tickets[TripKey],A1184,Tickets[PK]))</f>
        <v/>
      </c>
      <c r="H1184">
        <f>IF(A1184="","",IFERROR(XLOOKUP(A1184,Tickets[TripKey],Tickets[VehClean]),""))</f>
        <v/>
      </c>
      <c r="I1184">
        <f>IF(A1184="","",IFERROR(XLOOKUP(A1184,Tickets[TripKey],Tickets[RouteLen]),0))</f>
        <v/>
      </c>
      <c r="J1184">
        <f>IF(A1184="","",IFERROR(XLOOKUP(A1184,Tickets[TripKey],Tickets[Capacity]),0))</f>
        <v/>
      </c>
      <c r="K1184">
        <f>IF(A1184="","",I1184*J1184)</f>
        <v/>
      </c>
      <c r="L1184">
        <f>IF(A1184="","",IFERROR(MINIFS(Tickets[Trip Start Time],Tickets[TripKey],A1184),""))</f>
        <v/>
      </c>
    </row>
    <row r="1185">
      <c r="B1185" s="8">
        <f>IF(A1185="","",IFERROR(DATEVALUE(TEXTBEFORE(A1185,"|")),--LEFT(A1185,10)))</f>
        <v/>
      </c>
      <c r="C1185">
        <f>IF(A1185="","",TEXTBEFORE(TEXTAFTER(A1185,"|"),"|"))</f>
        <v/>
      </c>
      <c r="D1185">
        <f>IF(A1185="","",TEXTAFTER(A1185,"|",2))</f>
        <v/>
      </c>
      <c r="E1185">
        <f>IF(A1185="","",SUMIF(Tickets[TripKey],A1185,Tickets[TP]))</f>
        <v/>
      </c>
      <c r="F1185">
        <f>IF(A1185="","",SUMIF(Tickets[TripKey],A1185,Tickets[Revenue]))</f>
        <v/>
      </c>
      <c r="G1185">
        <f>IF(A1185="","",SUMIF(Tickets[TripKey],A1185,Tickets[PK]))</f>
        <v/>
      </c>
      <c r="H1185">
        <f>IF(A1185="","",IFERROR(XLOOKUP(A1185,Tickets[TripKey],Tickets[VehClean]),""))</f>
        <v/>
      </c>
      <c r="I1185">
        <f>IF(A1185="","",IFERROR(XLOOKUP(A1185,Tickets[TripKey],Tickets[RouteLen]),0))</f>
        <v/>
      </c>
      <c r="J1185">
        <f>IF(A1185="","",IFERROR(XLOOKUP(A1185,Tickets[TripKey],Tickets[Capacity]),0))</f>
        <v/>
      </c>
      <c r="K1185">
        <f>IF(A1185="","",I1185*J1185)</f>
        <v/>
      </c>
      <c r="L1185">
        <f>IF(A1185="","",IFERROR(MINIFS(Tickets[Trip Start Time],Tickets[TripKey],A1185),""))</f>
        <v/>
      </c>
    </row>
    <row r="1186">
      <c r="B1186" s="8">
        <f>IF(A1186="","",IFERROR(DATEVALUE(TEXTBEFORE(A1186,"|")),--LEFT(A1186,10)))</f>
        <v/>
      </c>
      <c r="C1186">
        <f>IF(A1186="","",TEXTBEFORE(TEXTAFTER(A1186,"|"),"|"))</f>
        <v/>
      </c>
      <c r="D1186">
        <f>IF(A1186="","",TEXTAFTER(A1186,"|",2))</f>
        <v/>
      </c>
      <c r="E1186">
        <f>IF(A1186="","",SUMIF(Tickets[TripKey],A1186,Tickets[TP]))</f>
        <v/>
      </c>
      <c r="F1186">
        <f>IF(A1186="","",SUMIF(Tickets[TripKey],A1186,Tickets[Revenue]))</f>
        <v/>
      </c>
      <c r="G1186">
        <f>IF(A1186="","",SUMIF(Tickets[TripKey],A1186,Tickets[PK]))</f>
        <v/>
      </c>
      <c r="H1186">
        <f>IF(A1186="","",IFERROR(XLOOKUP(A1186,Tickets[TripKey],Tickets[VehClean]),""))</f>
        <v/>
      </c>
      <c r="I1186">
        <f>IF(A1186="","",IFERROR(XLOOKUP(A1186,Tickets[TripKey],Tickets[RouteLen]),0))</f>
        <v/>
      </c>
      <c r="J1186">
        <f>IF(A1186="","",IFERROR(XLOOKUP(A1186,Tickets[TripKey],Tickets[Capacity]),0))</f>
        <v/>
      </c>
      <c r="K1186">
        <f>IF(A1186="","",I1186*J1186)</f>
        <v/>
      </c>
      <c r="L1186">
        <f>IF(A1186="","",IFERROR(MINIFS(Tickets[Trip Start Time],Tickets[TripKey],A1186),""))</f>
        <v/>
      </c>
    </row>
    <row r="1187">
      <c r="B1187" s="8">
        <f>IF(A1187="","",IFERROR(DATEVALUE(TEXTBEFORE(A1187,"|")),--LEFT(A1187,10)))</f>
        <v/>
      </c>
      <c r="C1187">
        <f>IF(A1187="","",TEXTBEFORE(TEXTAFTER(A1187,"|"),"|"))</f>
        <v/>
      </c>
      <c r="D1187">
        <f>IF(A1187="","",TEXTAFTER(A1187,"|",2))</f>
        <v/>
      </c>
      <c r="E1187">
        <f>IF(A1187="","",SUMIF(Tickets[TripKey],A1187,Tickets[TP]))</f>
        <v/>
      </c>
      <c r="F1187">
        <f>IF(A1187="","",SUMIF(Tickets[TripKey],A1187,Tickets[Revenue]))</f>
        <v/>
      </c>
      <c r="G1187">
        <f>IF(A1187="","",SUMIF(Tickets[TripKey],A1187,Tickets[PK]))</f>
        <v/>
      </c>
      <c r="H1187">
        <f>IF(A1187="","",IFERROR(XLOOKUP(A1187,Tickets[TripKey],Tickets[VehClean]),""))</f>
        <v/>
      </c>
      <c r="I1187">
        <f>IF(A1187="","",IFERROR(XLOOKUP(A1187,Tickets[TripKey],Tickets[RouteLen]),0))</f>
        <v/>
      </c>
      <c r="J1187">
        <f>IF(A1187="","",IFERROR(XLOOKUP(A1187,Tickets[TripKey],Tickets[Capacity]),0))</f>
        <v/>
      </c>
      <c r="K1187">
        <f>IF(A1187="","",I1187*J1187)</f>
        <v/>
      </c>
      <c r="L1187">
        <f>IF(A1187="","",IFERROR(MINIFS(Tickets[Trip Start Time],Tickets[TripKey],A1187),""))</f>
        <v/>
      </c>
    </row>
    <row r="1188">
      <c r="B1188" s="8">
        <f>IF(A1188="","",IFERROR(DATEVALUE(TEXTBEFORE(A1188,"|")),--LEFT(A1188,10)))</f>
        <v/>
      </c>
      <c r="C1188">
        <f>IF(A1188="","",TEXTBEFORE(TEXTAFTER(A1188,"|"),"|"))</f>
        <v/>
      </c>
      <c r="D1188">
        <f>IF(A1188="","",TEXTAFTER(A1188,"|",2))</f>
        <v/>
      </c>
      <c r="E1188">
        <f>IF(A1188="","",SUMIF(Tickets[TripKey],A1188,Tickets[TP]))</f>
        <v/>
      </c>
      <c r="F1188">
        <f>IF(A1188="","",SUMIF(Tickets[TripKey],A1188,Tickets[Revenue]))</f>
        <v/>
      </c>
      <c r="G1188">
        <f>IF(A1188="","",SUMIF(Tickets[TripKey],A1188,Tickets[PK]))</f>
        <v/>
      </c>
      <c r="H1188">
        <f>IF(A1188="","",IFERROR(XLOOKUP(A1188,Tickets[TripKey],Tickets[VehClean]),""))</f>
        <v/>
      </c>
      <c r="I1188">
        <f>IF(A1188="","",IFERROR(XLOOKUP(A1188,Tickets[TripKey],Tickets[RouteLen]),0))</f>
        <v/>
      </c>
      <c r="J1188">
        <f>IF(A1188="","",IFERROR(XLOOKUP(A1188,Tickets[TripKey],Tickets[Capacity]),0))</f>
        <v/>
      </c>
      <c r="K1188">
        <f>IF(A1188="","",I1188*J1188)</f>
        <v/>
      </c>
      <c r="L1188">
        <f>IF(A1188="","",IFERROR(MINIFS(Tickets[Trip Start Time],Tickets[TripKey],A1188),""))</f>
        <v/>
      </c>
    </row>
    <row r="1189">
      <c r="B1189" s="8">
        <f>IF(A1189="","",IFERROR(DATEVALUE(TEXTBEFORE(A1189,"|")),--LEFT(A1189,10)))</f>
        <v/>
      </c>
      <c r="C1189">
        <f>IF(A1189="","",TEXTBEFORE(TEXTAFTER(A1189,"|"),"|"))</f>
        <v/>
      </c>
      <c r="D1189">
        <f>IF(A1189="","",TEXTAFTER(A1189,"|",2))</f>
        <v/>
      </c>
      <c r="E1189">
        <f>IF(A1189="","",SUMIF(Tickets[TripKey],A1189,Tickets[TP]))</f>
        <v/>
      </c>
      <c r="F1189">
        <f>IF(A1189="","",SUMIF(Tickets[TripKey],A1189,Tickets[Revenue]))</f>
        <v/>
      </c>
      <c r="G1189">
        <f>IF(A1189="","",SUMIF(Tickets[TripKey],A1189,Tickets[PK]))</f>
        <v/>
      </c>
      <c r="H1189">
        <f>IF(A1189="","",IFERROR(XLOOKUP(A1189,Tickets[TripKey],Tickets[VehClean]),""))</f>
        <v/>
      </c>
      <c r="I1189">
        <f>IF(A1189="","",IFERROR(XLOOKUP(A1189,Tickets[TripKey],Tickets[RouteLen]),0))</f>
        <v/>
      </c>
      <c r="J1189">
        <f>IF(A1189="","",IFERROR(XLOOKUP(A1189,Tickets[TripKey],Tickets[Capacity]),0))</f>
        <v/>
      </c>
      <c r="K1189">
        <f>IF(A1189="","",I1189*J1189)</f>
        <v/>
      </c>
      <c r="L1189">
        <f>IF(A1189="","",IFERROR(MINIFS(Tickets[Trip Start Time],Tickets[TripKey],A1189),""))</f>
        <v/>
      </c>
    </row>
    <row r="1190">
      <c r="B1190" s="8">
        <f>IF(A1190="","",IFERROR(DATEVALUE(TEXTBEFORE(A1190,"|")),--LEFT(A1190,10)))</f>
        <v/>
      </c>
      <c r="C1190">
        <f>IF(A1190="","",TEXTBEFORE(TEXTAFTER(A1190,"|"),"|"))</f>
        <v/>
      </c>
      <c r="D1190">
        <f>IF(A1190="","",TEXTAFTER(A1190,"|",2))</f>
        <v/>
      </c>
      <c r="E1190">
        <f>IF(A1190="","",SUMIF(Tickets[TripKey],A1190,Tickets[TP]))</f>
        <v/>
      </c>
      <c r="F1190">
        <f>IF(A1190="","",SUMIF(Tickets[TripKey],A1190,Tickets[Revenue]))</f>
        <v/>
      </c>
      <c r="G1190">
        <f>IF(A1190="","",SUMIF(Tickets[TripKey],A1190,Tickets[PK]))</f>
        <v/>
      </c>
      <c r="H1190">
        <f>IF(A1190="","",IFERROR(XLOOKUP(A1190,Tickets[TripKey],Tickets[VehClean]),""))</f>
        <v/>
      </c>
      <c r="I1190">
        <f>IF(A1190="","",IFERROR(XLOOKUP(A1190,Tickets[TripKey],Tickets[RouteLen]),0))</f>
        <v/>
      </c>
      <c r="J1190">
        <f>IF(A1190="","",IFERROR(XLOOKUP(A1190,Tickets[TripKey],Tickets[Capacity]),0))</f>
        <v/>
      </c>
      <c r="K1190">
        <f>IF(A1190="","",I1190*J1190)</f>
        <v/>
      </c>
      <c r="L1190">
        <f>IF(A1190="","",IFERROR(MINIFS(Tickets[Trip Start Time],Tickets[TripKey],A1190),""))</f>
        <v/>
      </c>
    </row>
    <row r="1191">
      <c r="B1191" s="8">
        <f>IF(A1191="","",IFERROR(DATEVALUE(TEXTBEFORE(A1191,"|")),--LEFT(A1191,10)))</f>
        <v/>
      </c>
      <c r="C1191">
        <f>IF(A1191="","",TEXTBEFORE(TEXTAFTER(A1191,"|"),"|"))</f>
        <v/>
      </c>
      <c r="D1191">
        <f>IF(A1191="","",TEXTAFTER(A1191,"|",2))</f>
        <v/>
      </c>
      <c r="E1191">
        <f>IF(A1191="","",SUMIF(Tickets[TripKey],A1191,Tickets[TP]))</f>
        <v/>
      </c>
      <c r="F1191">
        <f>IF(A1191="","",SUMIF(Tickets[TripKey],A1191,Tickets[Revenue]))</f>
        <v/>
      </c>
      <c r="G1191">
        <f>IF(A1191="","",SUMIF(Tickets[TripKey],A1191,Tickets[PK]))</f>
        <v/>
      </c>
      <c r="H1191">
        <f>IF(A1191="","",IFERROR(XLOOKUP(A1191,Tickets[TripKey],Tickets[VehClean]),""))</f>
        <v/>
      </c>
      <c r="I1191">
        <f>IF(A1191="","",IFERROR(XLOOKUP(A1191,Tickets[TripKey],Tickets[RouteLen]),0))</f>
        <v/>
      </c>
      <c r="J1191">
        <f>IF(A1191="","",IFERROR(XLOOKUP(A1191,Tickets[TripKey],Tickets[Capacity]),0))</f>
        <v/>
      </c>
      <c r="K1191">
        <f>IF(A1191="","",I1191*J1191)</f>
        <v/>
      </c>
      <c r="L1191">
        <f>IF(A1191="","",IFERROR(MINIFS(Tickets[Trip Start Time],Tickets[TripKey],A1191),""))</f>
        <v/>
      </c>
    </row>
    <row r="1192">
      <c r="B1192" s="8">
        <f>IF(A1192="","",IFERROR(DATEVALUE(TEXTBEFORE(A1192,"|")),--LEFT(A1192,10)))</f>
        <v/>
      </c>
      <c r="C1192">
        <f>IF(A1192="","",TEXTBEFORE(TEXTAFTER(A1192,"|"),"|"))</f>
        <v/>
      </c>
      <c r="D1192">
        <f>IF(A1192="","",TEXTAFTER(A1192,"|",2))</f>
        <v/>
      </c>
      <c r="E1192">
        <f>IF(A1192="","",SUMIF(Tickets[TripKey],A1192,Tickets[TP]))</f>
        <v/>
      </c>
      <c r="F1192">
        <f>IF(A1192="","",SUMIF(Tickets[TripKey],A1192,Tickets[Revenue]))</f>
        <v/>
      </c>
      <c r="G1192">
        <f>IF(A1192="","",SUMIF(Tickets[TripKey],A1192,Tickets[PK]))</f>
        <v/>
      </c>
      <c r="H1192">
        <f>IF(A1192="","",IFERROR(XLOOKUP(A1192,Tickets[TripKey],Tickets[VehClean]),""))</f>
        <v/>
      </c>
      <c r="I1192">
        <f>IF(A1192="","",IFERROR(XLOOKUP(A1192,Tickets[TripKey],Tickets[RouteLen]),0))</f>
        <v/>
      </c>
      <c r="J1192">
        <f>IF(A1192="","",IFERROR(XLOOKUP(A1192,Tickets[TripKey],Tickets[Capacity]),0))</f>
        <v/>
      </c>
      <c r="K1192">
        <f>IF(A1192="","",I1192*J1192)</f>
        <v/>
      </c>
      <c r="L1192">
        <f>IF(A1192="","",IFERROR(MINIFS(Tickets[Trip Start Time],Tickets[TripKey],A1192),""))</f>
        <v/>
      </c>
    </row>
    <row r="1193">
      <c r="B1193" s="8">
        <f>IF(A1193="","",IFERROR(DATEVALUE(TEXTBEFORE(A1193,"|")),--LEFT(A1193,10)))</f>
        <v/>
      </c>
      <c r="C1193">
        <f>IF(A1193="","",TEXTBEFORE(TEXTAFTER(A1193,"|"),"|"))</f>
        <v/>
      </c>
      <c r="D1193">
        <f>IF(A1193="","",TEXTAFTER(A1193,"|",2))</f>
        <v/>
      </c>
      <c r="E1193">
        <f>IF(A1193="","",SUMIF(Tickets[TripKey],A1193,Tickets[TP]))</f>
        <v/>
      </c>
      <c r="F1193">
        <f>IF(A1193="","",SUMIF(Tickets[TripKey],A1193,Tickets[Revenue]))</f>
        <v/>
      </c>
      <c r="G1193">
        <f>IF(A1193="","",SUMIF(Tickets[TripKey],A1193,Tickets[PK]))</f>
        <v/>
      </c>
      <c r="H1193">
        <f>IF(A1193="","",IFERROR(XLOOKUP(A1193,Tickets[TripKey],Tickets[VehClean]),""))</f>
        <v/>
      </c>
      <c r="I1193">
        <f>IF(A1193="","",IFERROR(XLOOKUP(A1193,Tickets[TripKey],Tickets[RouteLen]),0))</f>
        <v/>
      </c>
      <c r="J1193">
        <f>IF(A1193="","",IFERROR(XLOOKUP(A1193,Tickets[TripKey],Tickets[Capacity]),0))</f>
        <v/>
      </c>
      <c r="K1193">
        <f>IF(A1193="","",I1193*J1193)</f>
        <v/>
      </c>
      <c r="L1193">
        <f>IF(A1193="","",IFERROR(MINIFS(Tickets[Trip Start Time],Tickets[TripKey],A1193),""))</f>
        <v/>
      </c>
    </row>
    <row r="1194">
      <c r="B1194" s="8">
        <f>IF(A1194="","",IFERROR(DATEVALUE(TEXTBEFORE(A1194,"|")),--LEFT(A1194,10)))</f>
        <v/>
      </c>
      <c r="C1194">
        <f>IF(A1194="","",TEXTBEFORE(TEXTAFTER(A1194,"|"),"|"))</f>
        <v/>
      </c>
      <c r="D1194">
        <f>IF(A1194="","",TEXTAFTER(A1194,"|",2))</f>
        <v/>
      </c>
      <c r="E1194">
        <f>IF(A1194="","",SUMIF(Tickets[TripKey],A1194,Tickets[TP]))</f>
        <v/>
      </c>
      <c r="F1194">
        <f>IF(A1194="","",SUMIF(Tickets[TripKey],A1194,Tickets[Revenue]))</f>
        <v/>
      </c>
      <c r="G1194">
        <f>IF(A1194="","",SUMIF(Tickets[TripKey],A1194,Tickets[PK]))</f>
        <v/>
      </c>
      <c r="H1194">
        <f>IF(A1194="","",IFERROR(XLOOKUP(A1194,Tickets[TripKey],Tickets[VehClean]),""))</f>
        <v/>
      </c>
      <c r="I1194">
        <f>IF(A1194="","",IFERROR(XLOOKUP(A1194,Tickets[TripKey],Tickets[RouteLen]),0))</f>
        <v/>
      </c>
      <c r="J1194">
        <f>IF(A1194="","",IFERROR(XLOOKUP(A1194,Tickets[TripKey],Tickets[Capacity]),0))</f>
        <v/>
      </c>
      <c r="K1194">
        <f>IF(A1194="","",I1194*J1194)</f>
        <v/>
      </c>
      <c r="L1194">
        <f>IF(A1194="","",IFERROR(MINIFS(Tickets[Trip Start Time],Tickets[TripKey],A1194),""))</f>
        <v/>
      </c>
    </row>
    <row r="1195">
      <c r="B1195" s="8">
        <f>IF(A1195="","",IFERROR(DATEVALUE(TEXTBEFORE(A1195,"|")),--LEFT(A1195,10)))</f>
        <v/>
      </c>
      <c r="C1195">
        <f>IF(A1195="","",TEXTBEFORE(TEXTAFTER(A1195,"|"),"|"))</f>
        <v/>
      </c>
      <c r="D1195">
        <f>IF(A1195="","",TEXTAFTER(A1195,"|",2))</f>
        <v/>
      </c>
      <c r="E1195">
        <f>IF(A1195="","",SUMIF(Tickets[TripKey],A1195,Tickets[TP]))</f>
        <v/>
      </c>
      <c r="F1195">
        <f>IF(A1195="","",SUMIF(Tickets[TripKey],A1195,Tickets[Revenue]))</f>
        <v/>
      </c>
      <c r="G1195">
        <f>IF(A1195="","",SUMIF(Tickets[TripKey],A1195,Tickets[PK]))</f>
        <v/>
      </c>
      <c r="H1195">
        <f>IF(A1195="","",IFERROR(XLOOKUP(A1195,Tickets[TripKey],Tickets[VehClean]),""))</f>
        <v/>
      </c>
      <c r="I1195">
        <f>IF(A1195="","",IFERROR(XLOOKUP(A1195,Tickets[TripKey],Tickets[RouteLen]),0))</f>
        <v/>
      </c>
      <c r="J1195">
        <f>IF(A1195="","",IFERROR(XLOOKUP(A1195,Tickets[TripKey],Tickets[Capacity]),0))</f>
        <v/>
      </c>
      <c r="K1195">
        <f>IF(A1195="","",I1195*J1195)</f>
        <v/>
      </c>
      <c r="L1195">
        <f>IF(A1195="","",IFERROR(MINIFS(Tickets[Trip Start Time],Tickets[TripKey],A1195),""))</f>
        <v/>
      </c>
    </row>
    <row r="1196">
      <c r="B1196" s="8">
        <f>IF(A1196="","",IFERROR(DATEVALUE(TEXTBEFORE(A1196,"|")),--LEFT(A1196,10)))</f>
        <v/>
      </c>
      <c r="C1196">
        <f>IF(A1196="","",TEXTBEFORE(TEXTAFTER(A1196,"|"),"|"))</f>
        <v/>
      </c>
      <c r="D1196">
        <f>IF(A1196="","",TEXTAFTER(A1196,"|",2))</f>
        <v/>
      </c>
      <c r="E1196">
        <f>IF(A1196="","",SUMIF(Tickets[TripKey],A1196,Tickets[TP]))</f>
        <v/>
      </c>
      <c r="F1196">
        <f>IF(A1196="","",SUMIF(Tickets[TripKey],A1196,Tickets[Revenue]))</f>
        <v/>
      </c>
      <c r="G1196">
        <f>IF(A1196="","",SUMIF(Tickets[TripKey],A1196,Tickets[PK]))</f>
        <v/>
      </c>
      <c r="H1196">
        <f>IF(A1196="","",IFERROR(XLOOKUP(A1196,Tickets[TripKey],Tickets[VehClean]),""))</f>
        <v/>
      </c>
      <c r="I1196">
        <f>IF(A1196="","",IFERROR(XLOOKUP(A1196,Tickets[TripKey],Tickets[RouteLen]),0))</f>
        <v/>
      </c>
      <c r="J1196">
        <f>IF(A1196="","",IFERROR(XLOOKUP(A1196,Tickets[TripKey],Tickets[Capacity]),0))</f>
        <v/>
      </c>
      <c r="K1196">
        <f>IF(A1196="","",I1196*J1196)</f>
        <v/>
      </c>
      <c r="L1196">
        <f>IF(A1196="","",IFERROR(MINIFS(Tickets[Trip Start Time],Tickets[TripKey],A1196),""))</f>
        <v/>
      </c>
    </row>
    <row r="1197">
      <c r="B1197" s="8">
        <f>IF(A1197="","",IFERROR(DATEVALUE(TEXTBEFORE(A1197,"|")),--LEFT(A1197,10)))</f>
        <v/>
      </c>
      <c r="C1197">
        <f>IF(A1197="","",TEXTBEFORE(TEXTAFTER(A1197,"|"),"|"))</f>
        <v/>
      </c>
      <c r="D1197">
        <f>IF(A1197="","",TEXTAFTER(A1197,"|",2))</f>
        <v/>
      </c>
      <c r="E1197">
        <f>IF(A1197="","",SUMIF(Tickets[TripKey],A1197,Tickets[TP]))</f>
        <v/>
      </c>
      <c r="F1197">
        <f>IF(A1197="","",SUMIF(Tickets[TripKey],A1197,Tickets[Revenue]))</f>
        <v/>
      </c>
      <c r="G1197">
        <f>IF(A1197="","",SUMIF(Tickets[TripKey],A1197,Tickets[PK]))</f>
        <v/>
      </c>
      <c r="H1197">
        <f>IF(A1197="","",IFERROR(XLOOKUP(A1197,Tickets[TripKey],Tickets[VehClean]),""))</f>
        <v/>
      </c>
      <c r="I1197">
        <f>IF(A1197="","",IFERROR(XLOOKUP(A1197,Tickets[TripKey],Tickets[RouteLen]),0))</f>
        <v/>
      </c>
      <c r="J1197">
        <f>IF(A1197="","",IFERROR(XLOOKUP(A1197,Tickets[TripKey],Tickets[Capacity]),0))</f>
        <v/>
      </c>
      <c r="K1197">
        <f>IF(A1197="","",I1197*J1197)</f>
        <v/>
      </c>
      <c r="L1197">
        <f>IF(A1197="","",IFERROR(MINIFS(Tickets[Trip Start Time],Tickets[TripKey],A1197),""))</f>
        <v/>
      </c>
    </row>
    <row r="1198">
      <c r="B1198" s="8">
        <f>IF(A1198="","",IFERROR(DATEVALUE(TEXTBEFORE(A1198,"|")),--LEFT(A1198,10)))</f>
        <v/>
      </c>
      <c r="C1198">
        <f>IF(A1198="","",TEXTBEFORE(TEXTAFTER(A1198,"|"),"|"))</f>
        <v/>
      </c>
      <c r="D1198">
        <f>IF(A1198="","",TEXTAFTER(A1198,"|",2))</f>
        <v/>
      </c>
      <c r="E1198">
        <f>IF(A1198="","",SUMIF(Tickets[TripKey],A1198,Tickets[TP]))</f>
        <v/>
      </c>
      <c r="F1198">
        <f>IF(A1198="","",SUMIF(Tickets[TripKey],A1198,Tickets[Revenue]))</f>
        <v/>
      </c>
      <c r="G1198">
        <f>IF(A1198="","",SUMIF(Tickets[TripKey],A1198,Tickets[PK]))</f>
        <v/>
      </c>
      <c r="H1198">
        <f>IF(A1198="","",IFERROR(XLOOKUP(A1198,Tickets[TripKey],Tickets[VehClean]),""))</f>
        <v/>
      </c>
      <c r="I1198">
        <f>IF(A1198="","",IFERROR(XLOOKUP(A1198,Tickets[TripKey],Tickets[RouteLen]),0))</f>
        <v/>
      </c>
      <c r="J1198">
        <f>IF(A1198="","",IFERROR(XLOOKUP(A1198,Tickets[TripKey],Tickets[Capacity]),0))</f>
        <v/>
      </c>
      <c r="K1198">
        <f>IF(A1198="","",I1198*J1198)</f>
        <v/>
      </c>
      <c r="L1198">
        <f>IF(A1198="","",IFERROR(MINIFS(Tickets[Trip Start Time],Tickets[TripKey],A1198),""))</f>
        <v/>
      </c>
    </row>
    <row r="1199">
      <c r="B1199" s="8">
        <f>IF(A1199="","",IFERROR(DATEVALUE(TEXTBEFORE(A1199,"|")),--LEFT(A1199,10)))</f>
        <v/>
      </c>
      <c r="C1199">
        <f>IF(A1199="","",TEXTBEFORE(TEXTAFTER(A1199,"|"),"|"))</f>
        <v/>
      </c>
      <c r="D1199">
        <f>IF(A1199="","",TEXTAFTER(A1199,"|",2))</f>
        <v/>
      </c>
      <c r="E1199">
        <f>IF(A1199="","",SUMIF(Tickets[TripKey],A1199,Tickets[TP]))</f>
        <v/>
      </c>
      <c r="F1199">
        <f>IF(A1199="","",SUMIF(Tickets[TripKey],A1199,Tickets[Revenue]))</f>
        <v/>
      </c>
      <c r="G1199">
        <f>IF(A1199="","",SUMIF(Tickets[TripKey],A1199,Tickets[PK]))</f>
        <v/>
      </c>
      <c r="H1199">
        <f>IF(A1199="","",IFERROR(XLOOKUP(A1199,Tickets[TripKey],Tickets[VehClean]),""))</f>
        <v/>
      </c>
      <c r="I1199">
        <f>IF(A1199="","",IFERROR(XLOOKUP(A1199,Tickets[TripKey],Tickets[RouteLen]),0))</f>
        <v/>
      </c>
      <c r="J1199">
        <f>IF(A1199="","",IFERROR(XLOOKUP(A1199,Tickets[TripKey],Tickets[Capacity]),0))</f>
        <v/>
      </c>
      <c r="K1199">
        <f>IF(A1199="","",I1199*J1199)</f>
        <v/>
      </c>
      <c r="L1199">
        <f>IF(A1199="","",IFERROR(MINIFS(Tickets[Trip Start Time],Tickets[TripKey],A1199),""))</f>
        <v/>
      </c>
    </row>
    <row r="1200">
      <c r="B1200" s="8">
        <f>IF(A1200="","",IFERROR(DATEVALUE(TEXTBEFORE(A1200,"|")),--LEFT(A1200,10)))</f>
        <v/>
      </c>
      <c r="C1200">
        <f>IF(A1200="","",TEXTBEFORE(TEXTAFTER(A1200,"|"),"|"))</f>
        <v/>
      </c>
      <c r="D1200">
        <f>IF(A1200="","",TEXTAFTER(A1200,"|",2))</f>
        <v/>
      </c>
      <c r="E1200">
        <f>IF(A1200="","",SUMIF(Tickets[TripKey],A1200,Tickets[TP]))</f>
        <v/>
      </c>
      <c r="F1200">
        <f>IF(A1200="","",SUMIF(Tickets[TripKey],A1200,Tickets[Revenue]))</f>
        <v/>
      </c>
      <c r="G1200">
        <f>IF(A1200="","",SUMIF(Tickets[TripKey],A1200,Tickets[PK]))</f>
        <v/>
      </c>
      <c r="H1200">
        <f>IF(A1200="","",IFERROR(XLOOKUP(A1200,Tickets[TripKey],Tickets[VehClean]),""))</f>
        <v/>
      </c>
      <c r="I1200">
        <f>IF(A1200="","",IFERROR(XLOOKUP(A1200,Tickets[TripKey],Tickets[RouteLen]),0))</f>
        <v/>
      </c>
      <c r="J1200">
        <f>IF(A1200="","",IFERROR(XLOOKUP(A1200,Tickets[TripKey],Tickets[Capacity]),0))</f>
        <v/>
      </c>
      <c r="K1200">
        <f>IF(A1200="","",I1200*J1200)</f>
        <v/>
      </c>
      <c r="L1200">
        <f>IF(A1200="","",IFERROR(MINIFS(Tickets[Trip Start Time],Tickets[TripKey],A1200),""))</f>
        <v/>
      </c>
    </row>
    <row r="1201">
      <c r="B1201" s="8">
        <f>IF(A1201="","",IFERROR(DATEVALUE(TEXTBEFORE(A1201,"|")),--LEFT(A1201,10)))</f>
        <v/>
      </c>
      <c r="C1201">
        <f>IF(A1201="","",TEXTBEFORE(TEXTAFTER(A1201,"|"),"|"))</f>
        <v/>
      </c>
      <c r="D1201">
        <f>IF(A1201="","",TEXTAFTER(A1201,"|",2))</f>
        <v/>
      </c>
      <c r="E1201">
        <f>IF(A1201="","",SUMIF(Tickets[TripKey],A1201,Tickets[TP]))</f>
        <v/>
      </c>
      <c r="F1201">
        <f>IF(A1201="","",SUMIF(Tickets[TripKey],A1201,Tickets[Revenue]))</f>
        <v/>
      </c>
      <c r="G1201">
        <f>IF(A1201="","",SUMIF(Tickets[TripKey],A1201,Tickets[PK]))</f>
        <v/>
      </c>
      <c r="H1201">
        <f>IF(A1201="","",IFERROR(XLOOKUP(A1201,Tickets[TripKey],Tickets[VehClean]),""))</f>
        <v/>
      </c>
      <c r="I1201">
        <f>IF(A1201="","",IFERROR(XLOOKUP(A1201,Tickets[TripKey],Tickets[RouteLen]),0))</f>
        <v/>
      </c>
      <c r="J1201">
        <f>IF(A1201="","",IFERROR(XLOOKUP(A1201,Tickets[TripKey],Tickets[Capacity]),0))</f>
        <v/>
      </c>
      <c r="K1201">
        <f>IF(A1201="","",I1201*J1201)</f>
        <v/>
      </c>
      <c r="L1201">
        <f>IF(A1201="","",IFERROR(MINIFS(Tickets[Trip Start Time],Tickets[TripKey],A1201),""))</f>
        <v/>
      </c>
    </row>
    <row r="1202">
      <c r="B1202" s="8">
        <f>IF(A1202="","",IFERROR(DATEVALUE(TEXTBEFORE(A1202,"|")),--LEFT(A1202,10)))</f>
        <v/>
      </c>
      <c r="C1202">
        <f>IF(A1202="","",TEXTBEFORE(TEXTAFTER(A1202,"|"),"|"))</f>
        <v/>
      </c>
      <c r="D1202">
        <f>IF(A1202="","",TEXTAFTER(A1202,"|",2))</f>
        <v/>
      </c>
      <c r="E1202">
        <f>IF(A1202="","",SUMIF(Tickets[TripKey],A1202,Tickets[TP]))</f>
        <v/>
      </c>
      <c r="F1202">
        <f>IF(A1202="","",SUMIF(Tickets[TripKey],A1202,Tickets[Revenue]))</f>
        <v/>
      </c>
      <c r="G1202">
        <f>IF(A1202="","",SUMIF(Tickets[TripKey],A1202,Tickets[PK]))</f>
        <v/>
      </c>
      <c r="H1202">
        <f>IF(A1202="","",IFERROR(XLOOKUP(A1202,Tickets[TripKey],Tickets[VehClean]),""))</f>
        <v/>
      </c>
      <c r="I1202">
        <f>IF(A1202="","",IFERROR(XLOOKUP(A1202,Tickets[TripKey],Tickets[RouteLen]),0))</f>
        <v/>
      </c>
      <c r="J1202">
        <f>IF(A1202="","",IFERROR(XLOOKUP(A1202,Tickets[TripKey],Tickets[Capacity]),0))</f>
        <v/>
      </c>
      <c r="K1202">
        <f>IF(A1202="","",I1202*J1202)</f>
        <v/>
      </c>
      <c r="L1202">
        <f>IF(A1202="","",IFERROR(MINIFS(Tickets[Trip Start Time],Tickets[TripKey],A1202),""))</f>
        <v/>
      </c>
    </row>
    <row r="1203">
      <c r="B1203" s="8">
        <f>IF(A1203="","",IFERROR(DATEVALUE(TEXTBEFORE(A1203,"|")),--LEFT(A1203,10)))</f>
        <v/>
      </c>
      <c r="C1203">
        <f>IF(A1203="","",TEXTBEFORE(TEXTAFTER(A1203,"|"),"|"))</f>
        <v/>
      </c>
      <c r="D1203">
        <f>IF(A1203="","",TEXTAFTER(A1203,"|",2))</f>
        <v/>
      </c>
      <c r="E1203">
        <f>IF(A1203="","",SUMIF(Tickets[TripKey],A1203,Tickets[TP]))</f>
        <v/>
      </c>
      <c r="F1203">
        <f>IF(A1203="","",SUMIF(Tickets[TripKey],A1203,Tickets[Revenue]))</f>
        <v/>
      </c>
      <c r="G1203">
        <f>IF(A1203="","",SUMIF(Tickets[TripKey],A1203,Tickets[PK]))</f>
        <v/>
      </c>
      <c r="H1203">
        <f>IF(A1203="","",IFERROR(XLOOKUP(A1203,Tickets[TripKey],Tickets[VehClean]),""))</f>
        <v/>
      </c>
      <c r="I1203">
        <f>IF(A1203="","",IFERROR(XLOOKUP(A1203,Tickets[TripKey],Tickets[RouteLen]),0))</f>
        <v/>
      </c>
      <c r="J1203">
        <f>IF(A1203="","",IFERROR(XLOOKUP(A1203,Tickets[TripKey],Tickets[Capacity]),0))</f>
        <v/>
      </c>
      <c r="K1203">
        <f>IF(A1203="","",I1203*J1203)</f>
        <v/>
      </c>
      <c r="L1203">
        <f>IF(A1203="","",IFERROR(MINIFS(Tickets[Trip Start Time],Tickets[TripKey],A1203),""))</f>
        <v/>
      </c>
    </row>
    <row r="1204">
      <c r="B1204" s="8">
        <f>IF(A1204="","",IFERROR(DATEVALUE(TEXTBEFORE(A1204,"|")),--LEFT(A1204,10)))</f>
        <v/>
      </c>
      <c r="C1204">
        <f>IF(A1204="","",TEXTBEFORE(TEXTAFTER(A1204,"|"),"|"))</f>
        <v/>
      </c>
      <c r="D1204">
        <f>IF(A1204="","",TEXTAFTER(A1204,"|",2))</f>
        <v/>
      </c>
      <c r="E1204">
        <f>IF(A1204="","",SUMIF(Tickets[TripKey],A1204,Tickets[TP]))</f>
        <v/>
      </c>
      <c r="F1204">
        <f>IF(A1204="","",SUMIF(Tickets[TripKey],A1204,Tickets[Revenue]))</f>
        <v/>
      </c>
      <c r="G1204">
        <f>IF(A1204="","",SUMIF(Tickets[TripKey],A1204,Tickets[PK]))</f>
        <v/>
      </c>
      <c r="H1204">
        <f>IF(A1204="","",IFERROR(XLOOKUP(A1204,Tickets[TripKey],Tickets[VehClean]),""))</f>
        <v/>
      </c>
      <c r="I1204">
        <f>IF(A1204="","",IFERROR(XLOOKUP(A1204,Tickets[TripKey],Tickets[RouteLen]),0))</f>
        <v/>
      </c>
      <c r="J1204">
        <f>IF(A1204="","",IFERROR(XLOOKUP(A1204,Tickets[TripKey],Tickets[Capacity]),0))</f>
        <v/>
      </c>
      <c r="K1204">
        <f>IF(A1204="","",I1204*J1204)</f>
        <v/>
      </c>
      <c r="L1204">
        <f>IF(A1204="","",IFERROR(MINIFS(Tickets[Trip Start Time],Tickets[TripKey],A1204),""))</f>
        <v/>
      </c>
    </row>
    <row r="1205">
      <c r="B1205" s="8">
        <f>IF(A1205="","",IFERROR(DATEVALUE(TEXTBEFORE(A1205,"|")),--LEFT(A1205,10)))</f>
        <v/>
      </c>
      <c r="C1205">
        <f>IF(A1205="","",TEXTBEFORE(TEXTAFTER(A1205,"|"),"|"))</f>
        <v/>
      </c>
      <c r="D1205">
        <f>IF(A1205="","",TEXTAFTER(A1205,"|",2))</f>
        <v/>
      </c>
      <c r="E1205">
        <f>IF(A1205="","",SUMIF(Tickets[TripKey],A1205,Tickets[TP]))</f>
        <v/>
      </c>
      <c r="F1205">
        <f>IF(A1205="","",SUMIF(Tickets[TripKey],A1205,Tickets[Revenue]))</f>
        <v/>
      </c>
      <c r="G1205">
        <f>IF(A1205="","",SUMIF(Tickets[TripKey],A1205,Tickets[PK]))</f>
        <v/>
      </c>
      <c r="H1205">
        <f>IF(A1205="","",IFERROR(XLOOKUP(A1205,Tickets[TripKey],Tickets[VehClean]),""))</f>
        <v/>
      </c>
      <c r="I1205">
        <f>IF(A1205="","",IFERROR(XLOOKUP(A1205,Tickets[TripKey],Tickets[RouteLen]),0))</f>
        <v/>
      </c>
      <c r="J1205">
        <f>IF(A1205="","",IFERROR(XLOOKUP(A1205,Tickets[TripKey],Tickets[Capacity]),0))</f>
        <v/>
      </c>
      <c r="K1205">
        <f>IF(A1205="","",I1205*J1205)</f>
        <v/>
      </c>
      <c r="L1205">
        <f>IF(A1205="","",IFERROR(MINIFS(Tickets[Trip Start Time],Tickets[TripKey],A1205),""))</f>
        <v/>
      </c>
    </row>
    <row r="1206">
      <c r="B1206" s="8">
        <f>IF(A1206="","",IFERROR(DATEVALUE(TEXTBEFORE(A1206,"|")),--LEFT(A1206,10)))</f>
        <v/>
      </c>
      <c r="C1206">
        <f>IF(A1206="","",TEXTBEFORE(TEXTAFTER(A1206,"|"),"|"))</f>
        <v/>
      </c>
      <c r="D1206">
        <f>IF(A1206="","",TEXTAFTER(A1206,"|",2))</f>
        <v/>
      </c>
      <c r="E1206">
        <f>IF(A1206="","",SUMIF(Tickets[TripKey],A1206,Tickets[TP]))</f>
        <v/>
      </c>
      <c r="F1206">
        <f>IF(A1206="","",SUMIF(Tickets[TripKey],A1206,Tickets[Revenue]))</f>
        <v/>
      </c>
      <c r="G1206">
        <f>IF(A1206="","",SUMIF(Tickets[TripKey],A1206,Tickets[PK]))</f>
        <v/>
      </c>
      <c r="H1206">
        <f>IF(A1206="","",IFERROR(XLOOKUP(A1206,Tickets[TripKey],Tickets[VehClean]),""))</f>
        <v/>
      </c>
      <c r="I1206">
        <f>IF(A1206="","",IFERROR(XLOOKUP(A1206,Tickets[TripKey],Tickets[RouteLen]),0))</f>
        <v/>
      </c>
      <c r="J1206">
        <f>IF(A1206="","",IFERROR(XLOOKUP(A1206,Tickets[TripKey],Tickets[Capacity]),0))</f>
        <v/>
      </c>
      <c r="K1206">
        <f>IF(A1206="","",I1206*J1206)</f>
        <v/>
      </c>
      <c r="L1206">
        <f>IF(A1206="","",IFERROR(MINIFS(Tickets[Trip Start Time],Tickets[TripKey],A1206),""))</f>
        <v/>
      </c>
    </row>
    <row r="1207">
      <c r="B1207" s="8">
        <f>IF(A1207="","",IFERROR(DATEVALUE(TEXTBEFORE(A1207,"|")),--LEFT(A1207,10)))</f>
        <v/>
      </c>
      <c r="C1207">
        <f>IF(A1207="","",TEXTBEFORE(TEXTAFTER(A1207,"|"),"|"))</f>
        <v/>
      </c>
      <c r="D1207">
        <f>IF(A1207="","",TEXTAFTER(A1207,"|",2))</f>
        <v/>
      </c>
      <c r="E1207">
        <f>IF(A1207="","",SUMIF(Tickets[TripKey],A1207,Tickets[TP]))</f>
        <v/>
      </c>
      <c r="F1207">
        <f>IF(A1207="","",SUMIF(Tickets[TripKey],A1207,Tickets[Revenue]))</f>
        <v/>
      </c>
      <c r="G1207">
        <f>IF(A1207="","",SUMIF(Tickets[TripKey],A1207,Tickets[PK]))</f>
        <v/>
      </c>
      <c r="H1207">
        <f>IF(A1207="","",IFERROR(XLOOKUP(A1207,Tickets[TripKey],Tickets[VehClean]),""))</f>
        <v/>
      </c>
      <c r="I1207">
        <f>IF(A1207="","",IFERROR(XLOOKUP(A1207,Tickets[TripKey],Tickets[RouteLen]),0))</f>
        <v/>
      </c>
      <c r="J1207">
        <f>IF(A1207="","",IFERROR(XLOOKUP(A1207,Tickets[TripKey],Tickets[Capacity]),0))</f>
        <v/>
      </c>
      <c r="K1207">
        <f>IF(A1207="","",I1207*J1207)</f>
        <v/>
      </c>
      <c r="L1207">
        <f>IF(A1207="","",IFERROR(MINIFS(Tickets[Trip Start Time],Tickets[TripKey],A1207),""))</f>
        <v/>
      </c>
    </row>
    <row r="1208">
      <c r="B1208" s="8">
        <f>IF(A1208="","",IFERROR(DATEVALUE(TEXTBEFORE(A1208,"|")),--LEFT(A1208,10)))</f>
        <v/>
      </c>
      <c r="C1208">
        <f>IF(A1208="","",TEXTBEFORE(TEXTAFTER(A1208,"|"),"|"))</f>
        <v/>
      </c>
      <c r="D1208">
        <f>IF(A1208="","",TEXTAFTER(A1208,"|",2))</f>
        <v/>
      </c>
      <c r="E1208">
        <f>IF(A1208="","",SUMIF(Tickets[TripKey],A1208,Tickets[TP]))</f>
        <v/>
      </c>
      <c r="F1208">
        <f>IF(A1208="","",SUMIF(Tickets[TripKey],A1208,Tickets[Revenue]))</f>
        <v/>
      </c>
      <c r="G1208">
        <f>IF(A1208="","",SUMIF(Tickets[TripKey],A1208,Tickets[PK]))</f>
        <v/>
      </c>
      <c r="H1208">
        <f>IF(A1208="","",IFERROR(XLOOKUP(A1208,Tickets[TripKey],Tickets[VehClean]),""))</f>
        <v/>
      </c>
      <c r="I1208">
        <f>IF(A1208="","",IFERROR(XLOOKUP(A1208,Tickets[TripKey],Tickets[RouteLen]),0))</f>
        <v/>
      </c>
      <c r="J1208">
        <f>IF(A1208="","",IFERROR(XLOOKUP(A1208,Tickets[TripKey],Tickets[Capacity]),0))</f>
        <v/>
      </c>
      <c r="K1208">
        <f>IF(A1208="","",I1208*J1208)</f>
        <v/>
      </c>
      <c r="L1208">
        <f>IF(A1208="","",IFERROR(MINIFS(Tickets[Trip Start Time],Tickets[TripKey],A1208),""))</f>
        <v/>
      </c>
    </row>
    <row r="1209">
      <c r="B1209" s="8">
        <f>IF(A1209="","",IFERROR(DATEVALUE(TEXTBEFORE(A1209,"|")),--LEFT(A1209,10)))</f>
        <v/>
      </c>
      <c r="C1209">
        <f>IF(A1209="","",TEXTBEFORE(TEXTAFTER(A1209,"|"),"|"))</f>
        <v/>
      </c>
      <c r="D1209">
        <f>IF(A1209="","",TEXTAFTER(A1209,"|",2))</f>
        <v/>
      </c>
      <c r="E1209">
        <f>IF(A1209="","",SUMIF(Tickets[TripKey],A1209,Tickets[TP]))</f>
        <v/>
      </c>
      <c r="F1209">
        <f>IF(A1209="","",SUMIF(Tickets[TripKey],A1209,Tickets[Revenue]))</f>
        <v/>
      </c>
      <c r="G1209">
        <f>IF(A1209="","",SUMIF(Tickets[TripKey],A1209,Tickets[PK]))</f>
        <v/>
      </c>
      <c r="H1209">
        <f>IF(A1209="","",IFERROR(XLOOKUP(A1209,Tickets[TripKey],Tickets[VehClean]),""))</f>
        <v/>
      </c>
      <c r="I1209">
        <f>IF(A1209="","",IFERROR(XLOOKUP(A1209,Tickets[TripKey],Tickets[RouteLen]),0))</f>
        <v/>
      </c>
      <c r="J1209">
        <f>IF(A1209="","",IFERROR(XLOOKUP(A1209,Tickets[TripKey],Tickets[Capacity]),0))</f>
        <v/>
      </c>
      <c r="K1209">
        <f>IF(A1209="","",I1209*J1209)</f>
        <v/>
      </c>
      <c r="L1209">
        <f>IF(A1209="","",IFERROR(MINIFS(Tickets[Trip Start Time],Tickets[TripKey],A1209),""))</f>
        <v/>
      </c>
    </row>
    <row r="1210">
      <c r="B1210" s="8">
        <f>IF(A1210="","",IFERROR(DATEVALUE(TEXTBEFORE(A1210,"|")),--LEFT(A1210,10)))</f>
        <v/>
      </c>
      <c r="C1210">
        <f>IF(A1210="","",TEXTBEFORE(TEXTAFTER(A1210,"|"),"|"))</f>
        <v/>
      </c>
      <c r="D1210">
        <f>IF(A1210="","",TEXTAFTER(A1210,"|",2))</f>
        <v/>
      </c>
      <c r="E1210">
        <f>IF(A1210="","",SUMIF(Tickets[TripKey],A1210,Tickets[TP]))</f>
        <v/>
      </c>
      <c r="F1210">
        <f>IF(A1210="","",SUMIF(Tickets[TripKey],A1210,Tickets[Revenue]))</f>
        <v/>
      </c>
      <c r="G1210">
        <f>IF(A1210="","",SUMIF(Tickets[TripKey],A1210,Tickets[PK]))</f>
        <v/>
      </c>
      <c r="H1210">
        <f>IF(A1210="","",IFERROR(XLOOKUP(A1210,Tickets[TripKey],Tickets[VehClean]),""))</f>
        <v/>
      </c>
      <c r="I1210">
        <f>IF(A1210="","",IFERROR(XLOOKUP(A1210,Tickets[TripKey],Tickets[RouteLen]),0))</f>
        <v/>
      </c>
      <c r="J1210">
        <f>IF(A1210="","",IFERROR(XLOOKUP(A1210,Tickets[TripKey],Tickets[Capacity]),0))</f>
        <v/>
      </c>
      <c r="K1210">
        <f>IF(A1210="","",I1210*J1210)</f>
        <v/>
      </c>
      <c r="L1210">
        <f>IF(A1210="","",IFERROR(MINIFS(Tickets[Trip Start Time],Tickets[TripKey],A1210),""))</f>
        <v/>
      </c>
    </row>
    <row r="1211">
      <c r="B1211" s="8">
        <f>IF(A1211="","",IFERROR(DATEVALUE(TEXTBEFORE(A1211,"|")),--LEFT(A1211,10)))</f>
        <v/>
      </c>
      <c r="C1211">
        <f>IF(A1211="","",TEXTBEFORE(TEXTAFTER(A1211,"|"),"|"))</f>
        <v/>
      </c>
      <c r="D1211">
        <f>IF(A1211="","",TEXTAFTER(A1211,"|",2))</f>
        <v/>
      </c>
      <c r="E1211">
        <f>IF(A1211="","",SUMIF(Tickets[TripKey],A1211,Tickets[TP]))</f>
        <v/>
      </c>
      <c r="F1211">
        <f>IF(A1211="","",SUMIF(Tickets[TripKey],A1211,Tickets[Revenue]))</f>
        <v/>
      </c>
      <c r="G1211">
        <f>IF(A1211="","",SUMIF(Tickets[TripKey],A1211,Tickets[PK]))</f>
        <v/>
      </c>
      <c r="H1211">
        <f>IF(A1211="","",IFERROR(XLOOKUP(A1211,Tickets[TripKey],Tickets[VehClean]),""))</f>
        <v/>
      </c>
      <c r="I1211">
        <f>IF(A1211="","",IFERROR(XLOOKUP(A1211,Tickets[TripKey],Tickets[RouteLen]),0))</f>
        <v/>
      </c>
      <c r="J1211">
        <f>IF(A1211="","",IFERROR(XLOOKUP(A1211,Tickets[TripKey],Tickets[Capacity]),0))</f>
        <v/>
      </c>
      <c r="K1211">
        <f>IF(A1211="","",I1211*J1211)</f>
        <v/>
      </c>
      <c r="L1211">
        <f>IF(A1211="","",IFERROR(MINIFS(Tickets[Trip Start Time],Tickets[TripKey],A1211),""))</f>
        <v/>
      </c>
    </row>
    <row r="1212">
      <c r="B1212" s="8">
        <f>IF(A1212="","",IFERROR(DATEVALUE(TEXTBEFORE(A1212,"|")),--LEFT(A1212,10)))</f>
        <v/>
      </c>
      <c r="C1212">
        <f>IF(A1212="","",TEXTBEFORE(TEXTAFTER(A1212,"|"),"|"))</f>
        <v/>
      </c>
      <c r="D1212">
        <f>IF(A1212="","",TEXTAFTER(A1212,"|",2))</f>
        <v/>
      </c>
      <c r="E1212">
        <f>IF(A1212="","",SUMIF(Tickets[TripKey],A1212,Tickets[TP]))</f>
        <v/>
      </c>
      <c r="F1212">
        <f>IF(A1212="","",SUMIF(Tickets[TripKey],A1212,Tickets[Revenue]))</f>
        <v/>
      </c>
      <c r="G1212">
        <f>IF(A1212="","",SUMIF(Tickets[TripKey],A1212,Tickets[PK]))</f>
        <v/>
      </c>
      <c r="H1212">
        <f>IF(A1212="","",IFERROR(XLOOKUP(A1212,Tickets[TripKey],Tickets[VehClean]),""))</f>
        <v/>
      </c>
      <c r="I1212">
        <f>IF(A1212="","",IFERROR(XLOOKUP(A1212,Tickets[TripKey],Tickets[RouteLen]),0))</f>
        <v/>
      </c>
      <c r="J1212">
        <f>IF(A1212="","",IFERROR(XLOOKUP(A1212,Tickets[TripKey],Tickets[Capacity]),0))</f>
        <v/>
      </c>
      <c r="K1212">
        <f>IF(A1212="","",I1212*J1212)</f>
        <v/>
      </c>
      <c r="L1212">
        <f>IF(A1212="","",IFERROR(MINIFS(Tickets[Trip Start Time],Tickets[TripKey],A1212),""))</f>
        <v/>
      </c>
    </row>
    <row r="1213">
      <c r="B1213" s="8">
        <f>IF(A1213="","",IFERROR(DATEVALUE(TEXTBEFORE(A1213,"|")),--LEFT(A1213,10)))</f>
        <v/>
      </c>
      <c r="C1213">
        <f>IF(A1213="","",TEXTBEFORE(TEXTAFTER(A1213,"|"),"|"))</f>
        <v/>
      </c>
      <c r="D1213">
        <f>IF(A1213="","",TEXTAFTER(A1213,"|",2))</f>
        <v/>
      </c>
      <c r="E1213">
        <f>IF(A1213="","",SUMIF(Tickets[TripKey],A1213,Tickets[TP]))</f>
        <v/>
      </c>
      <c r="F1213">
        <f>IF(A1213="","",SUMIF(Tickets[TripKey],A1213,Tickets[Revenue]))</f>
        <v/>
      </c>
      <c r="G1213">
        <f>IF(A1213="","",SUMIF(Tickets[TripKey],A1213,Tickets[PK]))</f>
        <v/>
      </c>
      <c r="H1213">
        <f>IF(A1213="","",IFERROR(XLOOKUP(A1213,Tickets[TripKey],Tickets[VehClean]),""))</f>
        <v/>
      </c>
      <c r="I1213">
        <f>IF(A1213="","",IFERROR(XLOOKUP(A1213,Tickets[TripKey],Tickets[RouteLen]),0))</f>
        <v/>
      </c>
      <c r="J1213">
        <f>IF(A1213="","",IFERROR(XLOOKUP(A1213,Tickets[TripKey],Tickets[Capacity]),0))</f>
        <v/>
      </c>
      <c r="K1213">
        <f>IF(A1213="","",I1213*J1213)</f>
        <v/>
      </c>
      <c r="L1213">
        <f>IF(A1213="","",IFERROR(MINIFS(Tickets[Trip Start Time],Tickets[TripKey],A1213),""))</f>
        <v/>
      </c>
    </row>
    <row r="1214">
      <c r="B1214" s="8">
        <f>IF(A1214="","",IFERROR(DATEVALUE(TEXTBEFORE(A1214,"|")),--LEFT(A1214,10)))</f>
        <v/>
      </c>
      <c r="C1214">
        <f>IF(A1214="","",TEXTBEFORE(TEXTAFTER(A1214,"|"),"|"))</f>
        <v/>
      </c>
      <c r="D1214">
        <f>IF(A1214="","",TEXTAFTER(A1214,"|",2))</f>
        <v/>
      </c>
      <c r="E1214">
        <f>IF(A1214="","",SUMIF(Tickets[TripKey],A1214,Tickets[TP]))</f>
        <v/>
      </c>
      <c r="F1214">
        <f>IF(A1214="","",SUMIF(Tickets[TripKey],A1214,Tickets[Revenue]))</f>
        <v/>
      </c>
      <c r="G1214">
        <f>IF(A1214="","",SUMIF(Tickets[TripKey],A1214,Tickets[PK]))</f>
        <v/>
      </c>
      <c r="H1214">
        <f>IF(A1214="","",IFERROR(XLOOKUP(A1214,Tickets[TripKey],Tickets[VehClean]),""))</f>
        <v/>
      </c>
      <c r="I1214">
        <f>IF(A1214="","",IFERROR(XLOOKUP(A1214,Tickets[TripKey],Tickets[RouteLen]),0))</f>
        <v/>
      </c>
      <c r="J1214">
        <f>IF(A1214="","",IFERROR(XLOOKUP(A1214,Tickets[TripKey],Tickets[Capacity]),0))</f>
        <v/>
      </c>
      <c r="K1214">
        <f>IF(A1214="","",I1214*J1214)</f>
        <v/>
      </c>
      <c r="L1214">
        <f>IF(A1214="","",IFERROR(MINIFS(Tickets[Trip Start Time],Tickets[TripKey],A1214),""))</f>
        <v/>
      </c>
    </row>
    <row r="1215">
      <c r="B1215" s="8">
        <f>IF(A1215="","",IFERROR(DATEVALUE(TEXTBEFORE(A1215,"|")),--LEFT(A1215,10)))</f>
        <v/>
      </c>
      <c r="C1215">
        <f>IF(A1215="","",TEXTBEFORE(TEXTAFTER(A1215,"|"),"|"))</f>
        <v/>
      </c>
      <c r="D1215">
        <f>IF(A1215="","",TEXTAFTER(A1215,"|",2))</f>
        <v/>
      </c>
      <c r="E1215">
        <f>IF(A1215="","",SUMIF(Tickets[TripKey],A1215,Tickets[TP]))</f>
        <v/>
      </c>
      <c r="F1215">
        <f>IF(A1215="","",SUMIF(Tickets[TripKey],A1215,Tickets[Revenue]))</f>
        <v/>
      </c>
      <c r="G1215">
        <f>IF(A1215="","",SUMIF(Tickets[TripKey],A1215,Tickets[PK]))</f>
        <v/>
      </c>
      <c r="H1215">
        <f>IF(A1215="","",IFERROR(XLOOKUP(A1215,Tickets[TripKey],Tickets[VehClean]),""))</f>
        <v/>
      </c>
      <c r="I1215">
        <f>IF(A1215="","",IFERROR(XLOOKUP(A1215,Tickets[TripKey],Tickets[RouteLen]),0))</f>
        <v/>
      </c>
      <c r="J1215">
        <f>IF(A1215="","",IFERROR(XLOOKUP(A1215,Tickets[TripKey],Tickets[Capacity]),0))</f>
        <v/>
      </c>
      <c r="K1215">
        <f>IF(A1215="","",I1215*J1215)</f>
        <v/>
      </c>
      <c r="L1215">
        <f>IF(A1215="","",IFERROR(MINIFS(Tickets[Trip Start Time],Tickets[TripKey],A1215),""))</f>
        <v/>
      </c>
    </row>
    <row r="1216">
      <c r="B1216" s="8">
        <f>IF(A1216="","",IFERROR(DATEVALUE(TEXTBEFORE(A1216,"|")),--LEFT(A1216,10)))</f>
        <v/>
      </c>
      <c r="C1216">
        <f>IF(A1216="","",TEXTBEFORE(TEXTAFTER(A1216,"|"),"|"))</f>
        <v/>
      </c>
      <c r="D1216">
        <f>IF(A1216="","",TEXTAFTER(A1216,"|",2))</f>
        <v/>
      </c>
      <c r="E1216">
        <f>IF(A1216="","",SUMIF(Tickets[TripKey],A1216,Tickets[TP]))</f>
        <v/>
      </c>
      <c r="F1216">
        <f>IF(A1216="","",SUMIF(Tickets[TripKey],A1216,Tickets[Revenue]))</f>
        <v/>
      </c>
      <c r="G1216">
        <f>IF(A1216="","",SUMIF(Tickets[TripKey],A1216,Tickets[PK]))</f>
        <v/>
      </c>
      <c r="H1216">
        <f>IF(A1216="","",IFERROR(XLOOKUP(A1216,Tickets[TripKey],Tickets[VehClean]),""))</f>
        <v/>
      </c>
      <c r="I1216">
        <f>IF(A1216="","",IFERROR(XLOOKUP(A1216,Tickets[TripKey],Tickets[RouteLen]),0))</f>
        <v/>
      </c>
      <c r="J1216">
        <f>IF(A1216="","",IFERROR(XLOOKUP(A1216,Tickets[TripKey],Tickets[Capacity]),0))</f>
        <v/>
      </c>
      <c r="K1216">
        <f>IF(A1216="","",I1216*J1216)</f>
        <v/>
      </c>
      <c r="L1216">
        <f>IF(A1216="","",IFERROR(MINIFS(Tickets[Trip Start Time],Tickets[TripKey],A1216),""))</f>
        <v/>
      </c>
    </row>
    <row r="1217">
      <c r="B1217" s="8">
        <f>IF(A1217="","",IFERROR(DATEVALUE(TEXTBEFORE(A1217,"|")),--LEFT(A1217,10)))</f>
        <v/>
      </c>
      <c r="C1217">
        <f>IF(A1217="","",TEXTBEFORE(TEXTAFTER(A1217,"|"),"|"))</f>
        <v/>
      </c>
      <c r="D1217">
        <f>IF(A1217="","",TEXTAFTER(A1217,"|",2))</f>
        <v/>
      </c>
      <c r="E1217">
        <f>IF(A1217="","",SUMIF(Tickets[TripKey],A1217,Tickets[TP]))</f>
        <v/>
      </c>
      <c r="F1217">
        <f>IF(A1217="","",SUMIF(Tickets[TripKey],A1217,Tickets[Revenue]))</f>
        <v/>
      </c>
      <c r="G1217">
        <f>IF(A1217="","",SUMIF(Tickets[TripKey],A1217,Tickets[PK]))</f>
        <v/>
      </c>
      <c r="H1217">
        <f>IF(A1217="","",IFERROR(XLOOKUP(A1217,Tickets[TripKey],Tickets[VehClean]),""))</f>
        <v/>
      </c>
      <c r="I1217">
        <f>IF(A1217="","",IFERROR(XLOOKUP(A1217,Tickets[TripKey],Tickets[RouteLen]),0))</f>
        <v/>
      </c>
      <c r="J1217">
        <f>IF(A1217="","",IFERROR(XLOOKUP(A1217,Tickets[TripKey],Tickets[Capacity]),0))</f>
        <v/>
      </c>
      <c r="K1217">
        <f>IF(A1217="","",I1217*J1217)</f>
        <v/>
      </c>
      <c r="L1217">
        <f>IF(A1217="","",IFERROR(MINIFS(Tickets[Trip Start Time],Tickets[TripKey],A1217),""))</f>
        <v/>
      </c>
    </row>
    <row r="1218">
      <c r="B1218" s="8">
        <f>IF(A1218="","",IFERROR(DATEVALUE(TEXTBEFORE(A1218,"|")),--LEFT(A1218,10)))</f>
        <v/>
      </c>
      <c r="C1218">
        <f>IF(A1218="","",TEXTBEFORE(TEXTAFTER(A1218,"|"),"|"))</f>
        <v/>
      </c>
      <c r="D1218">
        <f>IF(A1218="","",TEXTAFTER(A1218,"|",2))</f>
        <v/>
      </c>
      <c r="E1218">
        <f>IF(A1218="","",SUMIF(Tickets[TripKey],A1218,Tickets[TP]))</f>
        <v/>
      </c>
      <c r="F1218">
        <f>IF(A1218="","",SUMIF(Tickets[TripKey],A1218,Tickets[Revenue]))</f>
        <v/>
      </c>
      <c r="G1218">
        <f>IF(A1218="","",SUMIF(Tickets[TripKey],A1218,Tickets[PK]))</f>
        <v/>
      </c>
      <c r="H1218">
        <f>IF(A1218="","",IFERROR(XLOOKUP(A1218,Tickets[TripKey],Tickets[VehClean]),""))</f>
        <v/>
      </c>
      <c r="I1218">
        <f>IF(A1218="","",IFERROR(XLOOKUP(A1218,Tickets[TripKey],Tickets[RouteLen]),0))</f>
        <v/>
      </c>
      <c r="J1218">
        <f>IF(A1218="","",IFERROR(XLOOKUP(A1218,Tickets[TripKey],Tickets[Capacity]),0))</f>
        <v/>
      </c>
      <c r="K1218">
        <f>IF(A1218="","",I1218*J1218)</f>
        <v/>
      </c>
      <c r="L1218">
        <f>IF(A1218="","",IFERROR(MINIFS(Tickets[Trip Start Time],Tickets[TripKey],A1218),""))</f>
        <v/>
      </c>
    </row>
    <row r="1219">
      <c r="B1219" s="8">
        <f>IF(A1219="","",IFERROR(DATEVALUE(TEXTBEFORE(A1219,"|")),--LEFT(A1219,10)))</f>
        <v/>
      </c>
      <c r="C1219">
        <f>IF(A1219="","",TEXTBEFORE(TEXTAFTER(A1219,"|"),"|"))</f>
        <v/>
      </c>
      <c r="D1219">
        <f>IF(A1219="","",TEXTAFTER(A1219,"|",2))</f>
        <v/>
      </c>
      <c r="E1219">
        <f>IF(A1219="","",SUMIF(Tickets[TripKey],A1219,Tickets[TP]))</f>
        <v/>
      </c>
      <c r="F1219">
        <f>IF(A1219="","",SUMIF(Tickets[TripKey],A1219,Tickets[Revenue]))</f>
        <v/>
      </c>
      <c r="G1219">
        <f>IF(A1219="","",SUMIF(Tickets[TripKey],A1219,Tickets[PK]))</f>
        <v/>
      </c>
      <c r="H1219">
        <f>IF(A1219="","",IFERROR(XLOOKUP(A1219,Tickets[TripKey],Tickets[VehClean]),""))</f>
        <v/>
      </c>
      <c r="I1219">
        <f>IF(A1219="","",IFERROR(XLOOKUP(A1219,Tickets[TripKey],Tickets[RouteLen]),0))</f>
        <v/>
      </c>
      <c r="J1219">
        <f>IF(A1219="","",IFERROR(XLOOKUP(A1219,Tickets[TripKey],Tickets[Capacity]),0))</f>
        <v/>
      </c>
      <c r="K1219">
        <f>IF(A1219="","",I1219*J1219)</f>
        <v/>
      </c>
      <c r="L1219">
        <f>IF(A1219="","",IFERROR(MINIFS(Tickets[Trip Start Time],Tickets[TripKey],A1219),""))</f>
        <v/>
      </c>
    </row>
    <row r="1220">
      <c r="B1220" s="8">
        <f>IF(A1220="","",IFERROR(DATEVALUE(TEXTBEFORE(A1220,"|")),--LEFT(A1220,10)))</f>
        <v/>
      </c>
      <c r="C1220">
        <f>IF(A1220="","",TEXTBEFORE(TEXTAFTER(A1220,"|"),"|"))</f>
        <v/>
      </c>
      <c r="D1220">
        <f>IF(A1220="","",TEXTAFTER(A1220,"|",2))</f>
        <v/>
      </c>
      <c r="E1220">
        <f>IF(A1220="","",SUMIF(Tickets[TripKey],A1220,Tickets[TP]))</f>
        <v/>
      </c>
      <c r="F1220">
        <f>IF(A1220="","",SUMIF(Tickets[TripKey],A1220,Tickets[Revenue]))</f>
        <v/>
      </c>
      <c r="G1220">
        <f>IF(A1220="","",SUMIF(Tickets[TripKey],A1220,Tickets[PK]))</f>
        <v/>
      </c>
      <c r="H1220">
        <f>IF(A1220="","",IFERROR(XLOOKUP(A1220,Tickets[TripKey],Tickets[VehClean]),""))</f>
        <v/>
      </c>
      <c r="I1220">
        <f>IF(A1220="","",IFERROR(XLOOKUP(A1220,Tickets[TripKey],Tickets[RouteLen]),0))</f>
        <v/>
      </c>
      <c r="J1220">
        <f>IF(A1220="","",IFERROR(XLOOKUP(A1220,Tickets[TripKey],Tickets[Capacity]),0))</f>
        <v/>
      </c>
      <c r="K1220">
        <f>IF(A1220="","",I1220*J1220)</f>
        <v/>
      </c>
      <c r="L1220">
        <f>IF(A1220="","",IFERROR(MINIFS(Tickets[Trip Start Time],Tickets[TripKey],A1220),""))</f>
        <v/>
      </c>
    </row>
    <row r="1221">
      <c r="B1221" s="8">
        <f>IF(A1221="","",IFERROR(DATEVALUE(TEXTBEFORE(A1221,"|")),--LEFT(A1221,10)))</f>
        <v/>
      </c>
      <c r="C1221">
        <f>IF(A1221="","",TEXTBEFORE(TEXTAFTER(A1221,"|"),"|"))</f>
        <v/>
      </c>
      <c r="D1221">
        <f>IF(A1221="","",TEXTAFTER(A1221,"|",2))</f>
        <v/>
      </c>
      <c r="E1221">
        <f>IF(A1221="","",SUMIF(Tickets[TripKey],A1221,Tickets[TP]))</f>
        <v/>
      </c>
      <c r="F1221">
        <f>IF(A1221="","",SUMIF(Tickets[TripKey],A1221,Tickets[Revenue]))</f>
        <v/>
      </c>
      <c r="G1221">
        <f>IF(A1221="","",SUMIF(Tickets[TripKey],A1221,Tickets[PK]))</f>
        <v/>
      </c>
      <c r="H1221">
        <f>IF(A1221="","",IFERROR(XLOOKUP(A1221,Tickets[TripKey],Tickets[VehClean]),""))</f>
        <v/>
      </c>
      <c r="I1221">
        <f>IF(A1221="","",IFERROR(XLOOKUP(A1221,Tickets[TripKey],Tickets[RouteLen]),0))</f>
        <v/>
      </c>
      <c r="J1221">
        <f>IF(A1221="","",IFERROR(XLOOKUP(A1221,Tickets[TripKey],Tickets[Capacity]),0))</f>
        <v/>
      </c>
      <c r="K1221">
        <f>IF(A1221="","",I1221*J1221)</f>
        <v/>
      </c>
      <c r="L1221">
        <f>IF(A1221="","",IFERROR(MINIFS(Tickets[Trip Start Time],Tickets[TripKey],A1221),""))</f>
        <v/>
      </c>
    </row>
    <row r="1222">
      <c r="B1222" s="8">
        <f>IF(A1222="","",IFERROR(DATEVALUE(TEXTBEFORE(A1222,"|")),--LEFT(A1222,10)))</f>
        <v/>
      </c>
      <c r="C1222">
        <f>IF(A1222="","",TEXTBEFORE(TEXTAFTER(A1222,"|"),"|"))</f>
        <v/>
      </c>
      <c r="D1222">
        <f>IF(A1222="","",TEXTAFTER(A1222,"|",2))</f>
        <v/>
      </c>
      <c r="E1222">
        <f>IF(A1222="","",SUMIF(Tickets[TripKey],A1222,Tickets[TP]))</f>
        <v/>
      </c>
      <c r="F1222">
        <f>IF(A1222="","",SUMIF(Tickets[TripKey],A1222,Tickets[Revenue]))</f>
        <v/>
      </c>
      <c r="G1222">
        <f>IF(A1222="","",SUMIF(Tickets[TripKey],A1222,Tickets[PK]))</f>
        <v/>
      </c>
      <c r="H1222">
        <f>IF(A1222="","",IFERROR(XLOOKUP(A1222,Tickets[TripKey],Tickets[VehClean]),""))</f>
        <v/>
      </c>
      <c r="I1222">
        <f>IF(A1222="","",IFERROR(XLOOKUP(A1222,Tickets[TripKey],Tickets[RouteLen]),0))</f>
        <v/>
      </c>
      <c r="J1222">
        <f>IF(A1222="","",IFERROR(XLOOKUP(A1222,Tickets[TripKey],Tickets[Capacity]),0))</f>
        <v/>
      </c>
      <c r="K1222">
        <f>IF(A1222="","",I1222*J1222)</f>
        <v/>
      </c>
      <c r="L1222">
        <f>IF(A1222="","",IFERROR(MINIFS(Tickets[Trip Start Time],Tickets[TripKey],A1222),""))</f>
        <v/>
      </c>
    </row>
    <row r="1223">
      <c r="B1223" s="8">
        <f>IF(A1223="","",IFERROR(DATEVALUE(TEXTBEFORE(A1223,"|")),--LEFT(A1223,10)))</f>
        <v/>
      </c>
      <c r="C1223">
        <f>IF(A1223="","",TEXTBEFORE(TEXTAFTER(A1223,"|"),"|"))</f>
        <v/>
      </c>
      <c r="D1223">
        <f>IF(A1223="","",TEXTAFTER(A1223,"|",2))</f>
        <v/>
      </c>
      <c r="E1223">
        <f>IF(A1223="","",SUMIF(Tickets[TripKey],A1223,Tickets[TP]))</f>
        <v/>
      </c>
      <c r="F1223">
        <f>IF(A1223="","",SUMIF(Tickets[TripKey],A1223,Tickets[Revenue]))</f>
        <v/>
      </c>
      <c r="G1223">
        <f>IF(A1223="","",SUMIF(Tickets[TripKey],A1223,Tickets[PK]))</f>
        <v/>
      </c>
      <c r="H1223">
        <f>IF(A1223="","",IFERROR(XLOOKUP(A1223,Tickets[TripKey],Tickets[VehClean]),""))</f>
        <v/>
      </c>
      <c r="I1223">
        <f>IF(A1223="","",IFERROR(XLOOKUP(A1223,Tickets[TripKey],Tickets[RouteLen]),0))</f>
        <v/>
      </c>
      <c r="J1223">
        <f>IF(A1223="","",IFERROR(XLOOKUP(A1223,Tickets[TripKey],Tickets[Capacity]),0))</f>
        <v/>
      </c>
      <c r="K1223">
        <f>IF(A1223="","",I1223*J1223)</f>
        <v/>
      </c>
      <c r="L1223">
        <f>IF(A1223="","",IFERROR(MINIFS(Tickets[Trip Start Time],Tickets[TripKey],A1223),""))</f>
        <v/>
      </c>
    </row>
    <row r="1224">
      <c r="B1224" s="8">
        <f>IF(A1224="","",IFERROR(DATEVALUE(TEXTBEFORE(A1224,"|")),--LEFT(A1224,10)))</f>
        <v/>
      </c>
      <c r="C1224">
        <f>IF(A1224="","",TEXTBEFORE(TEXTAFTER(A1224,"|"),"|"))</f>
        <v/>
      </c>
      <c r="D1224">
        <f>IF(A1224="","",TEXTAFTER(A1224,"|",2))</f>
        <v/>
      </c>
      <c r="E1224">
        <f>IF(A1224="","",SUMIF(Tickets[TripKey],A1224,Tickets[TP]))</f>
        <v/>
      </c>
      <c r="F1224">
        <f>IF(A1224="","",SUMIF(Tickets[TripKey],A1224,Tickets[Revenue]))</f>
        <v/>
      </c>
      <c r="G1224">
        <f>IF(A1224="","",SUMIF(Tickets[TripKey],A1224,Tickets[PK]))</f>
        <v/>
      </c>
      <c r="H1224">
        <f>IF(A1224="","",IFERROR(XLOOKUP(A1224,Tickets[TripKey],Tickets[VehClean]),""))</f>
        <v/>
      </c>
      <c r="I1224">
        <f>IF(A1224="","",IFERROR(XLOOKUP(A1224,Tickets[TripKey],Tickets[RouteLen]),0))</f>
        <v/>
      </c>
      <c r="J1224">
        <f>IF(A1224="","",IFERROR(XLOOKUP(A1224,Tickets[TripKey],Tickets[Capacity]),0))</f>
        <v/>
      </c>
      <c r="K1224">
        <f>IF(A1224="","",I1224*J1224)</f>
        <v/>
      </c>
      <c r="L1224">
        <f>IF(A1224="","",IFERROR(MINIFS(Tickets[Trip Start Time],Tickets[TripKey],A1224),""))</f>
        <v/>
      </c>
    </row>
    <row r="1225">
      <c r="B1225" s="8">
        <f>IF(A1225="","",IFERROR(DATEVALUE(TEXTBEFORE(A1225,"|")),--LEFT(A1225,10)))</f>
        <v/>
      </c>
      <c r="C1225">
        <f>IF(A1225="","",TEXTBEFORE(TEXTAFTER(A1225,"|"),"|"))</f>
        <v/>
      </c>
      <c r="D1225">
        <f>IF(A1225="","",TEXTAFTER(A1225,"|",2))</f>
        <v/>
      </c>
      <c r="E1225">
        <f>IF(A1225="","",SUMIF(Tickets[TripKey],A1225,Tickets[TP]))</f>
        <v/>
      </c>
      <c r="F1225">
        <f>IF(A1225="","",SUMIF(Tickets[TripKey],A1225,Tickets[Revenue]))</f>
        <v/>
      </c>
      <c r="G1225">
        <f>IF(A1225="","",SUMIF(Tickets[TripKey],A1225,Tickets[PK]))</f>
        <v/>
      </c>
      <c r="H1225">
        <f>IF(A1225="","",IFERROR(XLOOKUP(A1225,Tickets[TripKey],Tickets[VehClean]),""))</f>
        <v/>
      </c>
      <c r="I1225">
        <f>IF(A1225="","",IFERROR(XLOOKUP(A1225,Tickets[TripKey],Tickets[RouteLen]),0))</f>
        <v/>
      </c>
      <c r="J1225">
        <f>IF(A1225="","",IFERROR(XLOOKUP(A1225,Tickets[TripKey],Tickets[Capacity]),0))</f>
        <v/>
      </c>
      <c r="K1225">
        <f>IF(A1225="","",I1225*J1225)</f>
        <v/>
      </c>
      <c r="L1225">
        <f>IF(A1225="","",IFERROR(MINIFS(Tickets[Trip Start Time],Tickets[TripKey],A1225),""))</f>
        <v/>
      </c>
    </row>
    <row r="1226">
      <c r="B1226" s="8">
        <f>IF(A1226="","",IFERROR(DATEVALUE(TEXTBEFORE(A1226,"|")),--LEFT(A1226,10)))</f>
        <v/>
      </c>
      <c r="C1226">
        <f>IF(A1226="","",TEXTBEFORE(TEXTAFTER(A1226,"|"),"|"))</f>
        <v/>
      </c>
      <c r="D1226">
        <f>IF(A1226="","",TEXTAFTER(A1226,"|",2))</f>
        <v/>
      </c>
      <c r="E1226">
        <f>IF(A1226="","",SUMIF(Tickets[TripKey],A1226,Tickets[TP]))</f>
        <v/>
      </c>
      <c r="F1226">
        <f>IF(A1226="","",SUMIF(Tickets[TripKey],A1226,Tickets[Revenue]))</f>
        <v/>
      </c>
      <c r="G1226">
        <f>IF(A1226="","",SUMIF(Tickets[TripKey],A1226,Tickets[PK]))</f>
        <v/>
      </c>
      <c r="H1226">
        <f>IF(A1226="","",IFERROR(XLOOKUP(A1226,Tickets[TripKey],Tickets[VehClean]),""))</f>
        <v/>
      </c>
      <c r="I1226">
        <f>IF(A1226="","",IFERROR(XLOOKUP(A1226,Tickets[TripKey],Tickets[RouteLen]),0))</f>
        <v/>
      </c>
      <c r="J1226">
        <f>IF(A1226="","",IFERROR(XLOOKUP(A1226,Tickets[TripKey],Tickets[Capacity]),0))</f>
        <v/>
      </c>
      <c r="K1226">
        <f>IF(A1226="","",I1226*J1226)</f>
        <v/>
      </c>
      <c r="L1226">
        <f>IF(A1226="","",IFERROR(MINIFS(Tickets[Trip Start Time],Tickets[TripKey],A1226),""))</f>
        <v/>
      </c>
    </row>
    <row r="1227">
      <c r="B1227" s="8">
        <f>IF(A1227="","",IFERROR(DATEVALUE(TEXTBEFORE(A1227,"|")),--LEFT(A1227,10)))</f>
        <v/>
      </c>
      <c r="C1227">
        <f>IF(A1227="","",TEXTBEFORE(TEXTAFTER(A1227,"|"),"|"))</f>
        <v/>
      </c>
      <c r="D1227">
        <f>IF(A1227="","",TEXTAFTER(A1227,"|",2))</f>
        <v/>
      </c>
      <c r="E1227">
        <f>IF(A1227="","",SUMIF(Tickets[TripKey],A1227,Tickets[TP]))</f>
        <v/>
      </c>
      <c r="F1227">
        <f>IF(A1227="","",SUMIF(Tickets[TripKey],A1227,Tickets[Revenue]))</f>
        <v/>
      </c>
      <c r="G1227">
        <f>IF(A1227="","",SUMIF(Tickets[TripKey],A1227,Tickets[PK]))</f>
        <v/>
      </c>
      <c r="H1227">
        <f>IF(A1227="","",IFERROR(XLOOKUP(A1227,Tickets[TripKey],Tickets[VehClean]),""))</f>
        <v/>
      </c>
      <c r="I1227">
        <f>IF(A1227="","",IFERROR(XLOOKUP(A1227,Tickets[TripKey],Tickets[RouteLen]),0))</f>
        <v/>
      </c>
      <c r="J1227">
        <f>IF(A1227="","",IFERROR(XLOOKUP(A1227,Tickets[TripKey],Tickets[Capacity]),0))</f>
        <v/>
      </c>
      <c r="K1227">
        <f>IF(A1227="","",I1227*J1227)</f>
        <v/>
      </c>
      <c r="L1227">
        <f>IF(A1227="","",IFERROR(MINIFS(Tickets[Trip Start Time],Tickets[TripKey],A1227),""))</f>
        <v/>
      </c>
    </row>
    <row r="1228">
      <c r="B1228" s="8">
        <f>IF(A1228="","",IFERROR(DATEVALUE(TEXTBEFORE(A1228,"|")),--LEFT(A1228,10)))</f>
        <v/>
      </c>
      <c r="C1228">
        <f>IF(A1228="","",TEXTBEFORE(TEXTAFTER(A1228,"|"),"|"))</f>
        <v/>
      </c>
      <c r="D1228">
        <f>IF(A1228="","",TEXTAFTER(A1228,"|",2))</f>
        <v/>
      </c>
      <c r="E1228">
        <f>IF(A1228="","",SUMIF(Tickets[TripKey],A1228,Tickets[TP]))</f>
        <v/>
      </c>
      <c r="F1228">
        <f>IF(A1228="","",SUMIF(Tickets[TripKey],A1228,Tickets[Revenue]))</f>
        <v/>
      </c>
      <c r="G1228">
        <f>IF(A1228="","",SUMIF(Tickets[TripKey],A1228,Tickets[PK]))</f>
        <v/>
      </c>
      <c r="H1228">
        <f>IF(A1228="","",IFERROR(XLOOKUP(A1228,Tickets[TripKey],Tickets[VehClean]),""))</f>
        <v/>
      </c>
      <c r="I1228">
        <f>IF(A1228="","",IFERROR(XLOOKUP(A1228,Tickets[TripKey],Tickets[RouteLen]),0))</f>
        <v/>
      </c>
      <c r="J1228">
        <f>IF(A1228="","",IFERROR(XLOOKUP(A1228,Tickets[TripKey],Tickets[Capacity]),0))</f>
        <v/>
      </c>
      <c r="K1228">
        <f>IF(A1228="","",I1228*J1228)</f>
        <v/>
      </c>
      <c r="L1228">
        <f>IF(A1228="","",IFERROR(MINIFS(Tickets[Trip Start Time],Tickets[TripKey],A1228),""))</f>
        <v/>
      </c>
    </row>
    <row r="1229">
      <c r="B1229" s="8">
        <f>IF(A1229="","",IFERROR(DATEVALUE(TEXTBEFORE(A1229,"|")),--LEFT(A1229,10)))</f>
        <v/>
      </c>
      <c r="C1229">
        <f>IF(A1229="","",TEXTBEFORE(TEXTAFTER(A1229,"|"),"|"))</f>
        <v/>
      </c>
      <c r="D1229">
        <f>IF(A1229="","",TEXTAFTER(A1229,"|",2))</f>
        <v/>
      </c>
      <c r="E1229">
        <f>IF(A1229="","",SUMIF(Tickets[TripKey],A1229,Tickets[TP]))</f>
        <v/>
      </c>
      <c r="F1229">
        <f>IF(A1229="","",SUMIF(Tickets[TripKey],A1229,Tickets[Revenue]))</f>
        <v/>
      </c>
      <c r="G1229">
        <f>IF(A1229="","",SUMIF(Tickets[TripKey],A1229,Tickets[PK]))</f>
        <v/>
      </c>
      <c r="H1229">
        <f>IF(A1229="","",IFERROR(XLOOKUP(A1229,Tickets[TripKey],Tickets[VehClean]),""))</f>
        <v/>
      </c>
      <c r="I1229">
        <f>IF(A1229="","",IFERROR(XLOOKUP(A1229,Tickets[TripKey],Tickets[RouteLen]),0))</f>
        <v/>
      </c>
      <c r="J1229">
        <f>IF(A1229="","",IFERROR(XLOOKUP(A1229,Tickets[TripKey],Tickets[Capacity]),0))</f>
        <v/>
      </c>
      <c r="K1229">
        <f>IF(A1229="","",I1229*J1229)</f>
        <v/>
      </c>
      <c r="L1229">
        <f>IF(A1229="","",IFERROR(MINIFS(Tickets[Trip Start Time],Tickets[TripKey],A1229),""))</f>
        <v/>
      </c>
    </row>
    <row r="1230">
      <c r="B1230" s="8">
        <f>IF(A1230="","",IFERROR(DATEVALUE(TEXTBEFORE(A1230,"|")),--LEFT(A1230,10)))</f>
        <v/>
      </c>
      <c r="C1230">
        <f>IF(A1230="","",TEXTBEFORE(TEXTAFTER(A1230,"|"),"|"))</f>
        <v/>
      </c>
      <c r="D1230">
        <f>IF(A1230="","",TEXTAFTER(A1230,"|",2))</f>
        <v/>
      </c>
      <c r="E1230">
        <f>IF(A1230="","",SUMIF(Tickets[TripKey],A1230,Tickets[TP]))</f>
        <v/>
      </c>
      <c r="F1230">
        <f>IF(A1230="","",SUMIF(Tickets[TripKey],A1230,Tickets[Revenue]))</f>
        <v/>
      </c>
      <c r="G1230">
        <f>IF(A1230="","",SUMIF(Tickets[TripKey],A1230,Tickets[PK]))</f>
        <v/>
      </c>
      <c r="H1230">
        <f>IF(A1230="","",IFERROR(XLOOKUP(A1230,Tickets[TripKey],Tickets[VehClean]),""))</f>
        <v/>
      </c>
      <c r="I1230">
        <f>IF(A1230="","",IFERROR(XLOOKUP(A1230,Tickets[TripKey],Tickets[RouteLen]),0))</f>
        <v/>
      </c>
      <c r="J1230">
        <f>IF(A1230="","",IFERROR(XLOOKUP(A1230,Tickets[TripKey],Tickets[Capacity]),0))</f>
        <v/>
      </c>
      <c r="K1230">
        <f>IF(A1230="","",I1230*J1230)</f>
        <v/>
      </c>
      <c r="L1230">
        <f>IF(A1230="","",IFERROR(MINIFS(Tickets[Trip Start Time],Tickets[TripKey],A1230),""))</f>
        <v/>
      </c>
    </row>
    <row r="1231">
      <c r="B1231" s="8">
        <f>IF(A1231="","",IFERROR(DATEVALUE(TEXTBEFORE(A1231,"|")),--LEFT(A1231,10)))</f>
        <v/>
      </c>
      <c r="C1231">
        <f>IF(A1231="","",TEXTBEFORE(TEXTAFTER(A1231,"|"),"|"))</f>
        <v/>
      </c>
      <c r="D1231">
        <f>IF(A1231="","",TEXTAFTER(A1231,"|",2))</f>
        <v/>
      </c>
      <c r="E1231">
        <f>IF(A1231="","",SUMIF(Tickets[TripKey],A1231,Tickets[TP]))</f>
        <v/>
      </c>
      <c r="F1231">
        <f>IF(A1231="","",SUMIF(Tickets[TripKey],A1231,Tickets[Revenue]))</f>
        <v/>
      </c>
      <c r="G1231">
        <f>IF(A1231="","",SUMIF(Tickets[TripKey],A1231,Tickets[PK]))</f>
        <v/>
      </c>
      <c r="H1231">
        <f>IF(A1231="","",IFERROR(XLOOKUP(A1231,Tickets[TripKey],Tickets[VehClean]),""))</f>
        <v/>
      </c>
      <c r="I1231">
        <f>IF(A1231="","",IFERROR(XLOOKUP(A1231,Tickets[TripKey],Tickets[RouteLen]),0))</f>
        <v/>
      </c>
      <c r="J1231">
        <f>IF(A1231="","",IFERROR(XLOOKUP(A1231,Tickets[TripKey],Tickets[Capacity]),0))</f>
        <v/>
      </c>
      <c r="K1231">
        <f>IF(A1231="","",I1231*J1231)</f>
        <v/>
      </c>
      <c r="L1231">
        <f>IF(A1231="","",IFERROR(MINIFS(Tickets[Trip Start Time],Tickets[TripKey],A1231),""))</f>
        <v/>
      </c>
    </row>
    <row r="1232">
      <c r="B1232" s="8">
        <f>IF(A1232="","",IFERROR(DATEVALUE(TEXTBEFORE(A1232,"|")),--LEFT(A1232,10)))</f>
        <v/>
      </c>
      <c r="C1232">
        <f>IF(A1232="","",TEXTBEFORE(TEXTAFTER(A1232,"|"),"|"))</f>
        <v/>
      </c>
      <c r="D1232">
        <f>IF(A1232="","",TEXTAFTER(A1232,"|",2))</f>
        <v/>
      </c>
      <c r="E1232">
        <f>IF(A1232="","",SUMIF(Tickets[TripKey],A1232,Tickets[TP]))</f>
        <v/>
      </c>
      <c r="F1232">
        <f>IF(A1232="","",SUMIF(Tickets[TripKey],A1232,Tickets[Revenue]))</f>
        <v/>
      </c>
      <c r="G1232">
        <f>IF(A1232="","",SUMIF(Tickets[TripKey],A1232,Tickets[PK]))</f>
        <v/>
      </c>
      <c r="H1232">
        <f>IF(A1232="","",IFERROR(XLOOKUP(A1232,Tickets[TripKey],Tickets[VehClean]),""))</f>
        <v/>
      </c>
      <c r="I1232">
        <f>IF(A1232="","",IFERROR(XLOOKUP(A1232,Tickets[TripKey],Tickets[RouteLen]),0))</f>
        <v/>
      </c>
      <c r="J1232">
        <f>IF(A1232="","",IFERROR(XLOOKUP(A1232,Tickets[TripKey],Tickets[Capacity]),0))</f>
        <v/>
      </c>
      <c r="K1232">
        <f>IF(A1232="","",I1232*J1232)</f>
        <v/>
      </c>
      <c r="L1232">
        <f>IF(A1232="","",IFERROR(MINIFS(Tickets[Trip Start Time],Tickets[TripKey],A1232),""))</f>
        <v/>
      </c>
    </row>
    <row r="1233">
      <c r="B1233" s="8">
        <f>IF(A1233="","",IFERROR(DATEVALUE(TEXTBEFORE(A1233,"|")),--LEFT(A1233,10)))</f>
        <v/>
      </c>
      <c r="C1233">
        <f>IF(A1233="","",TEXTBEFORE(TEXTAFTER(A1233,"|"),"|"))</f>
        <v/>
      </c>
      <c r="D1233">
        <f>IF(A1233="","",TEXTAFTER(A1233,"|",2))</f>
        <v/>
      </c>
      <c r="E1233">
        <f>IF(A1233="","",SUMIF(Tickets[TripKey],A1233,Tickets[TP]))</f>
        <v/>
      </c>
      <c r="F1233">
        <f>IF(A1233="","",SUMIF(Tickets[TripKey],A1233,Tickets[Revenue]))</f>
        <v/>
      </c>
      <c r="G1233">
        <f>IF(A1233="","",SUMIF(Tickets[TripKey],A1233,Tickets[PK]))</f>
        <v/>
      </c>
      <c r="H1233">
        <f>IF(A1233="","",IFERROR(XLOOKUP(A1233,Tickets[TripKey],Tickets[VehClean]),""))</f>
        <v/>
      </c>
      <c r="I1233">
        <f>IF(A1233="","",IFERROR(XLOOKUP(A1233,Tickets[TripKey],Tickets[RouteLen]),0))</f>
        <v/>
      </c>
      <c r="J1233">
        <f>IF(A1233="","",IFERROR(XLOOKUP(A1233,Tickets[TripKey],Tickets[Capacity]),0))</f>
        <v/>
      </c>
      <c r="K1233">
        <f>IF(A1233="","",I1233*J1233)</f>
        <v/>
      </c>
      <c r="L1233">
        <f>IF(A1233="","",IFERROR(MINIFS(Tickets[Trip Start Time],Tickets[TripKey],A1233),""))</f>
        <v/>
      </c>
    </row>
    <row r="1234">
      <c r="B1234" s="8">
        <f>IF(A1234="","",IFERROR(DATEVALUE(TEXTBEFORE(A1234,"|")),--LEFT(A1234,10)))</f>
        <v/>
      </c>
      <c r="C1234">
        <f>IF(A1234="","",TEXTBEFORE(TEXTAFTER(A1234,"|"),"|"))</f>
        <v/>
      </c>
      <c r="D1234">
        <f>IF(A1234="","",TEXTAFTER(A1234,"|",2))</f>
        <v/>
      </c>
      <c r="E1234">
        <f>IF(A1234="","",SUMIF(Tickets[TripKey],A1234,Tickets[TP]))</f>
        <v/>
      </c>
      <c r="F1234">
        <f>IF(A1234="","",SUMIF(Tickets[TripKey],A1234,Tickets[Revenue]))</f>
        <v/>
      </c>
      <c r="G1234">
        <f>IF(A1234="","",SUMIF(Tickets[TripKey],A1234,Tickets[PK]))</f>
        <v/>
      </c>
      <c r="H1234">
        <f>IF(A1234="","",IFERROR(XLOOKUP(A1234,Tickets[TripKey],Tickets[VehClean]),""))</f>
        <v/>
      </c>
      <c r="I1234">
        <f>IF(A1234="","",IFERROR(XLOOKUP(A1234,Tickets[TripKey],Tickets[RouteLen]),0))</f>
        <v/>
      </c>
      <c r="J1234">
        <f>IF(A1234="","",IFERROR(XLOOKUP(A1234,Tickets[TripKey],Tickets[Capacity]),0))</f>
        <v/>
      </c>
      <c r="K1234">
        <f>IF(A1234="","",I1234*J1234)</f>
        <v/>
      </c>
      <c r="L1234">
        <f>IF(A1234="","",IFERROR(MINIFS(Tickets[Trip Start Time],Tickets[TripKey],A1234),""))</f>
        <v/>
      </c>
    </row>
    <row r="1235">
      <c r="B1235" s="8">
        <f>IF(A1235="","",IFERROR(DATEVALUE(TEXTBEFORE(A1235,"|")),--LEFT(A1235,10)))</f>
        <v/>
      </c>
      <c r="C1235">
        <f>IF(A1235="","",TEXTBEFORE(TEXTAFTER(A1235,"|"),"|"))</f>
        <v/>
      </c>
      <c r="D1235">
        <f>IF(A1235="","",TEXTAFTER(A1235,"|",2))</f>
        <v/>
      </c>
      <c r="E1235">
        <f>IF(A1235="","",SUMIF(Tickets[TripKey],A1235,Tickets[TP]))</f>
        <v/>
      </c>
      <c r="F1235">
        <f>IF(A1235="","",SUMIF(Tickets[TripKey],A1235,Tickets[Revenue]))</f>
        <v/>
      </c>
      <c r="G1235">
        <f>IF(A1235="","",SUMIF(Tickets[TripKey],A1235,Tickets[PK]))</f>
        <v/>
      </c>
      <c r="H1235">
        <f>IF(A1235="","",IFERROR(XLOOKUP(A1235,Tickets[TripKey],Tickets[VehClean]),""))</f>
        <v/>
      </c>
      <c r="I1235">
        <f>IF(A1235="","",IFERROR(XLOOKUP(A1235,Tickets[TripKey],Tickets[RouteLen]),0))</f>
        <v/>
      </c>
      <c r="J1235">
        <f>IF(A1235="","",IFERROR(XLOOKUP(A1235,Tickets[TripKey],Tickets[Capacity]),0))</f>
        <v/>
      </c>
      <c r="K1235">
        <f>IF(A1235="","",I1235*J1235)</f>
        <v/>
      </c>
      <c r="L1235">
        <f>IF(A1235="","",IFERROR(MINIFS(Tickets[Trip Start Time],Tickets[TripKey],A1235),""))</f>
        <v/>
      </c>
    </row>
    <row r="1236">
      <c r="B1236" s="8">
        <f>IF(A1236="","",IFERROR(DATEVALUE(TEXTBEFORE(A1236,"|")),--LEFT(A1236,10)))</f>
        <v/>
      </c>
      <c r="C1236">
        <f>IF(A1236="","",TEXTBEFORE(TEXTAFTER(A1236,"|"),"|"))</f>
        <v/>
      </c>
      <c r="D1236">
        <f>IF(A1236="","",TEXTAFTER(A1236,"|",2))</f>
        <v/>
      </c>
      <c r="E1236">
        <f>IF(A1236="","",SUMIF(Tickets[TripKey],A1236,Tickets[TP]))</f>
        <v/>
      </c>
      <c r="F1236">
        <f>IF(A1236="","",SUMIF(Tickets[TripKey],A1236,Tickets[Revenue]))</f>
        <v/>
      </c>
      <c r="G1236">
        <f>IF(A1236="","",SUMIF(Tickets[TripKey],A1236,Tickets[PK]))</f>
        <v/>
      </c>
      <c r="H1236">
        <f>IF(A1236="","",IFERROR(XLOOKUP(A1236,Tickets[TripKey],Tickets[VehClean]),""))</f>
        <v/>
      </c>
      <c r="I1236">
        <f>IF(A1236="","",IFERROR(XLOOKUP(A1236,Tickets[TripKey],Tickets[RouteLen]),0))</f>
        <v/>
      </c>
      <c r="J1236">
        <f>IF(A1236="","",IFERROR(XLOOKUP(A1236,Tickets[TripKey],Tickets[Capacity]),0))</f>
        <v/>
      </c>
      <c r="K1236">
        <f>IF(A1236="","",I1236*J1236)</f>
        <v/>
      </c>
      <c r="L1236">
        <f>IF(A1236="","",IFERROR(MINIFS(Tickets[Trip Start Time],Tickets[TripKey],A1236),""))</f>
        <v/>
      </c>
    </row>
    <row r="1237">
      <c r="B1237" s="8">
        <f>IF(A1237="","",IFERROR(DATEVALUE(TEXTBEFORE(A1237,"|")),--LEFT(A1237,10)))</f>
        <v/>
      </c>
      <c r="C1237">
        <f>IF(A1237="","",TEXTBEFORE(TEXTAFTER(A1237,"|"),"|"))</f>
        <v/>
      </c>
      <c r="D1237">
        <f>IF(A1237="","",TEXTAFTER(A1237,"|",2))</f>
        <v/>
      </c>
      <c r="E1237">
        <f>IF(A1237="","",SUMIF(Tickets[TripKey],A1237,Tickets[TP]))</f>
        <v/>
      </c>
      <c r="F1237">
        <f>IF(A1237="","",SUMIF(Tickets[TripKey],A1237,Tickets[Revenue]))</f>
        <v/>
      </c>
      <c r="G1237">
        <f>IF(A1237="","",SUMIF(Tickets[TripKey],A1237,Tickets[PK]))</f>
        <v/>
      </c>
      <c r="H1237">
        <f>IF(A1237="","",IFERROR(XLOOKUP(A1237,Tickets[TripKey],Tickets[VehClean]),""))</f>
        <v/>
      </c>
      <c r="I1237">
        <f>IF(A1237="","",IFERROR(XLOOKUP(A1237,Tickets[TripKey],Tickets[RouteLen]),0))</f>
        <v/>
      </c>
      <c r="J1237">
        <f>IF(A1237="","",IFERROR(XLOOKUP(A1237,Tickets[TripKey],Tickets[Capacity]),0))</f>
        <v/>
      </c>
      <c r="K1237">
        <f>IF(A1237="","",I1237*J1237)</f>
        <v/>
      </c>
      <c r="L1237">
        <f>IF(A1237="","",IFERROR(MINIFS(Tickets[Trip Start Time],Tickets[TripKey],A1237),""))</f>
        <v/>
      </c>
    </row>
    <row r="1238">
      <c r="B1238" s="8">
        <f>IF(A1238="","",IFERROR(DATEVALUE(TEXTBEFORE(A1238,"|")),--LEFT(A1238,10)))</f>
        <v/>
      </c>
      <c r="C1238">
        <f>IF(A1238="","",TEXTBEFORE(TEXTAFTER(A1238,"|"),"|"))</f>
        <v/>
      </c>
      <c r="D1238">
        <f>IF(A1238="","",TEXTAFTER(A1238,"|",2))</f>
        <v/>
      </c>
      <c r="E1238">
        <f>IF(A1238="","",SUMIF(Tickets[TripKey],A1238,Tickets[TP]))</f>
        <v/>
      </c>
      <c r="F1238">
        <f>IF(A1238="","",SUMIF(Tickets[TripKey],A1238,Tickets[Revenue]))</f>
        <v/>
      </c>
      <c r="G1238">
        <f>IF(A1238="","",SUMIF(Tickets[TripKey],A1238,Tickets[PK]))</f>
        <v/>
      </c>
      <c r="H1238">
        <f>IF(A1238="","",IFERROR(XLOOKUP(A1238,Tickets[TripKey],Tickets[VehClean]),""))</f>
        <v/>
      </c>
      <c r="I1238">
        <f>IF(A1238="","",IFERROR(XLOOKUP(A1238,Tickets[TripKey],Tickets[RouteLen]),0))</f>
        <v/>
      </c>
      <c r="J1238">
        <f>IF(A1238="","",IFERROR(XLOOKUP(A1238,Tickets[TripKey],Tickets[Capacity]),0))</f>
        <v/>
      </c>
      <c r="K1238">
        <f>IF(A1238="","",I1238*J1238)</f>
        <v/>
      </c>
      <c r="L1238">
        <f>IF(A1238="","",IFERROR(MINIFS(Tickets[Trip Start Time],Tickets[TripKey],A1238),""))</f>
        <v/>
      </c>
    </row>
    <row r="1239">
      <c r="B1239" s="8">
        <f>IF(A1239="","",IFERROR(DATEVALUE(TEXTBEFORE(A1239,"|")),--LEFT(A1239,10)))</f>
        <v/>
      </c>
      <c r="C1239">
        <f>IF(A1239="","",TEXTBEFORE(TEXTAFTER(A1239,"|"),"|"))</f>
        <v/>
      </c>
      <c r="D1239">
        <f>IF(A1239="","",TEXTAFTER(A1239,"|",2))</f>
        <v/>
      </c>
      <c r="E1239">
        <f>IF(A1239="","",SUMIF(Tickets[TripKey],A1239,Tickets[TP]))</f>
        <v/>
      </c>
      <c r="F1239">
        <f>IF(A1239="","",SUMIF(Tickets[TripKey],A1239,Tickets[Revenue]))</f>
        <v/>
      </c>
      <c r="G1239">
        <f>IF(A1239="","",SUMIF(Tickets[TripKey],A1239,Tickets[PK]))</f>
        <v/>
      </c>
      <c r="H1239">
        <f>IF(A1239="","",IFERROR(XLOOKUP(A1239,Tickets[TripKey],Tickets[VehClean]),""))</f>
        <v/>
      </c>
      <c r="I1239">
        <f>IF(A1239="","",IFERROR(XLOOKUP(A1239,Tickets[TripKey],Tickets[RouteLen]),0))</f>
        <v/>
      </c>
      <c r="J1239">
        <f>IF(A1239="","",IFERROR(XLOOKUP(A1239,Tickets[TripKey],Tickets[Capacity]),0))</f>
        <v/>
      </c>
      <c r="K1239">
        <f>IF(A1239="","",I1239*J1239)</f>
        <v/>
      </c>
      <c r="L1239">
        <f>IF(A1239="","",IFERROR(MINIFS(Tickets[Trip Start Time],Tickets[TripKey],A1239),""))</f>
        <v/>
      </c>
    </row>
    <row r="1240">
      <c r="B1240" s="8">
        <f>IF(A1240="","",IFERROR(DATEVALUE(TEXTBEFORE(A1240,"|")),--LEFT(A1240,10)))</f>
        <v/>
      </c>
      <c r="C1240">
        <f>IF(A1240="","",TEXTBEFORE(TEXTAFTER(A1240,"|"),"|"))</f>
        <v/>
      </c>
      <c r="D1240">
        <f>IF(A1240="","",TEXTAFTER(A1240,"|",2))</f>
        <v/>
      </c>
      <c r="E1240">
        <f>IF(A1240="","",SUMIF(Tickets[TripKey],A1240,Tickets[TP]))</f>
        <v/>
      </c>
      <c r="F1240">
        <f>IF(A1240="","",SUMIF(Tickets[TripKey],A1240,Tickets[Revenue]))</f>
        <v/>
      </c>
      <c r="G1240">
        <f>IF(A1240="","",SUMIF(Tickets[TripKey],A1240,Tickets[PK]))</f>
        <v/>
      </c>
      <c r="H1240">
        <f>IF(A1240="","",IFERROR(XLOOKUP(A1240,Tickets[TripKey],Tickets[VehClean]),""))</f>
        <v/>
      </c>
      <c r="I1240">
        <f>IF(A1240="","",IFERROR(XLOOKUP(A1240,Tickets[TripKey],Tickets[RouteLen]),0))</f>
        <v/>
      </c>
      <c r="J1240">
        <f>IF(A1240="","",IFERROR(XLOOKUP(A1240,Tickets[TripKey],Tickets[Capacity]),0))</f>
        <v/>
      </c>
      <c r="K1240">
        <f>IF(A1240="","",I1240*J1240)</f>
        <v/>
      </c>
      <c r="L1240">
        <f>IF(A1240="","",IFERROR(MINIFS(Tickets[Trip Start Time],Tickets[TripKey],A1240),""))</f>
        <v/>
      </c>
    </row>
    <row r="1241">
      <c r="B1241" s="8">
        <f>IF(A1241="","",IFERROR(DATEVALUE(TEXTBEFORE(A1241,"|")),--LEFT(A1241,10)))</f>
        <v/>
      </c>
      <c r="C1241">
        <f>IF(A1241="","",TEXTBEFORE(TEXTAFTER(A1241,"|"),"|"))</f>
        <v/>
      </c>
      <c r="D1241">
        <f>IF(A1241="","",TEXTAFTER(A1241,"|",2))</f>
        <v/>
      </c>
      <c r="E1241">
        <f>IF(A1241="","",SUMIF(Tickets[TripKey],A1241,Tickets[TP]))</f>
        <v/>
      </c>
      <c r="F1241">
        <f>IF(A1241="","",SUMIF(Tickets[TripKey],A1241,Tickets[Revenue]))</f>
        <v/>
      </c>
      <c r="G1241">
        <f>IF(A1241="","",SUMIF(Tickets[TripKey],A1241,Tickets[PK]))</f>
        <v/>
      </c>
      <c r="H1241">
        <f>IF(A1241="","",IFERROR(XLOOKUP(A1241,Tickets[TripKey],Tickets[VehClean]),""))</f>
        <v/>
      </c>
      <c r="I1241">
        <f>IF(A1241="","",IFERROR(XLOOKUP(A1241,Tickets[TripKey],Tickets[RouteLen]),0))</f>
        <v/>
      </c>
      <c r="J1241">
        <f>IF(A1241="","",IFERROR(XLOOKUP(A1241,Tickets[TripKey],Tickets[Capacity]),0))</f>
        <v/>
      </c>
      <c r="K1241">
        <f>IF(A1241="","",I1241*J1241)</f>
        <v/>
      </c>
      <c r="L1241">
        <f>IF(A1241="","",IFERROR(MINIFS(Tickets[Trip Start Time],Tickets[TripKey],A1241),""))</f>
        <v/>
      </c>
    </row>
    <row r="1242">
      <c r="B1242" s="8">
        <f>IF(A1242="","",IFERROR(DATEVALUE(TEXTBEFORE(A1242,"|")),--LEFT(A1242,10)))</f>
        <v/>
      </c>
      <c r="C1242">
        <f>IF(A1242="","",TEXTBEFORE(TEXTAFTER(A1242,"|"),"|"))</f>
        <v/>
      </c>
      <c r="D1242">
        <f>IF(A1242="","",TEXTAFTER(A1242,"|",2))</f>
        <v/>
      </c>
      <c r="E1242">
        <f>IF(A1242="","",SUMIF(Tickets[TripKey],A1242,Tickets[TP]))</f>
        <v/>
      </c>
      <c r="F1242">
        <f>IF(A1242="","",SUMIF(Tickets[TripKey],A1242,Tickets[Revenue]))</f>
        <v/>
      </c>
      <c r="G1242">
        <f>IF(A1242="","",SUMIF(Tickets[TripKey],A1242,Tickets[PK]))</f>
        <v/>
      </c>
      <c r="H1242">
        <f>IF(A1242="","",IFERROR(XLOOKUP(A1242,Tickets[TripKey],Tickets[VehClean]),""))</f>
        <v/>
      </c>
      <c r="I1242">
        <f>IF(A1242="","",IFERROR(XLOOKUP(A1242,Tickets[TripKey],Tickets[RouteLen]),0))</f>
        <v/>
      </c>
      <c r="J1242">
        <f>IF(A1242="","",IFERROR(XLOOKUP(A1242,Tickets[TripKey],Tickets[Capacity]),0))</f>
        <v/>
      </c>
      <c r="K1242">
        <f>IF(A1242="","",I1242*J1242)</f>
        <v/>
      </c>
      <c r="L1242">
        <f>IF(A1242="","",IFERROR(MINIFS(Tickets[Trip Start Time],Tickets[TripKey],A1242),""))</f>
        <v/>
      </c>
    </row>
    <row r="1243">
      <c r="B1243" s="8">
        <f>IF(A1243="","",IFERROR(DATEVALUE(TEXTBEFORE(A1243,"|")),--LEFT(A1243,10)))</f>
        <v/>
      </c>
      <c r="C1243">
        <f>IF(A1243="","",TEXTBEFORE(TEXTAFTER(A1243,"|"),"|"))</f>
        <v/>
      </c>
      <c r="D1243">
        <f>IF(A1243="","",TEXTAFTER(A1243,"|",2))</f>
        <v/>
      </c>
      <c r="E1243">
        <f>IF(A1243="","",SUMIF(Tickets[TripKey],A1243,Tickets[TP]))</f>
        <v/>
      </c>
      <c r="F1243">
        <f>IF(A1243="","",SUMIF(Tickets[TripKey],A1243,Tickets[Revenue]))</f>
        <v/>
      </c>
      <c r="G1243">
        <f>IF(A1243="","",SUMIF(Tickets[TripKey],A1243,Tickets[PK]))</f>
        <v/>
      </c>
      <c r="H1243">
        <f>IF(A1243="","",IFERROR(XLOOKUP(A1243,Tickets[TripKey],Tickets[VehClean]),""))</f>
        <v/>
      </c>
      <c r="I1243">
        <f>IF(A1243="","",IFERROR(XLOOKUP(A1243,Tickets[TripKey],Tickets[RouteLen]),0))</f>
        <v/>
      </c>
      <c r="J1243">
        <f>IF(A1243="","",IFERROR(XLOOKUP(A1243,Tickets[TripKey],Tickets[Capacity]),0))</f>
        <v/>
      </c>
      <c r="K1243">
        <f>IF(A1243="","",I1243*J1243)</f>
        <v/>
      </c>
      <c r="L1243">
        <f>IF(A1243="","",IFERROR(MINIFS(Tickets[Trip Start Time],Tickets[TripKey],A1243),""))</f>
        <v/>
      </c>
    </row>
    <row r="1244">
      <c r="B1244" s="8">
        <f>IF(A1244="","",IFERROR(DATEVALUE(TEXTBEFORE(A1244,"|")),--LEFT(A1244,10)))</f>
        <v/>
      </c>
      <c r="C1244">
        <f>IF(A1244="","",TEXTBEFORE(TEXTAFTER(A1244,"|"),"|"))</f>
        <v/>
      </c>
      <c r="D1244">
        <f>IF(A1244="","",TEXTAFTER(A1244,"|",2))</f>
        <v/>
      </c>
      <c r="E1244">
        <f>IF(A1244="","",SUMIF(Tickets[TripKey],A1244,Tickets[TP]))</f>
        <v/>
      </c>
      <c r="F1244">
        <f>IF(A1244="","",SUMIF(Tickets[TripKey],A1244,Tickets[Revenue]))</f>
        <v/>
      </c>
      <c r="G1244">
        <f>IF(A1244="","",SUMIF(Tickets[TripKey],A1244,Tickets[PK]))</f>
        <v/>
      </c>
      <c r="H1244">
        <f>IF(A1244="","",IFERROR(XLOOKUP(A1244,Tickets[TripKey],Tickets[VehClean]),""))</f>
        <v/>
      </c>
      <c r="I1244">
        <f>IF(A1244="","",IFERROR(XLOOKUP(A1244,Tickets[TripKey],Tickets[RouteLen]),0))</f>
        <v/>
      </c>
      <c r="J1244">
        <f>IF(A1244="","",IFERROR(XLOOKUP(A1244,Tickets[TripKey],Tickets[Capacity]),0))</f>
        <v/>
      </c>
      <c r="K1244">
        <f>IF(A1244="","",I1244*J1244)</f>
        <v/>
      </c>
      <c r="L1244">
        <f>IF(A1244="","",IFERROR(MINIFS(Tickets[Trip Start Time],Tickets[TripKey],A1244),""))</f>
        <v/>
      </c>
    </row>
    <row r="1245">
      <c r="B1245" s="8">
        <f>IF(A1245="","",IFERROR(DATEVALUE(TEXTBEFORE(A1245,"|")),--LEFT(A1245,10)))</f>
        <v/>
      </c>
      <c r="C1245">
        <f>IF(A1245="","",TEXTBEFORE(TEXTAFTER(A1245,"|"),"|"))</f>
        <v/>
      </c>
      <c r="D1245">
        <f>IF(A1245="","",TEXTAFTER(A1245,"|",2))</f>
        <v/>
      </c>
      <c r="E1245">
        <f>IF(A1245="","",SUMIF(Tickets[TripKey],A1245,Tickets[TP]))</f>
        <v/>
      </c>
      <c r="F1245">
        <f>IF(A1245="","",SUMIF(Tickets[TripKey],A1245,Tickets[Revenue]))</f>
        <v/>
      </c>
      <c r="G1245">
        <f>IF(A1245="","",SUMIF(Tickets[TripKey],A1245,Tickets[PK]))</f>
        <v/>
      </c>
      <c r="H1245">
        <f>IF(A1245="","",IFERROR(XLOOKUP(A1245,Tickets[TripKey],Tickets[VehClean]),""))</f>
        <v/>
      </c>
      <c r="I1245">
        <f>IF(A1245="","",IFERROR(XLOOKUP(A1245,Tickets[TripKey],Tickets[RouteLen]),0))</f>
        <v/>
      </c>
      <c r="J1245">
        <f>IF(A1245="","",IFERROR(XLOOKUP(A1245,Tickets[TripKey],Tickets[Capacity]),0))</f>
        <v/>
      </c>
      <c r="K1245">
        <f>IF(A1245="","",I1245*J1245)</f>
        <v/>
      </c>
      <c r="L1245">
        <f>IF(A1245="","",IFERROR(MINIFS(Tickets[Trip Start Time],Tickets[TripKey],A1245),""))</f>
        <v/>
      </c>
    </row>
    <row r="1246">
      <c r="B1246" s="8">
        <f>IF(A1246="","",IFERROR(DATEVALUE(TEXTBEFORE(A1246,"|")),--LEFT(A1246,10)))</f>
        <v/>
      </c>
      <c r="C1246">
        <f>IF(A1246="","",TEXTBEFORE(TEXTAFTER(A1246,"|"),"|"))</f>
        <v/>
      </c>
      <c r="D1246">
        <f>IF(A1246="","",TEXTAFTER(A1246,"|",2))</f>
        <v/>
      </c>
      <c r="E1246">
        <f>IF(A1246="","",SUMIF(Tickets[TripKey],A1246,Tickets[TP]))</f>
        <v/>
      </c>
      <c r="F1246">
        <f>IF(A1246="","",SUMIF(Tickets[TripKey],A1246,Tickets[Revenue]))</f>
        <v/>
      </c>
      <c r="G1246">
        <f>IF(A1246="","",SUMIF(Tickets[TripKey],A1246,Tickets[PK]))</f>
        <v/>
      </c>
      <c r="H1246">
        <f>IF(A1246="","",IFERROR(XLOOKUP(A1246,Tickets[TripKey],Tickets[VehClean]),""))</f>
        <v/>
      </c>
      <c r="I1246">
        <f>IF(A1246="","",IFERROR(XLOOKUP(A1246,Tickets[TripKey],Tickets[RouteLen]),0))</f>
        <v/>
      </c>
      <c r="J1246">
        <f>IF(A1246="","",IFERROR(XLOOKUP(A1246,Tickets[TripKey],Tickets[Capacity]),0))</f>
        <v/>
      </c>
      <c r="K1246">
        <f>IF(A1246="","",I1246*J1246)</f>
        <v/>
      </c>
      <c r="L1246">
        <f>IF(A1246="","",IFERROR(MINIFS(Tickets[Trip Start Time],Tickets[TripKey],A1246),""))</f>
        <v/>
      </c>
    </row>
    <row r="1247">
      <c r="B1247" s="8">
        <f>IF(A1247="","",IFERROR(DATEVALUE(TEXTBEFORE(A1247,"|")),--LEFT(A1247,10)))</f>
        <v/>
      </c>
      <c r="C1247">
        <f>IF(A1247="","",TEXTBEFORE(TEXTAFTER(A1247,"|"),"|"))</f>
        <v/>
      </c>
      <c r="D1247">
        <f>IF(A1247="","",TEXTAFTER(A1247,"|",2))</f>
        <v/>
      </c>
      <c r="E1247">
        <f>IF(A1247="","",SUMIF(Tickets[TripKey],A1247,Tickets[TP]))</f>
        <v/>
      </c>
      <c r="F1247">
        <f>IF(A1247="","",SUMIF(Tickets[TripKey],A1247,Tickets[Revenue]))</f>
        <v/>
      </c>
      <c r="G1247">
        <f>IF(A1247="","",SUMIF(Tickets[TripKey],A1247,Tickets[PK]))</f>
        <v/>
      </c>
      <c r="H1247">
        <f>IF(A1247="","",IFERROR(XLOOKUP(A1247,Tickets[TripKey],Tickets[VehClean]),""))</f>
        <v/>
      </c>
      <c r="I1247">
        <f>IF(A1247="","",IFERROR(XLOOKUP(A1247,Tickets[TripKey],Tickets[RouteLen]),0))</f>
        <v/>
      </c>
      <c r="J1247">
        <f>IF(A1247="","",IFERROR(XLOOKUP(A1247,Tickets[TripKey],Tickets[Capacity]),0))</f>
        <v/>
      </c>
      <c r="K1247">
        <f>IF(A1247="","",I1247*J1247)</f>
        <v/>
      </c>
      <c r="L1247">
        <f>IF(A1247="","",IFERROR(MINIFS(Tickets[Trip Start Time],Tickets[TripKey],A1247),""))</f>
        <v/>
      </c>
    </row>
    <row r="1248">
      <c r="B1248" s="8">
        <f>IF(A1248="","",IFERROR(DATEVALUE(TEXTBEFORE(A1248,"|")),--LEFT(A1248,10)))</f>
        <v/>
      </c>
      <c r="C1248">
        <f>IF(A1248="","",TEXTBEFORE(TEXTAFTER(A1248,"|"),"|"))</f>
        <v/>
      </c>
      <c r="D1248">
        <f>IF(A1248="","",TEXTAFTER(A1248,"|",2))</f>
        <v/>
      </c>
      <c r="E1248">
        <f>IF(A1248="","",SUMIF(Tickets[TripKey],A1248,Tickets[TP]))</f>
        <v/>
      </c>
      <c r="F1248">
        <f>IF(A1248="","",SUMIF(Tickets[TripKey],A1248,Tickets[Revenue]))</f>
        <v/>
      </c>
      <c r="G1248">
        <f>IF(A1248="","",SUMIF(Tickets[TripKey],A1248,Tickets[PK]))</f>
        <v/>
      </c>
      <c r="H1248">
        <f>IF(A1248="","",IFERROR(XLOOKUP(A1248,Tickets[TripKey],Tickets[VehClean]),""))</f>
        <v/>
      </c>
      <c r="I1248">
        <f>IF(A1248="","",IFERROR(XLOOKUP(A1248,Tickets[TripKey],Tickets[RouteLen]),0))</f>
        <v/>
      </c>
      <c r="J1248">
        <f>IF(A1248="","",IFERROR(XLOOKUP(A1248,Tickets[TripKey],Tickets[Capacity]),0))</f>
        <v/>
      </c>
      <c r="K1248">
        <f>IF(A1248="","",I1248*J1248)</f>
        <v/>
      </c>
      <c r="L1248">
        <f>IF(A1248="","",IFERROR(MINIFS(Tickets[Trip Start Time],Tickets[TripKey],A1248),""))</f>
        <v/>
      </c>
    </row>
    <row r="1249">
      <c r="B1249" s="8">
        <f>IF(A1249="","",IFERROR(DATEVALUE(TEXTBEFORE(A1249,"|")),--LEFT(A1249,10)))</f>
        <v/>
      </c>
      <c r="C1249">
        <f>IF(A1249="","",TEXTBEFORE(TEXTAFTER(A1249,"|"),"|"))</f>
        <v/>
      </c>
      <c r="D1249">
        <f>IF(A1249="","",TEXTAFTER(A1249,"|",2))</f>
        <v/>
      </c>
      <c r="E1249">
        <f>IF(A1249="","",SUMIF(Tickets[TripKey],A1249,Tickets[TP]))</f>
        <v/>
      </c>
      <c r="F1249">
        <f>IF(A1249="","",SUMIF(Tickets[TripKey],A1249,Tickets[Revenue]))</f>
        <v/>
      </c>
      <c r="G1249">
        <f>IF(A1249="","",SUMIF(Tickets[TripKey],A1249,Tickets[PK]))</f>
        <v/>
      </c>
      <c r="H1249">
        <f>IF(A1249="","",IFERROR(XLOOKUP(A1249,Tickets[TripKey],Tickets[VehClean]),""))</f>
        <v/>
      </c>
      <c r="I1249">
        <f>IF(A1249="","",IFERROR(XLOOKUP(A1249,Tickets[TripKey],Tickets[RouteLen]),0))</f>
        <v/>
      </c>
      <c r="J1249">
        <f>IF(A1249="","",IFERROR(XLOOKUP(A1249,Tickets[TripKey],Tickets[Capacity]),0))</f>
        <v/>
      </c>
      <c r="K1249">
        <f>IF(A1249="","",I1249*J1249)</f>
        <v/>
      </c>
      <c r="L1249">
        <f>IF(A1249="","",IFERROR(MINIFS(Tickets[Trip Start Time],Tickets[TripKey],A1249),""))</f>
        <v/>
      </c>
    </row>
    <row r="1250">
      <c r="B1250" s="8">
        <f>IF(A1250="","",IFERROR(DATEVALUE(TEXTBEFORE(A1250,"|")),--LEFT(A1250,10)))</f>
        <v/>
      </c>
      <c r="C1250">
        <f>IF(A1250="","",TEXTBEFORE(TEXTAFTER(A1250,"|"),"|"))</f>
        <v/>
      </c>
      <c r="D1250">
        <f>IF(A1250="","",TEXTAFTER(A1250,"|",2))</f>
        <v/>
      </c>
      <c r="E1250">
        <f>IF(A1250="","",SUMIF(Tickets[TripKey],A1250,Tickets[TP]))</f>
        <v/>
      </c>
      <c r="F1250">
        <f>IF(A1250="","",SUMIF(Tickets[TripKey],A1250,Tickets[Revenue]))</f>
        <v/>
      </c>
      <c r="G1250">
        <f>IF(A1250="","",SUMIF(Tickets[TripKey],A1250,Tickets[PK]))</f>
        <v/>
      </c>
      <c r="H1250">
        <f>IF(A1250="","",IFERROR(XLOOKUP(A1250,Tickets[TripKey],Tickets[VehClean]),""))</f>
        <v/>
      </c>
      <c r="I1250">
        <f>IF(A1250="","",IFERROR(XLOOKUP(A1250,Tickets[TripKey],Tickets[RouteLen]),0))</f>
        <v/>
      </c>
      <c r="J1250">
        <f>IF(A1250="","",IFERROR(XLOOKUP(A1250,Tickets[TripKey],Tickets[Capacity]),0))</f>
        <v/>
      </c>
      <c r="K1250">
        <f>IF(A1250="","",I1250*J1250)</f>
        <v/>
      </c>
      <c r="L1250">
        <f>IF(A1250="","",IFERROR(MINIFS(Tickets[Trip Start Time],Tickets[TripKey],A1250),""))</f>
        <v/>
      </c>
    </row>
    <row r="1251">
      <c r="B1251" s="8">
        <f>IF(A1251="","",IFERROR(DATEVALUE(TEXTBEFORE(A1251,"|")),--LEFT(A1251,10)))</f>
        <v/>
      </c>
      <c r="C1251">
        <f>IF(A1251="","",TEXTBEFORE(TEXTAFTER(A1251,"|"),"|"))</f>
        <v/>
      </c>
      <c r="D1251">
        <f>IF(A1251="","",TEXTAFTER(A1251,"|",2))</f>
        <v/>
      </c>
      <c r="E1251">
        <f>IF(A1251="","",SUMIF(Tickets[TripKey],A1251,Tickets[TP]))</f>
        <v/>
      </c>
      <c r="F1251">
        <f>IF(A1251="","",SUMIF(Tickets[TripKey],A1251,Tickets[Revenue]))</f>
        <v/>
      </c>
      <c r="G1251">
        <f>IF(A1251="","",SUMIF(Tickets[TripKey],A1251,Tickets[PK]))</f>
        <v/>
      </c>
      <c r="H1251">
        <f>IF(A1251="","",IFERROR(XLOOKUP(A1251,Tickets[TripKey],Tickets[VehClean]),""))</f>
        <v/>
      </c>
      <c r="I1251">
        <f>IF(A1251="","",IFERROR(XLOOKUP(A1251,Tickets[TripKey],Tickets[RouteLen]),0))</f>
        <v/>
      </c>
      <c r="J1251">
        <f>IF(A1251="","",IFERROR(XLOOKUP(A1251,Tickets[TripKey],Tickets[Capacity]),0))</f>
        <v/>
      </c>
      <c r="K1251">
        <f>IF(A1251="","",I1251*J1251)</f>
        <v/>
      </c>
      <c r="L1251">
        <f>IF(A1251="","",IFERROR(MINIFS(Tickets[Trip Start Time],Tickets[TripKey],A1251),""))</f>
        <v/>
      </c>
    </row>
    <row r="1252">
      <c r="B1252" s="8">
        <f>IF(A1252="","",IFERROR(DATEVALUE(TEXTBEFORE(A1252,"|")),--LEFT(A1252,10)))</f>
        <v/>
      </c>
      <c r="C1252">
        <f>IF(A1252="","",TEXTBEFORE(TEXTAFTER(A1252,"|"),"|"))</f>
        <v/>
      </c>
      <c r="D1252">
        <f>IF(A1252="","",TEXTAFTER(A1252,"|",2))</f>
        <v/>
      </c>
      <c r="E1252">
        <f>IF(A1252="","",SUMIF(Tickets[TripKey],A1252,Tickets[TP]))</f>
        <v/>
      </c>
      <c r="F1252">
        <f>IF(A1252="","",SUMIF(Tickets[TripKey],A1252,Tickets[Revenue]))</f>
        <v/>
      </c>
      <c r="G1252">
        <f>IF(A1252="","",SUMIF(Tickets[TripKey],A1252,Tickets[PK]))</f>
        <v/>
      </c>
      <c r="H1252">
        <f>IF(A1252="","",IFERROR(XLOOKUP(A1252,Tickets[TripKey],Tickets[VehClean]),""))</f>
        <v/>
      </c>
      <c r="I1252">
        <f>IF(A1252="","",IFERROR(XLOOKUP(A1252,Tickets[TripKey],Tickets[RouteLen]),0))</f>
        <v/>
      </c>
      <c r="J1252">
        <f>IF(A1252="","",IFERROR(XLOOKUP(A1252,Tickets[TripKey],Tickets[Capacity]),0))</f>
        <v/>
      </c>
      <c r="K1252">
        <f>IF(A1252="","",I1252*J1252)</f>
        <v/>
      </c>
      <c r="L1252">
        <f>IF(A1252="","",IFERROR(MINIFS(Tickets[Trip Start Time],Tickets[TripKey],A1252),""))</f>
        <v/>
      </c>
    </row>
    <row r="1253">
      <c r="B1253" s="8">
        <f>IF(A1253="","",IFERROR(DATEVALUE(TEXTBEFORE(A1253,"|")),--LEFT(A1253,10)))</f>
        <v/>
      </c>
      <c r="C1253">
        <f>IF(A1253="","",TEXTBEFORE(TEXTAFTER(A1253,"|"),"|"))</f>
        <v/>
      </c>
      <c r="D1253">
        <f>IF(A1253="","",TEXTAFTER(A1253,"|",2))</f>
        <v/>
      </c>
      <c r="E1253">
        <f>IF(A1253="","",SUMIF(Tickets[TripKey],A1253,Tickets[TP]))</f>
        <v/>
      </c>
      <c r="F1253">
        <f>IF(A1253="","",SUMIF(Tickets[TripKey],A1253,Tickets[Revenue]))</f>
        <v/>
      </c>
      <c r="G1253">
        <f>IF(A1253="","",SUMIF(Tickets[TripKey],A1253,Tickets[PK]))</f>
        <v/>
      </c>
      <c r="H1253">
        <f>IF(A1253="","",IFERROR(XLOOKUP(A1253,Tickets[TripKey],Tickets[VehClean]),""))</f>
        <v/>
      </c>
      <c r="I1253">
        <f>IF(A1253="","",IFERROR(XLOOKUP(A1253,Tickets[TripKey],Tickets[RouteLen]),0))</f>
        <v/>
      </c>
      <c r="J1253">
        <f>IF(A1253="","",IFERROR(XLOOKUP(A1253,Tickets[TripKey],Tickets[Capacity]),0))</f>
        <v/>
      </c>
      <c r="K1253">
        <f>IF(A1253="","",I1253*J1253)</f>
        <v/>
      </c>
      <c r="L1253">
        <f>IF(A1253="","",IFERROR(MINIFS(Tickets[Trip Start Time],Tickets[TripKey],A1253),""))</f>
        <v/>
      </c>
    </row>
    <row r="1254">
      <c r="B1254" s="8">
        <f>IF(A1254="","",IFERROR(DATEVALUE(TEXTBEFORE(A1254,"|")),--LEFT(A1254,10)))</f>
        <v/>
      </c>
      <c r="C1254">
        <f>IF(A1254="","",TEXTBEFORE(TEXTAFTER(A1254,"|"),"|"))</f>
        <v/>
      </c>
      <c r="D1254">
        <f>IF(A1254="","",TEXTAFTER(A1254,"|",2))</f>
        <v/>
      </c>
      <c r="E1254">
        <f>IF(A1254="","",SUMIF(Tickets[TripKey],A1254,Tickets[TP]))</f>
        <v/>
      </c>
      <c r="F1254">
        <f>IF(A1254="","",SUMIF(Tickets[TripKey],A1254,Tickets[Revenue]))</f>
        <v/>
      </c>
      <c r="G1254">
        <f>IF(A1254="","",SUMIF(Tickets[TripKey],A1254,Tickets[PK]))</f>
        <v/>
      </c>
      <c r="H1254">
        <f>IF(A1254="","",IFERROR(XLOOKUP(A1254,Tickets[TripKey],Tickets[VehClean]),""))</f>
        <v/>
      </c>
      <c r="I1254">
        <f>IF(A1254="","",IFERROR(XLOOKUP(A1254,Tickets[TripKey],Tickets[RouteLen]),0))</f>
        <v/>
      </c>
      <c r="J1254">
        <f>IF(A1254="","",IFERROR(XLOOKUP(A1254,Tickets[TripKey],Tickets[Capacity]),0))</f>
        <v/>
      </c>
      <c r="K1254">
        <f>IF(A1254="","",I1254*J1254)</f>
        <v/>
      </c>
      <c r="L1254">
        <f>IF(A1254="","",IFERROR(MINIFS(Tickets[Trip Start Time],Tickets[TripKey],A1254),""))</f>
        <v/>
      </c>
    </row>
    <row r="1255">
      <c r="B1255" s="8">
        <f>IF(A1255="","",IFERROR(DATEVALUE(TEXTBEFORE(A1255,"|")),--LEFT(A1255,10)))</f>
        <v/>
      </c>
      <c r="C1255">
        <f>IF(A1255="","",TEXTBEFORE(TEXTAFTER(A1255,"|"),"|"))</f>
        <v/>
      </c>
      <c r="D1255">
        <f>IF(A1255="","",TEXTAFTER(A1255,"|",2))</f>
        <v/>
      </c>
      <c r="E1255">
        <f>IF(A1255="","",SUMIF(Tickets[TripKey],A1255,Tickets[TP]))</f>
        <v/>
      </c>
      <c r="F1255">
        <f>IF(A1255="","",SUMIF(Tickets[TripKey],A1255,Tickets[Revenue]))</f>
        <v/>
      </c>
      <c r="G1255">
        <f>IF(A1255="","",SUMIF(Tickets[TripKey],A1255,Tickets[PK]))</f>
        <v/>
      </c>
      <c r="H1255">
        <f>IF(A1255="","",IFERROR(XLOOKUP(A1255,Tickets[TripKey],Tickets[VehClean]),""))</f>
        <v/>
      </c>
      <c r="I1255">
        <f>IF(A1255="","",IFERROR(XLOOKUP(A1255,Tickets[TripKey],Tickets[RouteLen]),0))</f>
        <v/>
      </c>
      <c r="J1255">
        <f>IF(A1255="","",IFERROR(XLOOKUP(A1255,Tickets[TripKey],Tickets[Capacity]),0))</f>
        <v/>
      </c>
      <c r="K1255">
        <f>IF(A1255="","",I1255*J1255)</f>
        <v/>
      </c>
      <c r="L1255">
        <f>IF(A1255="","",IFERROR(MINIFS(Tickets[Trip Start Time],Tickets[TripKey],A1255),""))</f>
        <v/>
      </c>
    </row>
    <row r="1256">
      <c r="B1256" s="8">
        <f>IF(A1256="","",IFERROR(DATEVALUE(TEXTBEFORE(A1256,"|")),--LEFT(A1256,10)))</f>
        <v/>
      </c>
      <c r="C1256">
        <f>IF(A1256="","",TEXTBEFORE(TEXTAFTER(A1256,"|"),"|"))</f>
        <v/>
      </c>
      <c r="D1256">
        <f>IF(A1256="","",TEXTAFTER(A1256,"|",2))</f>
        <v/>
      </c>
      <c r="E1256">
        <f>IF(A1256="","",SUMIF(Tickets[TripKey],A1256,Tickets[TP]))</f>
        <v/>
      </c>
      <c r="F1256">
        <f>IF(A1256="","",SUMIF(Tickets[TripKey],A1256,Tickets[Revenue]))</f>
        <v/>
      </c>
      <c r="G1256">
        <f>IF(A1256="","",SUMIF(Tickets[TripKey],A1256,Tickets[PK]))</f>
        <v/>
      </c>
      <c r="H1256">
        <f>IF(A1256="","",IFERROR(XLOOKUP(A1256,Tickets[TripKey],Tickets[VehClean]),""))</f>
        <v/>
      </c>
      <c r="I1256">
        <f>IF(A1256="","",IFERROR(XLOOKUP(A1256,Tickets[TripKey],Tickets[RouteLen]),0))</f>
        <v/>
      </c>
      <c r="J1256">
        <f>IF(A1256="","",IFERROR(XLOOKUP(A1256,Tickets[TripKey],Tickets[Capacity]),0))</f>
        <v/>
      </c>
      <c r="K1256">
        <f>IF(A1256="","",I1256*J1256)</f>
        <v/>
      </c>
      <c r="L1256">
        <f>IF(A1256="","",IFERROR(MINIFS(Tickets[Trip Start Time],Tickets[TripKey],A1256),""))</f>
        <v/>
      </c>
    </row>
    <row r="1257">
      <c r="B1257" s="8">
        <f>IF(A1257="","",IFERROR(DATEVALUE(TEXTBEFORE(A1257,"|")),--LEFT(A1257,10)))</f>
        <v/>
      </c>
      <c r="C1257">
        <f>IF(A1257="","",TEXTBEFORE(TEXTAFTER(A1257,"|"),"|"))</f>
        <v/>
      </c>
      <c r="D1257">
        <f>IF(A1257="","",TEXTAFTER(A1257,"|",2))</f>
        <v/>
      </c>
      <c r="E1257">
        <f>IF(A1257="","",SUMIF(Tickets[TripKey],A1257,Tickets[TP]))</f>
        <v/>
      </c>
      <c r="F1257">
        <f>IF(A1257="","",SUMIF(Tickets[TripKey],A1257,Tickets[Revenue]))</f>
        <v/>
      </c>
      <c r="G1257">
        <f>IF(A1257="","",SUMIF(Tickets[TripKey],A1257,Tickets[PK]))</f>
        <v/>
      </c>
      <c r="H1257">
        <f>IF(A1257="","",IFERROR(XLOOKUP(A1257,Tickets[TripKey],Tickets[VehClean]),""))</f>
        <v/>
      </c>
      <c r="I1257">
        <f>IF(A1257="","",IFERROR(XLOOKUP(A1257,Tickets[TripKey],Tickets[RouteLen]),0))</f>
        <v/>
      </c>
      <c r="J1257">
        <f>IF(A1257="","",IFERROR(XLOOKUP(A1257,Tickets[TripKey],Tickets[Capacity]),0))</f>
        <v/>
      </c>
      <c r="K1257">
        <f>IF(A1257="","",I1257*J1257)</f>
        <v/>
      </c>
      <c r="L1257">
        <f>IF(A1257="","",IFERROR(MINIFS(Tickets[Trip Start Time],Tickets[TripKey],A1257),""))</f>
        <v/>
      </c>
    </row>
    <row r="1258">
      <c r="B1258" s="8">
        <f>IF(A1258="","",IFERROR(DATEVALUE(TEXTBEFORE(A1258,"|")),--LEFT(A1258,10)))</f>
        <v/>
      </c>
      <c r="C1258">
        <f>IF(A1258="","",TEXTBEFORE(TEXTAFTER(A1258,"|"),"|"))</f>
        <v/>
      </c>
      <c r="D1258">
        <f>IF(A1258="","",TEXTAFTER(A1258,"|",2))</f>
        <v/>
      </c>
      <c r="E1258">
        <f>IF(A1258="","",SUMIF(Tickets[TripKey],A1258,Tickets[TP]))</f>
        <v/>
      </c>
      <c r="F1258">
        <f>IF(A1258="","",SUMIF(Tickets[TripKey],A1258,Tickets[Revenue]))</f>
        <v/>
      </c>
      <c r="G1258">
        <f>IF(A1258="","",SUMIF(Tickets[TripKey],A1258,Tickets[PK]))</f>
        <v/>
      </c>
      <c r="H1258">
        <f>IF(A1258="","",IFERROR(XLOOKUP(A1258,Tickets[TripKey],Tickets[VehClean]),""))</f>
        <v/>
      </c>
      <c r="I1258">
        <f>IF(A1258="","",IFERROR(XLOOKUP(A1258,Tickets[TripKey],Tickets[RouteLen]),0))</f>
        <v/>
      </c>
      <c r="J1258">
        <f>IF(A1258="","",IFERROR(XLOOKUP(A1258,Tickets[TripKey],Tickets[Capacity]),0))</f>
        <v/>
      </c>
      <c r="K1258">
        <f>IF(A1258="","",I1258*J1258)</f>
        <v/>
      </c>
      <c r="L1258">
        <f>IF(A1258="","",IFERROR(MINIFS(Tickets[Trip Start Time],Tickets[TripKey],A1258),""))</f>
        <v/>
      </c>
    </row>
    <row r="1259">
      <c r="B1259" s="8">
        <f>IF(A1259="","",IFERROR(DATEVALUE(TEXTBEFORE(A1259,"|")),--LEFT(A1259,10)))</f>
        <v/>
      </c>
      <c r="C1259">
        <f>IF(A1259="","",TEXTBEFORE(TEXTAFTER(A1259,"|"),"|"))</f>
        <v/>
      </c>
      <c r="D1259">
        <f>IF(A1259="","",TEXTAFTER(A1259,"|",2))</f>
        <v/>
      </c>
      <c r="E1259">
        <f>IF(A1259="","",SUMIF(Tickets[TripKey],A1259,Tickets[TP]))</f>
        <v/>
      </c>
      <c r="F1259">
        <f>IF(A1259="","",SUMIF(Tickets[TripKey],A1259,Tickets[Revenue]))</f>
        <v/>
      </c>
      <c r="G1259">
        <f>IF(A1259="","",SUMIF(Tickets[TripKey],A1259,Tickets[PK]))</f>
        <v/>
      </c>
      <c r="H1259">
        <f>IF(A1259="","",IFERROR(XLOOKUP(A1259,Tickets[TripKey],Tickets[VehClean]),""))</f>
        <v/>
      </c>
      <c r="I1259">
        <f>IF(A1259="","",IFERROR(XLOOKUP(A1259,Tickets[TripKey],Tickets[RouteLen]),0))</f>
        <v/>
      </c>
      <c r="J1259">
        <f>IF(A1259="","",IFERROR(XLOOKUP(A1259,Tickets[TripKey],Tickets[Capacity]),0))</f>
        <v/>
      </c>
      <c r="K1259">
        <f>IF(A1259="","",I1259*J1259)</f>
        <v/>
      </c>
      <c r="L1259">
        <f>IF(A1259="","",IFERROR(MINIFS(Tickets[Trip Start Time],Tickets[TripKey],A1259),""))</f>
        <v/>
      </c>
    </row>
    <row r="1260">
      <c r="B1260" s="8">
        <f>IF(A1260="","",IFERROR(DATEVALUE(TEXTBEFORE(A1260,"|")),--LEFT(A1260,10)))</f>
        <v/>
      </c>
      <c r="C1260">
        <f>IF(A1260="","",TEXTBEFORE(TEXTAFTER(A1260,"|"),"|"))</f>
        <v/>
      </c>
      <c r="D1260">
        <f>IF(A1260="","",TEXTAFTER(A1260,"|",2))</f>
        <v/>
      </c>
      <c r="E1260">
        <f>IF(A1260="","",SUMIF(Tickets[TripKey],A1260,Tickets[TP]))</f>
        <v/>
      </c>
      <c r="F1260">
        <f>IF(A1260="","",SUMIF(Tickets[TripKey],A1260,Tickets[Revenue]))</f>
        <v/>
      </c>
      <c r="G1260">
        <f>IF(A1260="","",SUMIF(Tickets[TripKey],A1260,Tickets[PK]))</f>
        <v/>
      </c>
      <c r="H1260">
        <f>IF(A1260="","",IFERROR(XLOOKUP(A1260,Tickets[TripKey],Tickets[VehClean]),""))</f>
        <v/>
      </c>
      <c r="I1260">
        <f>IF(A1260="","",IFERROR(XLOOKUP(A1260,Tickets[TripKey],Tickets[RouteLen]),0))</f>
        <v/>
      </c>
      <c r="J1260">
        <f>IF(A1260="","",IFERROR(XLOOKUP(A1260,Tickets[TripKey],Tickets[Capacity]),0))</f>
        <v/>
      </c>
      <c r="K1260">
        <f>IF(A1260="","",I1260*J1260)</f>
        <v/>
      </c>
      <c r="L1260">
        <f>IF(A1260="","",IFERROR(MINIFS(Tickets[Trip Start Time],Tickets[TripKey],A1260),""))</f>
        <v/>
      </c>
    </row>
    <row r="1261">
      <c r="B1261" s="8">
        <f>IF(A1261="","",IFERROR(DATEVALUE(TEXTBEFORE(A1261,"|")),--LEFT(A1261,10)))</f>
        <v/>
      </c>
      <c r="C1261">
        <f>IF(A1261="","",TEXTBEFORE(TEXTAFTER(A1261,"|"),"|"))</f>
        <v/>
      </c>
      <c r="D1261">
        <f>IF(A1261="","",TEXTAFTER(A1261,"|",2))</f>
        <v/>
      </c>
      <c r="E1261">
        <f>IF(A1261="","",SUMIF(Tickets[TripKey],A1261,Tickets[TP]))</f>
        <v/>
      </c>
      <c r="F1261">
        <f>IF(A1261="","",SUMIF(Tickets[TripKey],A1261,Tickets[Revenue]))</f>
        <v/>
      </c>
      <c r="G1261">
        <f>IF(A1261="","",SUMIF(Tickets[TripKey],A1261,Tickets[PK]))</f>
        <v/>
      </c>
      <c r="H1261">
        <f>IF(A1261="","",IFERROR(XLOOKUP(A1261,Tickets[TripKey],Tickets[VehClean]),""))</f>
        <v/>
      </c>
      <c r="I1261">
        <f>IF(A1261="","",IFERROR(XLOOKUP(A1261,Tickets[TripKey],Tickets[RouteLen]),0))</f>
        <v/>
      </c>
      <c r="J1261">
        <f>IF(A1261="","",IFERROR(XLOOKUP(A1261,Tickets[TripKey],Tickets[Capacity]),0))</f>
        <v/>
      </c>
      <c r="K1261">
        <f>IF(A1261="","",I1261*J1261)</f>
        <v/>
      </c>
      <c r="L1261">
        <f>IF(A1261="","",IFERROR(MINIFS(Tickets[Trip Start Time],Tickets[TripKey],A1261),""))</f>
        <v/>
      </c>
    </row>
    <row r="1262">
      <c r="B1262" s="8">
        <f>IF(A1262="","",IFERROR(DATEVALUE(TEXTBEFORE(A1262,"|")),--LEFT(A1262,10)))</f>
        <v/>
      </c>
      <c r="C1262">
        <f>IF(A1262="","",TEXTBEFORE(TEXTAFTER(A1262,"|"),"|"))</f>
        <v/>
      </c>
      <c r="D1262">
        <f>IF(A1262="","",TEXTAFTER(A1262,"|",2))</f>
        <v/>
      </c>
      <c r="E1262">
        <f>IF(A1262="","",SUMIF(Tickets[TripKey],A1262,Tickets[TP]))</f>
        <v/>
      </c>
      <c r="F1262">
        <f>IF(A1262="","",SUMIF(Tickets[TripKey],A1262,Tickets[Revenue]))</f>
        <v/>
      </c>
      <c r="G1262">
        <f>IF(A1262="","",SUMIF(Tickets[TripKey],A1262,Tickets[PK]))</f>
        <v/>
      </c>
      <c r="H1262">
        <f>IF(A1262="","",IFERROR(XLOOKUP(A1262,Tickets[TripKey],Tickets[VehClean]),""))</f>
        <v/>
      </c>
      <c r="I1262">
        <f>IF(A1262="","",IFERROR(XLOOKUP(A1262,Tickets[TripKey],Tickets[RouteLen]),0))</f>
        <v/>
      </c>
      <c r="J1262">
        <f>IF(A1262="","",IFERROR(XLOOKUP(A1262,Tickets[TripKey],Tickets[Capacity]),0))</f>
        <v/>
      </c>
      <c r="K1262">
        <f>IF(A1262="","",I1262*J1262)</f>
        <v/>
      </c>
      <c r="L1262">
        <f>IF(A1262="","",IFERROR(MINIFS(Tickets[Trip Start Time],Tickets[TripKey],A1262),""))</f>
        <v/>
      </c>
    </row>
    <row r="1263">
      <c r="B1263" s="8">
        <f>IF(A1263="","",IFERROR(DATEVALUE(TEXTBEFORE(A1263,"|")),--LEFT(A1263,10)))</f>
        <v/>
      </c>
      <c r="C1263">
        <f>IF(A1263="","",TEXTBEFORE(TEXTAFTER(A1263,"|"),"|"))</f>
        <v/>
      </c>
      <c r="D1263">
        <f>IF(A1263="","",TEXTAFTER(A1263,"|",2))</f>
        <v/>
      </c>
      <c r="E1263">
        <f>IF(A1263="","",SUMIF(Tickets[TripKey],A1263,Tickets[TP]))</f>
        <v/>
      </c>
      <c r="F1263">
        <f>IF(A1263="","",SUMIF(Tickets[TripKey],A1263,Tickets[Revenue]))</f>
        <v/>
      </c>
      <c r="G1263">
        <f>IF(A1263="","",SUMIF(Tickets[TripKey],A1263,Tickets[PK]))</f>
        <v/>
      </c>
      <c r="H1263">
        <f>IF(A1263="","",IFERROR(XLOOKUP(A1263,Tickets[TripKey],Tickets[VehClean]),""))</f>
        <v/>
      </c>
      <c r="I1263">
        <f>IF(A1263="","",IFERROR(XLOOKUP(A1263,Tickets[TripKey],Tickets[RouteLen]),0))</f>
        <v/>
      </c>
      <c r="J1263">
        <f>IF(A1263="","",IFERROR(XLOOKUP(A1263,Tickets[TripKey],Tickets[Capacity]),0))</f>
        <v/>
      </c>
      <c r="K1263">
        <f>IF(A1263="","",I1263*J1263)</f>
        <v/>
      </c>
      <c r="L1263">
        <f>IF(A1263="","",IFERROR(MINIFS(Tickets[Trip Start Time],Tickets[TripKey],A1263),""))</f>
        <v/>
      </c>
    </row>
    <row r="1264">
      <c r="B1264" s="8">
        <f>IF(A1264="","",IFERROR(DATEVALUE(TEXTBEFORE(A1264,"|")),--LEFT(A1264,10)))</f>
        <v/>
      </c>
      <c r="C1264">
        <f>IF(A1264="","",TEXTBEFORE(TEXTAFTER(A1264,"|"),"|"))</f>
        <v/>
      </c>
      <c r="D1264">
        <f>IF(A1264="","",TEXTAFTER(A1264,"|",2))</f>
        <v/>
      </c>
      <c r="E1264">
        <f>IF(A1264="","",SUMIF(Tickets[TripKey],A1264,Tickets[TP]))</f>
        <v/>
      </c>
      <c r="F1264">
        <f>IF(A1264="","",SUMIF(Tickets[TripKey],A1264,Tickets[Revenue]))</f>
        <v/>
      </c>
      <c r="G1264">
        <f>IF(A1264="","",SUMIF(Tickets[TripKey],A1264,Tickets[PK]))</f>
        <v/>
      </c>
      <c r="H1264">
        <f>IF(A1264="","",IFERROR(XLOOKUP(A1264,Tickets[TripKey],Tickets[VehClean]),""))</f>
        <v/>
      </c>
      <c r="I1264">
        <f>IF(A1264="","",IFERROR(XLOOKUP(A1264,Tickets[TripKey],Tickets[RouteLen]),0))</f>
        <v/>
      </c>
      <c r="J1264">
        <f>IF(A1264="","",IFERROR(XLOOKUP(A1264,Tickets[TripKey],Tickets[Capacity]),0))</f>
        <v/>
      </c>
      <c r="K1264">
        <f>IF(A1264="","",I1264*J1264)</f>
        <v/>
      </c>
      <c r="L1264">
        <f>IF(A1264="","",IFERROR(MINIFS(Tickets[Trip Start Time],Tickets[TripKey],A1264),""))</f>
        <v/>
      </c>
    </row>
    <row r="1265">
      <c r="B1265" s="8">
        <f>IF(A1265="","",IFERROR(DATEVALUE(TEXTBEFORE(A1265,"|")),--LEFT(A1265,10)))</f>
        <v/>
      </c>
      <c r="C1265">
        <f>IF(A1265="","",TEXTBEFORE(TEXTAFTER(A1265,"|"),"|"))</f>
        <v/>
      </c>
      <c r="D1265">
        <f>IF(A1265="","",TEXTAFTER(A1265,"|",2))</f>
        <v/>
      </c>
      <c r="E1265">
        <f>IF(A1265="","",SUMIF(Tickets[TripKey],A1265,Tickets[TP]))</f>
        <v/>
      </c>
      <c r="F1265">
        <f>IF(A1265="","",SUMIF(Tickets[TripKey],A1265,Tickets[Revenue]))</f>
        <v/>
      </c>
      <c r="G1265">
        <f>IF(A1265="","",SUMIF(Tickets[TripKey],A1265,Tickets[PK]))</f>
        <v/>
      </c>
      <c r="H1265">
        <f>IF(A1265="","",IFERROR(XLOOKUP(A1265,Tickets[TripKey],Tickets[VehClean]),""))</f>
        <v/>
      </c>
      <c r="I1265">
        <f>IF(A1265="","",IFERROR(XLOOKUP(A1265,Tickets[TripKey],Tickets[RouteLen]),0))</f>
        <v/>
      </c>
      <c r="J1265">
        <f>IF(A1265="","",IFERROR(XLOOKUP(A1265,Tickets[TripKey],Tickets[Capacity]),0))</f>
        <v/>
      </c>
      <c r="K1265">
        <f>IF(A1265="","",I1265*J1265)</f>
        <v/>
      </c>
      <c r="L1265">
        <f>IF(A1265="","",IFERROR(MINIFS(Tickets[Trip Start Time],Tickets[TripKey],A1265),""))</f>
        <v/>
      </c>
    </row>
    <row r="1266">
      <c r="B1266" s="8">
        <f>IF(A1266="","",IFERROR(DATEVALUE(TEXTBEFORE(A1266,"|")),--LEFT(A1266,10)))</f>
        <v/>
      </c>
      <c r="C1266">
        <f>IF(A1266="","",TEXTBEFORE(TEXTAFTER(A1266,"|"),"|"))</f>
        <v/>
      </c>
      <c r="D1266">
        <f>IF(A1266="","",TEXTAFTER(A1266,"|",2))</f>
        <v/>
      </c>
      <c r="E1266">
        <f>IF(A1266="","",SUMIF(Tickets[TripKey],A1266,Tickets[TP]))</f>
        <v/>
      </c>
      <c r="F1266">
        <f>IF(A1266="","",SUMIF(Tickets[TripKey],A1266,Tickets[Revenue]))</f>
        <v/>
      </c>
      <c r="G1266">
        <f>IF(A1266="","",SUMIF(Tickets[TripKey],A1266,Tickets[PK]))</f>
        <v/>
      </c>
      <c r="H1266">
        <f>IF(A1266="","",IFERROR(XLOOKUP(A1266,Tickets[TripKey],Tickets[VehClean]),""))</f>
        <v/>
      </c>
      <c r="I1266">
        <f>IF(A1266="","",IFERROR(XLOOKUP(A1266,Tickets[TripKey],Tickets[RouteLen]),0))</f>
        <v/>
      </c>
      <c r="J1266">
        <f>IF(A1266="","",IFERROR(XLOOKUP(A1266,Tickets[TripKey],Tickets[Capacity]),0))</f>
        <v/>
      </c>
      <c r="K1266">
        <f>IF(A1266="","",I1266*J1266)</f>
        <v/>
      </c>
      <c r="L1266">
        <f>IF(A1266="","",IFERROR(MINIFS(Tickets[Trip Start Time],Tickets[TripKey],A1266),""))</f>
        <v/>
      </c>
    </row>
    <row r="1267">
      <c r="B1267" s="8">
        <f>IF(A1267="","",IFERROR(DATEVALUE(TEXTBEFORE(A1267,"|")),--LEFT(A1267,10)))</f>
        <v/>
      </c>
      <c r="C1267">
        <f>IF(A1267="","",TEXTBEFORE(TEXTAFTER(A1267,"|"),"|"))</f>
        <v/>
      </c>
      <c r="D1267">
        <f>IF(A1267="","",TEXTAFTER(A1267,"|",2))</f>
        <v/>
      </c>
      <c r="E1267">
        <f>IF(A1267="","",SUMIF(Tickets[TripKey],A1267,Tickets[TP]))</f>
        <v/>
      </c>
      <c r="F1267">
        <f>IF(A1267="","",SUMIF(Tickets[TripKey],A1267,Tickets[Revenue]))</f>
        <v/>
      </c>
      <c r="G1267">
        <f>IF(A1267="","",SUMIF(Tickets[TripKey],A1267,Tickets[PK]))</f>
        <v/>
      </c>
      <c r="H1267">
        <f>IF(A1267="","",IFERROR(XLOOKUP(A1267,Tickets[TripKey],Tickets[VehClean]),""))</f>
        <v/>
      </c>
      <c r="I1267">
        <f>IF(A1267="","",IFERROR(XLOOKUP(A1267,Tickets[TripKey],Tickets[RouteLen]),0))</f>
        <v/>
      </c>
      <c r="J1267">
        <f>IF(A1267="","",IFERROR(XLOOKUP(A1267,Tickets[TripKey],Tickets[Capacity]),0))</f>
        <v/>
      </c>
      <c r="K1267">
        <f>IF(A1267="","",I1267*J1267)</f>
        <v/>
      </c>
      <c r="L1267">
        <f>IF(A1267="","",IFERROR(MINIFS(Tickets[Trip Start Time],Tickets[TripKey],A1267),""))</f>
        <v/>
      </c>
    </row>
    <row r="1268">
      <c r="B1268" s="8">
        <f>IF(A1268="","",IFERROR(DATEVALUE(TEXTBEFORE(A1268,"|")),--LEFT(A1268,10)))</f>
        <v/>
      </c>
      <c r="C1268">
        <f>IF(A1268="","",TEXTBEFORE(TEXTAFTER(A1268,"|"),"|"))</f>
        <v/>
      </c>
      <c r="D1268">
        <f>IF(A1268="","",TEXTAFTER(A1268,"|",2))</f>
        <v/>
      </c>
      <c r="E1268">
        <f>IF(A1268="","",SUMIF(Tickets[TripKey],A1268,Tickets[TP]))</f>
        <v/>
      </c>
      <c r="F1268">
        <f>IF(A1268="","",SUMIF(Tickets[TripKey],A1268,Tickets[Revenue]))</f>
        <v/>
      </c>
      <c r="G1268">
        <f>IF(A1268="","",SUMIF(Tickets[TripKey],A1268,Tickets[PK]))</f>
        <v/>
      </c>
      <c r="H1268">
        <f>IF(A1268="","",IFERROR(XLOOKUP(A1268,Tickets[TripKey],Tickets[VehClean]),""))</f>
        <v/>
      </c>
      <c r="I1268">
        <f>IF(A1268="","",IFERROR(XLOOKUP(A1268,Tickets[TripKey],Tickets[RouteLen]),0))</f>
        <v/>
      </c>
      <c r="J1268">
        <f>IF(A1268="","",IFERROR(XLOOKUP(A1268,Tickets[TripKey],Tickets[Capacity]),0))</f>
        <v/>
      </c>
      <c r="K1268">
        <f>IF(A1268="","",I1268*J1268)</f>
        <v/>
      </c>
      <c r="L1268">
        <f>IF(A1268="","",IFERROR(MINIFS(Tickets[Trip Start Time],Tickets[TripKey],A1268),""))</f>
        <v/>
      </c>
    </row>
    <row r="1269">
      <c r="B1269" s="8">
        <f>IF(A1269="","",IFERROR(DATEVALUE(TEXTBEFORE(A1269,"|")),--LEFT(A1269,10)))</f>
        <v/>
      </c>
      <c r="C1269">
        <f>IF(A1269="","",TEXTBEFORE(TEXTAFTER(A1269,"|"),"|"))</f>
        <v/>
      </c>
      <c r="D1269">
        <f>IF(A1269="","",TEXTAFTER(A1269,"|",2))</f>
        <v/>
      </c>
      <c r="E1269">
        <f>IF(A1269="","",SUMIF(Tickets[TripKey],A1269,Tickets[TP]))</f>
        <v/>
      </c>
      <c r="F1269">
        <f>IF(A1269="","",SUMIF(Tickets[TripKey],A1269,Tickets[Revenue]))</f>
        <v/>
      </c>
      <c r="G1269">
        <f>IF(A1269="","",SUMIF(Tickets[TripKey],A1269,Tickets[PK]))</f>
        <v/>
      </c>
      <c r="H1269">
        <f>IF(A1269="","",IFERROR(XLOOKUP(A1269,Tickets[TripKey],Tickets[VehClean]),""))</f>
        <v/>
      </c>
      <c r="I1269">
        <f>IF(A1269="","",IFERROR(XLOOKUP(A1269,Tickets[TripKey],Tickets[RouteLen]),0))</f>
        <v/>
      </c>
      <c r="J1269">
        <f>IF(A1269="","",IFERROR(XLOOKUP(A1269,Tickets[TripKey],Tickets[Capacity]),0))</f>
        <v/>
      </c>
      <c r="K1269">
        <f>IF(A1269="","",I1269*J1269)</f>
        <v/>
      </c>
      <c r="L1269">
        <f>IF(A1269="","",IFERROR(MINIFS(Tickets[Trip Start Time],Tickets[TripKey],A1269),""))</f>
        <v/>
      </c>
    </row>
    <row r="1270">
      <c r="B1270" s="8">
        <f>IF(A1270="","",IFERROR(DATEVALUE(TEXTBEFORE(A1270,"|")),--LEFT(A1270,10)))</f>
        <v/>
      </c>
      <c r="C1270">
        <f>IF(A1270="","",TEXTBEFORE(TEXTAFTER(A1270,"|"),"|"))</f>
        <v/>
      </c>
      <c r="D1270">
        <f>IF(A1270="","",TEXTAFTER(A1270,"|",2))</f>
        <v/>
      </c>
      <c r="E1270">
        <f>IF(A1270="","",SUMIF(Tickets[TripKey],A1270,Tickets[TP]))</f>
        <v/>
      </c>
      <c r="F1270">
        <f>IF(A1270="","",SUMIF(Tickets[TripKey],A1270,Tickets[Revenue]))</f>
        <v/>
      </c>
      <c r="G1270">
        <f>IF(A1270="","",SUMIF(Tickets[TripKey],A1270,Tickets[PK]))</f>
        <v/>
      </c>
      <c r="H1270">
        <f>IF(A1270="","",IFERROR(XLOOKUP(A1270,Tickets[TripKey],Tickets[VehClean]),""))</f>
        <v/>
      </c>
      <c r="I1270">
        <f>IF(A1270="","",IFERROR(XLOOKUP(A1270,Tickets[TripKey],Tickets[RouteLen]),0))</f>
        <v/>
      </c>
      <c r="J1270">
        <f>IF(A1270="","",IFERROR(XLOOKUP(A1270,Tickets[TripKey],Tickets[Capacity]),0))</f>
        <v/>
      </c>
      <c r="K1270">
        <f>IF(A1270="","",I1270*J1270)</f>
        <v/>
      </c>
      <c r="L1270">
        <f>IF(A1270="","",IFERROR(MINIFS(Tickets[Trip Start Time],Tickets[TripKey],A1270),""))</f>
        <v/>
      </c>
    </row>
    <row r="1271">
      <c r="B1271" s="8">
        <f>IF(A1271="","",IFERROR(DATEVALUE(TEXTBEFORE(A1271,"|")),--LEFT(A1271,10)))</f>
        <v/>
      </c>
      <c r="C1271">
        <f>IF(A1271="","",TEXTBEFORE(TEXTAFTER(A1271,"|"),"|"))</f>
        <v/>
      </c>
      <c r="D1271">
        <f>IF(A1271="","",TEXTAFTER(A1271,"|",2))</f>
        <v/>
      </c>
      <c r="E1271">
        <f>IF(A1271="","",SUMIF(Tickets[TripKey],A1271,Tickets[TP]))</f>
        <v/>
      </c>
      <c r="F1271">
        <f>IF(A1271="","",SUMIF(Tickets[TripKey],A1271,Tickets[Revenue]))</f>
        <v/>
      </c>
      <c r="G1271">
        <f>IF(A1271="","",SUMIF(Tickets[TripKey],A1271,Tickets[PK]))</f>
        <v/>
      </c>
      <c r="H1271">
        <f>IF(A1271="","",IFERROR(XLOOKUP(A1271,Tickets[TripKey],Tickets[VehClean]),""))</f>
        <v/>
      </c>
      <c r="I1271">
        <f>IF(A1271="","",IFERROR(XLOOKUP(A1271,Tickets[TripKey],Tickets[RouteLen]),0))</f>
        <v/>
      </c>
      <c r="J1271">
        <f>IF(A1271="","",IFERROR(XLOOKUP(A1271,Tickets[TripKey],Tickets[Capacity]),0))</f>
        <v/>
      </c>
      <c r="K1271">
        <f>IF(A1271="","",I1271*J1271)</f>
        <v/>
      </c>
      <c r="L1271">
        <f>IF(A1271="","",IFERROR(MINIFS(Tickets[Trip Start Time],Tickets[TripKey],A1271),""))</f>
        <v/>
      </c>
    </row>
    <row r="1272">
      <c r="B1272" s="8">
        <f>IF(A1272="","",IFERROR(DATEVALUE(TEXTBEFORE(A1272,"|")),--LEFT(A1272,10)))</f>
        <v/>
      </c>
      <c r="C1272">
        <f>IF(A1272="","",TEXTBEFORE(TEXTAFTER(A1272,"|"),"|"))</f>
        <v/>
      </c>
      <c r="D1272">
        <f>IF(A1272="","",TEXTAFTER(A1272,"|",2))</f>
        <v/>
      </c>
      <c r="E1272">
        <f>IF(A1272="","",SUMIF(Tickets[TripKey],A1272,Tickets[TP]))</f>
        <v/>
      </c>
      <c r="F1272">
        <f>IF(A1272="","",SUMIF(Tickets[TripKey],A1272,Tickets[Revenue]))</f>
        <v/>
      </c>
      <c r="G1272">
        <f>IF(A1272="","",SUMIF(Tickets[TripKey],A1272,Tickets[PK]))</f>
        <v/>
      </c>
      <c r="H1272">
        <f>IF(A1272="","",IFERROR(XLOOKUP(A1272,Tickets[TripKey],Tickets[VehClean]),""))</f>
        <v/>
      </c>
      <c r="I1272">
        <f>IF(A1272="","",IFERROR(XLOOKUP(A1272,Tickets[TripKey],Tickets[RouteLen]),0))</f>
        <v/>
      </c>
      <c r="J1272">
        <f>IF(A1272="","",IFERROR(XLOOKUP(A1272,Tickets[TripKey],Tickets[Capacity]),0))</f>
        <v/>
      </c>
      <c r="K1272">
        <f>IF(A1272="","",I1272*J1272)</f>
        <v/>
      </c>
      <c r="L1272">
        <f>IF(A1272="","",IFERROR(MINIFS(Tickets[Trip Start Time],Tickets[TripKey],A1272),""))</f>
        <v/>
      </c>
    </row>
    <row r="1273">
      <c r="B1273" s="8">
        <f>IF(A1273="","",IFERROR(DATEVALUE(TEXTBEFORE(A1273,"|")),--LEFT(A1273,10)))</f>
        <v/>
      </c>
      <c r="C1273">
        <f>IF(A1273="","",TEXTBEFORE(TEXTAFTER(A1273,"|"),"|"))</f>
        <v/>
      </c>
      <c r="D1273">
        <f>IF(A1273="","",TEXTAFTER(A1273,"|",2))</f>
        <v/>
      </c>
      <c r="E1273">
        <f>IF(A1273="","",SUMIF(Tickets[TripKey],A1273,Tickets[TP]))</f>
        <v/>
      </c>
      <c r="F1273">
        <f>IF(A1273="","",SUMIF(Tickets[TripKey],A1273,Tickets[Revenue]))</f>
        <v/>
      </c>
      <c r="G1273">
        <f>IF(A1273="","",SUMIF(Tickets[TripKey],A1273,Tickets[PK]))</f>
        <v/>
      </c>
      <c r="H1273">
        <f>IF(A1273="","",IFERROR(XLOOKUP(A1273,Tickets[TripKey],Tickets[VehClean]),""))</f>
        <v/>
      </c>
      <c r="I1273">
        <f>IF(A1273="","",IFERROR(XLOOKUP(A1273,Tickets[TripKey],Tickets[RouteLen]),0))</f>
        <v/>
      </c>
      <c r="J1273">
        <f>IF(A1273="","",IFERROR(XLOOKUP(A1273,Tickets[TripKey],Tickets[Capacity]),0))</f>
        <v/>
      </c>
      <c r="K1273">
        <f>IF(A1273="","",I1273*J1273)</f>
        <v/>
      </c>
      <c r="L1273">
        <f>IF(A1273="","",IFERROR(MINIFS(Tickets[Trip Start Time],Tickets[TripKey],A1273),""))</f>
        <v/>
      </c>
    </row>
    <row r="1274">
      <c r="B1274" s="8">
        <f>IF(A1274="","",IFERROR(DATEVALUE(TEXTBEFORE(A1274,"|")),--LEFT(A1274,10)))</f>
        <v/>
      </c>
      <c r="C1274">
        <f>IF(A1274="","",TEXTBEFORE(TEXTAFTER(A1274,"|"),"|"))</f>
        <v/>
      </c>
      <c r="D1274">
        <f>IF(A1274="","",TEXTAFTER(A1274,"|",2))</f>
        <v/>
      </c>
      <c r="E1274">
        <f>IF(A1274="","",SUMIF(Tickets[TripKey],A1274,Tickets[TP]))</f>
        <v/>
      </c>
      <c r="F1274">
        <f>IF(A1274="","",SUMIF(Tickets[TripKey],A1274,Tickets[Revenue]))</f>
        <v/>
      </c>
      <c r="G1274">
        <f>IF(A1274="","",SUMIF(Tickets[TripKey],A1274,Tickets[PK]))</f>
        <v/>
      </c>
      <c r="H1274">
        <f>IF(A1274="","",IFERROR(XLOOKUP(A1274,Tickets[TripKey],Tickets[VehClean]),""))</f>
        <v/>
      </c>
      <c r="I1274">
        <f>IF(A1274="","",IFERROR(XLOOKUP(A1274,Tickets[TripKey],Tickets[RouteLen]),0))</f>
        <v/>
      </c>
      <c r="J1274">
        <f>IF(A1274="","",IFERROR(XLOOKUP(A1274,Tickets[TripKey],Tickets[Capacity]),0))</f>
        <v/>
      </c>
      <c r="K1274">
        <f>IF(A1274="","",I1274*J1274)</f>
        <v/>
      </c>
      <c r="L1274">
        <f>IF(A1274="","",IFERROR(MINIFS(Tickets[Trip Start Time],Tickets[TripKey],A1274),""))</f>
        <v/>
      </c>
    </row>
    <row r="1275">
      <c r="B1275" s="8">
        <f>IF(A1275="","",IFERROR(DATEVALUE(TEXTBEFORE(A1275,"|")),--LEFT(A1275,10)))</f>
        <v/>
      </c>
      <c r="C1275">
        <f>IF(A1275="","",TEXTBEFORE(TEXTAFTER(A1275,"|"),"|"))</f>
        <v/>
      </c>
      <c r="D1275">
        <f>IF(A1275="","",TEXTAFTER(A1275,"|",2))</f>
        <v/>
      </c>
      <c r="E1275">
        <f>IF(A1275="","",SUMIF(Tickets[TripKey],A1275,Tickets[TP]))</f>
        <v/>
      </c>
      <c r="F1275">
        <f>IF(A1275="","",SUMIF(Tickets[TripKey],A1275,Tickets[Revenue]))</f>
        <v/>
      </c>
      <c r="G1275">
        <f>IF(A1275="","",SUMIF(Tickets[TripKey],A1275,Tickets[PK]))</f>
        <v/>
      </c>
      <c r="H1275">
        <f>IF(A1275="","",IFERROR(XLOOKUP(A1275,Tickets[TripKey],Tickets[VehClean]),""))</f>
        <v/>
      </c>
      <c r="I1275">
        <f>IF(A1275="","",IFERROR(XLOOKUP(A1275,Tickets[TripKey],Tickets[RouteLen]),0))</f>
        <v/>
      </c>
      <c r="J1275">
        <f>IF(A1275="","",IFERROR(XLOOKUP(A1275,Tickets[TripKey],Tickets[Capacity]),0))</f>
        <v/>
      </c>
      <c r="K1275">
        <f>IF(A1275="","",I1275*J1275)</f>
        <v/>
      </c>
      <c r="L1275">
        <f>IF(A1275="","",IFERROR(MINIFS(Tickets[Trip Start Time],Tickets[TripKey],A1275),""))</f>
        <v/>
      </c>
    </row>
    <row r="1276">
      <c r="B1276" s="8">
        <f>IF(A1276="","",IFERROR(DATEVALUE(TEXTBEFORE(A1276,"|")),--LEFT(A1276,10)))</f>
        <v/>
      </c>
      <c r="C1276">
        <f>IF(A1276="","",TEXTBEFORE(TEXTAFTER(A1276,"|"),"|"))</f>
        <v/>
      </c>
      <c r="D1276">
        <f>IF(A1276="","",TEXTAFTER(A1276,"|",2))</f>
        <v/>
      </c>
      <c r="E1276">
        <f>IF(A1276="","",SUMIF(Tickets[TripKey],A1276,Tickets[TP]))</f>
        <v/>
      </c>
      <c r="F1276">
        <f>IF(A1276="","",SUMIF(Tickets[TripKey],A1276,Tickets[Revenue]))</f>
        <v/>
      </c>
      <c r="G1276">
        <f>IF(A1276="","",SUMIF(Tickets[TripKey],A1276,Tickets[PK]))</f>
        <v/>
      </c>
      <c r="H1276">
        <f>IF(A1276="","",IFERROR(XLOOKUP(A1276,Tickets[TripKey],Tickets[VehClean]),""))</f>
        <v/>
      </c>
      <c r="I1276">
        <f>IF(A1276="","",IFERROR(XLOOKUP(A1276,Tickets[TripKey],Tickets[RouteLen]),0))</f>
        <v/>
      </c>
      <c r="J1276">
        <f>IF(A1276="","",IFERROR(XLOOKUP(A1276,Tickets[TripKey],Tickets[Capacity]),0))</f>
        <v/>
      </c>
      <c r="K1276">
        <f>IF(A1276="","",I1276*J1276)</f>
        <v/>
      </c>
      <c r="L1276">
        <f>IF(A1276="","",IFERROR(MINIFS(Tickets[Trip Start Time],Tickets[TripKey],A1276),""))</f>
        <v/>
      </c>
    </row>
    <row r="1277">
      <c r="B1277" s="8">
        <f>IF(A1277="","",IFERROR(DATEVALUE(TEXTBEFORE(A1277,"|")),--LEFT(A1277,10)))</f>
        <v/>
      </c>
      <c r="C1277">
        <f>IF(A1277="","",TEXTBEFORE(TEXTAFTER(A1277,"|"),"|"))</f>
        <v/>
      </c>
      <c r="D1277">
        <f>IF(A1277="","",TEXTAFTER(A1277,"|",2))</f>
        <v/>
      </c>
      <c r="E1277">
        <f>IF(A1277="","",SUMIF(Tickets[TripKey],A1277,Tickets[TP]))</f>
        <v/>
      </c>
      <c r="F1277">
        <f>IF(A1277="","",SUMIF(Tickets[TripKey],A1277,Tickets[Revenue]))</f>
        <v/>
      </c>
      <c r="G1277">
        <f>IF(A1277="","",SUMIF(Tickets[TripKey],A1277,Tickets[PK]))</f>
        <v/>
      </c>
      <c r="H1277">
        <f>IF(A1277="","",IFERROR(XLOOKUP(A1277,Tickets[TripKey],Tickets[VehClean]),""))</f>
        <v/>
      </c>
      <c r="I1277">
        <f>IF(A1277="","",IFERROR(XLOOKUP(A1277,Tickets[TripKey],Tickets[RouteLen]),0))</f>
        <v/>
      </c>
      <c r="J1277">
        <f>IF(A1277="","",IFERROR(XLOOKUP(A1277,Tickets[TripKey],Tickets[Capacity]),0))</f>
        <v/>
      </c>
      <c r="K1277">
        <f>IF(A1277="","",I1277*J1277)</f>
        <v/>
      </c>
      <c r="L1277">
        <f>IF(A1277="","",IFERROR(MINIFS(Tickets[Trip Start Time],Tickets[TripKey],A1277),""))</f>
        <v/>
      </c>
    </row>
    <row r="1278">
      <c r="B1278" s="8">
        <f>IF(A1278="","",IFERROR(DATEVALUE(TEXTBEFORE(A1278,"|")),--LEFT(A1278,10)))</f>
        <v/>
      </c>
      <c r="C1278">
        <f>IF(A1278="","",TEXTBEFORE(TEXTAFTER(A1278,"|"),"|"))</f>
        <v/>
      </c>
      <c r="D1278">
        <f>IF(A1278="","",TEXTAFTER(A1278,"|",2))</f>
        <v/>
      </c>
      <c r="E1278">
        <f>IF(A1278="","",SUMIF(Tickets[TripKey],A1278,Tickets[TP]))</f>
        <v/>
      </c>
      <c r="F1278">
        <f>IF(A1278="","",SUMIF(Tickets[TripKey],A1278,Tickets[Revenue]))</f>
        <v/>
      </c>
      <c r="G1278">
        <f>IF(A1278="","",SUMIF(Tickets[TripKey],A1278,Tickets[PK]))</f>
        <v/>
      </c>
      <c r="H1278">
        <f>IF(A1278="","",IFERROR(XLOOKUP(A1278,Tickets[TripKey],Tickets[VehClean]),""))</f>
        <v/>
      </c>
      <c r="I1278">
        <f>IF(A1278="","",IFERROR(XLOOKUP(A1278,Tickets[TripKey],Tickets[RouteLen]),0))</f>
        <v/>
      </c>
      <c r="J1278">
        <f>IF(A1278="","",IFERROR(XLOOKUP(A1278,Tickets[TripKey],Tickets[Capacity]),0))</f>
        <v/>
      </c>
      <c r="K1278">
        <f>IF(A1278="","",I1278*J1278)</f>
        <v/>
      </c>
      <c r="L1278">
        <f>IF(A1278="","",IFERROR(MINIFS(Tickets[Trip Start Time],Tickets[TripKey],A1278),""))</f>
        <v/>
      </c>
    </row>
    <row r="1279">
      <c r="B1279" s="8">
        <f>IF(A1279="","",IFERROR(DATEVALUE(TEXTBEFORE(A1279,"|")),--LEFT(A1279,10)))</f>
        <v/>
      </c>
      <c r="C1279">
        <f>IF(A1279="","",TEXTBEFORE(TEXTAFTER(A1279,"|"),"|"))</f>
        <v/>
      </c>
      <c r="D1279">
        <f>IF(A1279="","",TEXTAFTER(A1279,"|",2))</f>
        <v/>
      </c>
      <c r="E1279">
        <f>IF(A1279="","",SUMIF(Tickets[TripKey],A1279,Tickets[TP]))</f>
        <v/>
      </c>
      <c r="F1279">
        <f>IF(A1279="","",SUMIF(Tickets[TripKey],A1279,Tickets[Revenue]))</f>
        <v/>
      </c>
      <c r="G1279">
        <f>IF(A1279="","",SUMIF(Tickets[TripKey],A1279,Tickets[PK]))</f>
        <v/>
      </c>
      <c r="H1279">
        <f>IF(A1279="","",IFERROR(XLOOKUP(A1279,Tickets[TripKey],Tickets[VehClean]),""))</f>
        <v/>
      </c>
      <c r="I1279">
        <f>IF(A1279="","",IFERROR(XLOOKUP(A1279,Tickets[TripKey],Tickets[RouteLen]),0))</f>
        <v/>
      </c>
      <c r="J1279">
        <f>IF(A1279="","",IFERROR(XLOOKUP(A1279,Tickets[TripKey],Tickets[Capacity]),0))</f>
        <v/>
      </c>
      <c r="K1279">
        <f>IF(A1279="","",I1279*J1279)</f>
        <v/>
      </c>
      <c r="L1279">
        <f>IF(A1279="","",IFERROR(MINIFS(Tickets[Trip Start Time],Tickets[TripKey],A1279),""))</f>
        <v/>
      </c>
    </row>
    <row r="1280">
      <c r="B1280" s="8">
        <f>IF(A1280="","",IFERROR(DATEVALUE(TEXTBEFORE(A1280,"|")),--LEFT(A1280,10)))</f>
        <v/>
      </c>
      <c r="C1280">
        <f>IF(A1280="","",TEXTBEFORE(TEXTAFTER(A1280,"|"),"|"))</f>
        <v/>
      </c>
      <c r="D1280">
        <f>IF(A1280="","",TEXTAFTER(A1280,"|",2))</f>
        <v/>
      </c>
      <c r="E1280">
        <f>IF(A1280="","",SUMIF(Tickets[TripKey],A1280,Tickets[TP]))</f>
        <v/>
      </c>
      <c r="F1280">
        <f>IF(A1280="","",SUMIF(Tickets[TripKey],A1280,Tickets[Revenue]))</f>
        <v/>
      </c>
      <c r="G1280">
        <f>IF(A1280="","",SUMIF(Tickets[TripKey],A1280,Tickets[PK]))</f>
        <v/>
      </c>
      <c r="H1280">
        <f>IF(A1280="","",IFERROR(XLOOKUP(A1280,Tickets[TripKey],Tickets[VehClean]),""))</f>
        <v/>
      </c>
      <c r="I1280">
        <f>IF(A1280="","",IFERROR(XLOOKUP(A1280,Tickets[TripKey],Tickets[RouteLen]),0))</f>
        <v/>
      </c>
      <c r="J1280">
        <f>IF(A1280="","",IFERROR(XLOOKUP(A1280,Tickets[TripKey],Tickets[Capacity]),0))</f>
        <v/>
      </c>
      <c r="K1280">
        <f>IF(A1280="","",I1280*J1280)</f>
        <v/>
      </c>
      <c r="L1280">
        <f>IF(A1280="","",IFERROR(MINIFS(Tickets[Trip Start Time],Tickets[TripKey],A1280),""))</f>
        <v/>
      </c>
    </row>
    <row r="1281">
      <c r="B1281" s="8">
        <f>IF(A1281="","",IFERROR(DATEVALUE(TEXTBEFORE(A1281,"|")),--LEFT(A1281,10)))</f>
        <v/>
      </c>
      <c r="C1281">
        <f>IF(A1281="","",TEXTBEFORE(TEXTAFTER(A1281,"|"),"|"))</f>
        <v/>
      </c>
      <c r="D1281">
        <f>IF(A1281="","",TEXTAFTER(A1281,"|",2))</f>
        <v/>
      </c>
      <c r="E1281">
        <f>IF(A1281="","",SUMIF(Tickets[TripKey],A1281,Tickets[TP]))</f>
        <v/>
      </c>
      <c r="F1281">
        <f>IF(A1281="","",SUMIF(Tickets[TripKey],A1281,Tickets[Revenue]))</f>
        <v/>
      </c>
      <c r="G1281">
        <f>IF(A1281="","",SUMIF(Tickets[TripKey],A1281,Tickets[PK]))</f>
        <v/>
      </c>
      <c r="H1281">
        <f>IF(A1281="","",IFERROR(XLOOKUP(A1281,Tickets[TripKey],Tickets[VehClean]),""))</f>
        <v/>
      </c>
      <c r="I1281">
        <f>IF(A1281="","",IFERROR(XLOOKUP(A1281,Tickets[TripKey],Tickets[RouteLen]),0))</f>
        <v/>
      </c>
      <c r="J1281">
        <f>IF(A1281="","",IFERROR(XLOOKUP(A1281,Tickets[TripKey],Tickets[Capacity]),0))</f>
        <v/>
      </c>
      <c r="K1281">
        <f>IF(A1281="","",I1281*J1281)</f>
        <v/>
      </c>
      <c r="L1281">
        <f>IF(A1281="","",IFERROR(MINIFS(Tickets[Trip Start Time],Tickets[TripKey],A1281),""))</f>
        <v/>
      </c>
    </row>
    <row r="1282">
      <c r="B1282" s="8">
        <f>IF(A1282="","",IFERROR(DATEVALUE(TEXTBEFORE(A1282,"|")),--LEFT(A1282,10)))</f>
        <v/>
      </c>
      <c r="C1282">
        <f>IF(A1282="","",TEXTBEFORE(TEXTAFTER(A1282,"|"),"|"))</f>
        <v/>
      </c>
      <c r="D1282">
        <f>IF(A1282="","",TEXTAFTER(A1282,"|",2))</f>
        <v/>
      </c>
      <c r="E1282">
        <f>IF(A1282="","",SUMIF(Tickets[TripKey],A1282,Tickets[TP]))</f>
        <v/>
      </c>
      <c r="F1282">
        <f>IF(A1282="","",SUMIF(Tickets[TripKey],A1282,Tickets[Revenue]))</f>
        <v/>
      </c>
      <c r="G1282">
        <f>IF(A1282="","",SUMIF(Tickets[TripKey],A1282,Tickets[PK]))</f>
        <v/>
      </c>
      <c r="H1282">
        <f>IF(A1282="","",IFERROR(XLOOKUP(A1282,Tickets[TripKey],Tickets[VehClean]),""))</f>
        <v/>
      </c>
      <c r="I1282">
        <f>IF(A1282="","",IFERROR(XLOOKUP(A1282,Tickets[TripKey],Tickets[RouteLen]),0))</f>
        <v/>
      </c>
      <c r="J1282">
        <f>IF(A1282="","",IFERROR(XLOOKUP(A1282,Tickets[TripKey],Tickets[Capacity]),0))</f>
        <v/>
      </c>
      <c r="K1282">
        <f>IF(A1282="","",I1282*J1282)</f>
        <v/>
      </c>
      <c r="L1282">
        <f>IF(A1282="","",IFERROR(MINIFS(Tickets[Trip Start Time],Tickets[TripKey],A1282),""))</f>
        <v/>
      </c>
    </row>
    <row r="1283">
      <c r="B1283" s="8">
        <f>IF(A1283="","",IFERROR(DATEVALUE(TEXTBEFORE(A1283,"|")),--LEFT(A1283,10)))</f>
        <v/>
      </c>
      <c r="C1283">
        <f>IF(A1283="","",TEXTBEFORE(TEXTAFTER(A1283,"|"),"|"))</f>
        <v/>
      </c>
      <c r="D1283">
        <f>IF(A1283="","",TEXTAFTER(A1283,"|",2))</f>
        <v/>
      </c>
      <c r="E1283">
        <f>IF(A1283="","",SUMIF(Tickets[TripKey],A1283,Tickets[TP]))</f>
        <v/>
      </c>
      <c r="F1283">
        <f>IF(A1283="","",SUMIF(Tickets[TripKey],A1283,Tickets[Revenue]))</f>
        <v/>
      </c>
      <c r="G1283">
        <f>IF(A1283="","",SUMIF(Tickets[TripKey],A1283,Tickets[PK]))</f>
        <v/>
      </c>
      <c r="H1283">
        <f>IF(A1283="","",IFERROR(XLOOKUP(A1283,Tickets[TripKey],Tickets[VehClean]),""))</f>
        <v/>
      </c>
      <c r="I1283">
        <f>IF(A1283="","",IFERROR(XLOOKUP(A1283,Tickets[TripKey],Tickets[RouteLen]),0))</f>
        <v/>
      </c>
      <c r="J1283">
        <f>IF(A1283="","",IFERROR(XLOOKUP(A1283,Tickets[TripKey],Tickets[Capacity]),0))</f>
        <v/>
      </c>
      <c r="K1283">
        <f>IF(A1283="","",I1283*J1283)</f>
        <v/>
      </c>
      <c r="L1283">
        <f>IF(A1283="","",IFERROR(MINIFS(Tickets[Trip Start Time],Tickets[TripKey],A1283),""))</f>
        <v/>
      </c>
    </row>
    <row r="1284">
      <c r="B1284" s="8">
        <f>IF(A1284="","",IFERROR(DATEVALUE(TEXTBEFORE(A1284,"|")),--LEFT(A1284,10)))</f>
        <v/>
      </c>
      <c r="C1284">
        <f>IF(A1284="","",TEXTBEFORE(TEXTAFTER(A1284,"|"),"|"))</f>
        <v/>
      </c>
      <c r="D1284">
        <f>IF(A1284="","",TEXTAFTER(A1284,"|",2))</f>
        <v/>
      </c>
      <c r="E1284">
        <f>IF(A1284="","",SUMIF(Tickets[TripKey],A1284,Tickets[TP]))</f>
        <v/>
      </c>
      <c r="F1284">
        <f>IF(A1284="","",SUMIF(Tickets[TripKey],A1284,Tickets[Revenue]))</f>
        <v/>
      </c>
      <c r="G1284">
        <f>IF(A1284="","",SUMIF(Tickets[TripKey],A1284,Tickets[PK]))</f>
        <v/>
      </c>
      <c r="H1284">
        <f>IF(A1284="","",IFERROR(XLOOKUP(A1284,Tickets[TripKey],Tickets[VehClean]),""))</f>
        <v/>
      </c>
      <c r="I1284">
        <f>IF(A1284="","",IFERROR(XLOOKUP(A1284,Tickets[TripKey],Tickets[RouteLen]),0))</f>
        <v/>
      </c>
      <c r="J1284">
        <f>IF(A1284="","",IFERROR(XLOOKUP(A1284,Tickets[TripKey],Tickets[Capacity]),0))</f>
        <v/>
      </c>
      <c r="K1284">
        <f>IF(A1284="","",I1284*J1284)</f>
        <v/>
      </c>
      <c r="L1284">
        <f>IF(A1284="","",IFERROR(MINIFS(Tickets[Trip Start Time],Tickets[TripKey],A1284),""))</f>
        <v/>
      </c>
    </row>
    <row r="1285">
      <c r="B1285" s="8">
        <f>IF(A1285="","",IFERROR(DATEVALUE(TEXTBEFORE(A1285,"|")),--LEFT(A1285,10)))</f>
        <v/>
      </c>
      <c r="C1285">
        <f>IF(A1285="","",TEXTBEFORE(TEXTAFTER(A1285,"|"),"|"))</f>
        <v/>
      </c>
      <c r="D1285">
        <f>IF(A1285="","",TEXTAFTER(A1285,"|",2))</f>
        <v/>
      </c>
      <c r="E1285">
        <f>IF(A1285="","",SUMIF(Tickets[TripKey],A1285,Tickets[TP]))</f>
        <v/>
      </c>
      <c r="F1285">
        <f>IF(A1285="","",SUMIF(Tickets[TripKey],A1285,Tickets[Revenue]))</f>
        <v/>
      </c>
      <c r="G1285">
        <f>IF(A1285="","",SUMIF(Tickets[TripKey],A1285,Tickets[PK]))</f>
        <v/>
      </c>
      <c r="H1285">
        <f>IF(A1285="","",IFERROR(XLOOKUP(A1285,Tickets[TripKey],Tickets[VehClean]),""))</f>
        <v/>
      </c>
      <c r="I1285">
        <f>IF(A1285="","",IFERROR(XLOOKUP(A1285,Tickets[TripKey],Tickets[RouteLen]),0))</f>
        <v/>
      </c>
      <c r="J1285">
        <f>IF(A1285="","",IFERROR(XLOOKUP(A1285,Tickets[TripKey],Tickets[Capacity]),0))</f>
        <v/>
      </c>
      <c r="K1285">
        <f>IF(A1285="","",I1285*J1285)</f>
        <v/>
      </c>
      <c r="L1285">
        <f>IF(A1285="","",IFERROR(MINIFS(Tickets[Trip Start Time],Tickets[TripKey],A1285),""))</f>
        <v/>
      </c>
    </row>
    <row r="1286">
      <c r="B1286" s="8">
        <f>IF(A1286="","",IFERROR(DATEVALUE(TEXTBEFORE(A1286,"|")),--LEFT(A1286,10)))</f>
        <v/>
      </c>
      <c r="C1286">
        <f>IF(A1286="","",TEXTBEFORE(TEXTAFTER(A1286,"|"),"|"))</f>
        <v/>
      </c>
      <c r="D1286">
        <f>IF(A1286="","",TEXTAFTER(A1286,"|",2))</f>
        <v/>
      </c>
      <c r="E1286">
        <f>IF(A1286="","",SUMIF(Tickets[TripKey],A1286,Tickets[TP]))</f>
        <v/>
      </c>
      <c r="F1286">
        <f>IF(A1286="","",SUMIF(Tickets[TripKey],A1286,Tickets[Revenue]))</f>
        <v/>
      </c>
      <c r="G1286">
        <f>IF(A1286="","",SUMIF(Tickets[TripKey],A1286,Tickets[PK]))</f>
        <v/>
      </c>
      <c r="H1286">
        <f>IF(A1286="","",IFERROR(XLOOKUP(A1286,Tickets[TripKey],Tickets[VehClean]),""))</f>
        <v/>
      </c>
      <c r="I1286">
        <f>IF(A1286="","",IFERROR(XLOOKUP(A1286,Tickets[TripKey],Tickets[RouteLen]),0))</f>
        <v/>
      </c>
      <c r="J1286">
        <f>IF(A1286="","",IFERROR(XLOOKUP(A1286,Tickets[TripKey],Tickets[Capacity]),0))</f>
        <v/>
      </c>
      <c r="K1286">
        <f>IF(A1286="","",I1286*J1286)</f>
        <v/>
      </c>
      <c r="L1286">
        <f>IF(A1286="","",IFERROR(MINIFS(Tickets[Trip Start Time],Tickets[TripKey],A1286),""))</f>
        <v/>
      </c>
    </row>
    <row r="1287">
      <c r="B1287" s="8">
        <f>IF(A1287="","",IFERROR(DATEVALUE(TEXTBEFORE(A1287,"|")),--LEFT(A1287,10)))</f>
        <v/>
      </c>
      <c r="C1287">
        <f>IF(A1287="","",TEXTBEFORE(TEXTAFTER(A1287,"|"),"|"))</f>
        <v/>
      </c>
      <c r="D1287">
        <f>IF(A1287="","",TEXTAFTER(A1287,"|",2))</f>
        <v/>
      </c>
      <c r="E1287">
        <f>IF(A1287="","",SUMIF(Tickets[TripKey],A1287,Tickets[TP]))</f>
        <v/>
      </c>
      <c r="F1287">
        <f>IF(A1287="","",SUMIF(Tickets[TripKey],A1287,Tickets[Revenue]))</f>
        <v/>
      </c>
      <c r="G1287">
        <f>IF(A1287="","",SUMIF(Tickets[TripKey],A1287,Tickets[PK]))</f>
        <v/>
      </c>
      <c r="H1287">
        <f>IF(A1287="","",IFERROR(XLOOKUP(A1287,Tickets[TripKey],Tickets[VehClean]),""))</f>
        <v/>
      </c>
      <c r="I1287">
        <f>IF(A1287="","",IFERROR(XLOOKUP(A1287,Tickets[TripKey],Tickets[RouteLen]),0))</f>
        <v/>
      </c>
      <c r="J1287">
        <f>IF(A1287="","",IFERROR(XLOOKUP(A1287,Tickets[TripKey],Tickets[Capacity]),0))</f>
        <v/>
      </c>
      <c r="K1287">
        <f>IF(A1287="","",I1287*J1287)</f>
        <v/>
      </c>
      <c r="L1287">
        <f>IF(A1287="","",IFERROR(MINIFS(Tickets[Trip Start Time],Tickets[TripKey],A1287),""))</f>
        <v/>
      </c>
    </row>
    <row r="1288">
      <c r="B1288" s="8">
        <f>IF(A1288="","",IFERROR(DATEVALUE(TEXTBEFORE(A1288,"|")),--LEFT(A1288,10)))</f>
        <v/>
      </c>
      <c r="C1288">
        <f>IF(A1288="","",TEXTBEFORE(TEXTAFTER(A1288,"|"),"|"))</f>
        <v/>
      </c>
      <c r="D1288">
        <f>IF(A1288="","",TEXTAFTER(A1288,"|",2))</f>
        <v/>
      </c>
      <c r="E1288">
        <f>IF(A1288="","",SUMIF(Tickets[TripKey],A1288,Tickets[TP]))</f>
        <v/>
      </c>
      <c r="F1288">
        <f>IF(A1288="","",SUMIF(Tickets[TripKey],A1288,Tickets[Revenue]))</f>
        <v/>
      </c>
      <c r="G1288">
        <f>IF(A1288="","",SUMIF(Tickets[TripKey],A1288,Tickets[PK]))</f>
        <v/>
      </c>
      <c r="H1288">
        <f>IF(A1288="","",IFERROR(XLOOKUP(A1288,Tickets[TripKey],Tickets[VehClean]),""))</f>
        <v/>
      </c>
      <c r="I1288">
        <f>IF(A1288="","",IFERROR(XLOOKUP(A1288,Tickets[TripKey],Tickets[RouteLen]),0))</f>
        <v/>
      </c>
      <c r="J1288">
        <f>IF(A1288="","",IFERROR(XLOOKUP(A1288,Tickets[TripKey],Tickets[Capacity]),0))</f>
        <v/>
      </c>
      <c r="K1288">
        <f>IF(A1288="","",I1288*J1288)</f>
        <v/>
      </c>
      <c r="L1288">
        <f>IF(A1288="","",IFERROR(MINIFS(Tickets[Trip Start Time],Tickets[TripKey],A1288),""))</f>
        <v/>
      </c>
    </row>
    <row r="1289">
      <c r="B1289" s="8">
        <f>IF(A1289="","",IFERROR(DATEVALUE(TEXTBEFORE(A1289,"|")),--LEFT(A1289,10)))</f>
        <v/>
      </c>
      <c r="C1289">
        <f>IF(A1289="","",TEXTBEFORE(TEXTAFTER(A1289,"|"),"|"))</f>
        <v/>
      </c>
      <c r="D1289">
        <f>IF(A1289="","",TEXTAFTER(A1289,"|",2))</f>
        <v/>
      </c>
      <c r="E1289">
        <f>IF(A1289="","",SUMIF(Tickets[TripKey],A1289,Tickets[TP]))</f>
        <v/>
      </c>
      <c r="F1289">
        <f>IF(A1289="","",SUMIF(Tickets[TripKey],A1289,Tickets[Revenue]))</f>
        <v/>
      </c>
      <c r="G1289">
        <f>IF(A1289="","",SUMIF(Tickets[TripKey],A1289,Tickets[PK]))</f>
        <v/>
      </c>
      <c r="H1289">
        <f>IF(A1289="","",IFERROR(XLOOKUP(A1289,Tickets[TripKey],Tickets[VehClean]),""))</f>
        <v/>
      </c>
      <c r="I1289">
        <f>IF(A1289="","",IFERROR(XLOOKUP(A1289,Tickets[TripKey],Tickets[RouteLen]),0))</f>
        <v/>
      </c>
      <c r="J1289">
        <f>IF(A1289="","",IFERROR(XLOOKUP(A1289,Tickets[TripKey],Tickets[Capacity]),0))</f>
        <v/>
      </c>
      <c r="K1289">
        <f>IF(A1289="","",I1289*J1289)</f>
        <v/>
      </c>
      <c r="L1289">
        <f>IF(A1289="","",IFERROR(MINIFS(Tickets[Trip Start Time],Tickets[TripKey],A1289),""))</f>
        <v/>
      </c>
    </row>
    <row r="1290">
      <c r="B1290" s="8">
        <f>IF(A1290="","",IFERROR(DATEVALUE(TEXTBEFORE(A1290,"|")),--LEFT(A1290,10)))</f>
        <v/>
      </c>
      <c r="C1290">
        <f>IF(A1290="","",TEXTBEFORE(TEXTAFTER(A1290,"|"),"|"))</f>
        <v/>
      </c>
      <c r="D1290">
        <f>IF(A1290="","",TEXTAFTER(A1290,"|",2))</f>
        <v/>
      </c>
      <c r="E1290">
        <f>IF(A1290="","",SUMIF(Tickets[TripKey],A1290,Tickets[TP]))</f>
        <v/>
      </c>
      <c r="F1290">
        <f>IF(A1290="","",SUMIF(Tickets[TripKey],A1290,Tickets[Revenue]))</f>
        <v/>
      </c>
      <c r="G1290">
        <f>IF(A1290="","",SUMIF(Tickets[TripKey],A1290,Tickets[PK]))</f>
        <v/>
      </c>
      <c r="H1290">
        <f>IF(A1290="","",IFERROR(XLOOKUP(A1290,Tickets[TripKey],Tickets[VehClean]),""))</f>
        <v/>
      </c>
      <c r="I1290">
        <f>IF(A1290="","",IFERROR(XLOOKUP(A1290,Tickets[TripKey],Tickets[RouteLen]),0))</f>
        <v/>
      </c>
      <c r="J1290">
        <f>IF(A1290="","",IFERROR(XLOOKUP(A1290,Tickets[TripKey],Tickets[Capacity]),0))</f>
        <v/>
      </c>
      <c r="K1290">
        <f>IF(A1290="","",I1290*J1290)</f>
        <v/>
      </c>
      <c r="L1290">
        <f>IF(A1290="","",IFERROR(MINIFS(Tickets[Trip Start Time],Tickets[TripKey],A1290),""))</f>
        <v/>
      </c>
    </row>
    <row r="1291">
      <c r="B1291" s="8">
        <f>IF(A1291="","",IFERROR(DATEVALUE(TEXTBEFORE(A1291,"|")),--LEFT(A1291,10)))</f>
        <v/>
      </c>
      <c r="C1291">
        <f>IF(A1291="","",TEXTBEFORE(TEXTAFTER(A1291,"|"),"|"))</f>
        <v/>
      </c>
      <c r="D1291">
        <f>IF(A1291="","",TEXTAFTER(A1291,"|",2))</f>
        <v/>
      </c>
      <c r="E1291">
        <f>IF(A1291="","",SUMIF(Tickets[TripKey],A1291,Tickets[TP]))</f>
        <v/>
      </c>
      <c r="F1291">
        <f>IF(A1291="","",SUMIF(Tickets[TripKey],A1291,Tickets[Revenue]))</f>
        <v/>
      </c>
      <c r="G1291">
        <f>IF(A1291="","",SUMIF(Tickets[TripKey],A1291,Tickets[PK]))</f>
        <v/>
      </c>
      <c r="H1291">
        <f>IF(A1291="","",IFERROR(XLOOKUP(A1291,Tickets[TripKey],Tickets[VehClean]),""))</f>
        <v/>
      </c>
      <c r="I1291">
        <f>IF(A1291="","",IFERROR(XLOOKUP(A1291,Tickets[TripKey],Tickets[RouteLen]),0))</f>
        <v/>
      </c>
      <c r="J1291">
        <f>IF(A1291="","",IFERROR(XLOOKUP(A1291,Tickets[TripKey],Tickets[Capacity]),0))</f>
        <v/>
      </c>
      <c r="K1291">
        <f>IF(A1291="","",I1291*J1291)</f>
        <v/>
      </c>
      <c r="L1291">
        <f>IF(A1291="","",IFERROR(MINIFS(Tickets[Trip Start Time],Tickets[TripKey],A1291),""))</f>
        <v/>
      </c>
    </row>
    <row r="1292">
      <c r="B1292" s="8">
        <f>IF(A1292="","",IFERROR(DATEVALUE(TEXTBEFORE(A1292,"|")),--LEFT(A1292,10)))</f>
        <v/>
      </c>
      <c r="C1292">
        <f>IF(A1292="","",TEXTBEFORE(TEXTAFTER(A1292,"|"),"|"))</f>
        <v/>
      </c>
      <c r="D1292">
        <f>IF(A1292="","",TEXTAFTER(A1292,"|",2))</f>
        <v/>
      </c>
      <c r="E1292">
        <f>IF(A1292="","",SUMIF(Tickets[TripKey],A1292,Tickets[TP]))</f>
        <v/>
      </c>
      <c r="F1292">
        <f>IF(A1292="","",SUMIF(Tickets[TripKey],A1292,Tickets[Revenue]))</f>
        <v/>
      </c>
      <c r="G1292">
        <f>IF(A1292="","",SUMIF(Tickets[TripKey],A1292,Tickets[PK]))</f>
        <v/>
      </c>
      <c r="H1292">
        <f>IF(A1292="","",IFERROR(XLOOKUP(A1292,Tickets[TripKey],Tickets[VehClean]),""))</f>
        <v/>
      </c>
      <c r="I1292">
        <f>IF(A1292="","",IFERROR(XLOOKUP(A1292,Tickets[TripKey],Tickets[RouteLen]),0))</f>
        <v/>
      </c>
      <c r="J1292">
        <f>IF(A1292="","",IFERROR(XLOOKUP(A1292,Tickets[TripKey],Tickets[Capacity]),0))</f>
        <v/>
      </c>
      <c r="K1292">
        <f>IF(A1292="","",I1292*J1292)</f>
        <v/>
      </c>
      <c r="L1292">
        <f>IF(A1292="","",IFERROR(MINIFS(Tickets[Trip Start Time],Tickets[TripKey],A1292),""))</f>
        <v/>
      </c>
    </row>
    <row r="1293">
      <c r="B1293" s="8">
        <f>IF(A1293="","",IFERROR(DATEVALUE(TEXTBEFORE(A1293,"|")),--LEFT(A1293,10)))</f>
        <v/>
      </c>
      <c r="C1293">
        <f>IF(A1293="","",TEXTBEFORE(TEXTAFTER(A1293,"|"),"|"))</f>
        <v/>
      </c>
      <c r="D1293">
        <f>IF(A1293="","",TEXTAFTER(A1293,"|",2))</f>
        <v/>
      </c>
      <c r="E1293">
        <f>IF(A1293="","",SUMIF(Tickets[TripKey],A1293,Tickets[TP]))</f>
        <v/>
      </c>
      <c r="F1293">
        <f>IF(A1293="","",SUMIF(Tickets[TripKey],A1293,Tickets[Revenue]))</f>
        <v/>
      </c>
      <c r="G1293">
        <f>IF(A1293="","",SUMIF(Tickets[TripKey],A1293,Tickets[PK]))</f>
        <v/>
      </c>
      <c r="H1293">
        <f>IF(A1293="","",IFERROR(XLOOKUP(A1293,Tickets[TripKey],Tickets[VehClean]),""))</f>
        <v/>
      </c>
      <c r="I1293">
        <f>IF(A1293="","",IFERROR(XLOOKUP(A1293,Tickets[TripKey],Tickets[RouteLen]),0))</f>
        <v/>
      </c>
      <c r="J1293">
        <f>IF(A1293="","",IFERROR(XLOOKUP(A1293,Tickets[TripKey],Tickets[Capacity]),0))</f>
        <v/>
      </c>
      <c r="K1293">
        <f>IF(A1293="","",I1293*J1293)</f>
        <v/>
      </c>
      <c r="L1293">
        <f>IF(A1293="","",IFERROR(MINIFS(Tickets[Trip Start Time],Tickets[TripKey],A1293),""))</f>
        <v/>
      </c>
    </row>
    <row r="1294">
      <c r="B1294" s="8">
        <f>IF(A1294="","",IFERROR(DATEVALUE(TEXTBEFORE(A1294,"|")),--LEFT(A1294,10)))</f>
        <v/>
      </c>
      <c r="C1294">
        <f>IF(A1294="","",TEXTBEFORE(TEXTAFTER(A1294,"|"),"|"))</f>
        <v/>
      </c>
      <c r="D1294">
        <f>IF(A1294="","",TEXTAFTER(A1294,"|",2))</f>
        <v/>
      </c>
      <c r="E1294">
        <f>IF(A1294="","",SUMIF(Tickets[TripKey],A1294,Tickets[TP]))</f>
        <v/>
      </c>
      <c r="F1294">
        <f>IF(A1294="","",SUMIF(Tickets[TripKey],A1294,Tickets[Revenue]))</f>
        <v/>
      </c>
      <c r="G1294">
        <f>IF(A1294="","",SUMIF(Tickets[TripKey],A1294,Tickets[PK]))</f>
        <v/>
      </c>
      <c r="H1294">
        <f>IF(A1294="","",IFERROR(XLOOKUP(A1294,Tickets[TripKey],Tickets[VehClean]),""))</f>
        <v/>
      </c>
      <c r="I1294">
        <f>IF(A1294="","",IFERROR(XLOOKUP(A1294,Tickets[TripKey],Tickets[RouteLen]),0))</f>
        <v/>
      </c>
      <c r="J1294">
        <f>IF(A1294="","",IFERROR(XLOOKUP(A1294,Tickets[TripKey],Tickets[Capacity]),0))</f>
        <v/>
      </c>
      <c r="K1294">
        <f>IF(A1294="","",I1294*J1294)</f>
        <v/>
      </c>
      <c r="L1294">
        <f>IF(A1294="","",IFERROR(MINIFS(Tickets[Trip Start Time],Tickets[TripKey],A1294),""))</f>
        <v/>
      </c>
    </row>
    <row r="1295">
      <c r="B1295" s="8">
        <f>IF(A1295="","",IFERROR(DATEVALUE(TEXTBEFORE(A1295,"|")),--LEFT(A1295,10)))</f>
        <v/>
      </c>
      <c r="C1295">
        <f>IF(A1295="","",TEXTBEFORE(TEXTAFTER(A1295,"|"),"|"))</f>
        <v/>
      </c>
      <c r="D1295">
        <f>IF(A1295="","",TEXTAFTER(A1295,"|",2))</f>
        <v/>
      </c>
      <c r="E1295">
        <f>IF(A1295="","",SUMIF(Tickets[TripKey],A1295,Tickets[TP]))</f>
        <v/>
      </c>
      <c r="F1295">
        <f>IF(A1295="","",SUMIF(Tickets[TripKey],A1295,Tickets[Revenue]))</f>
        <v/>
      </c>
      <c r="G1295">
        <f>IF(A1295="","",SUMIF(Tickets[TripKey],A1295,Tickets[PK]))</f>
        <v/>
      </c>
      <c r="H1295">
        <f>IF(A1295="","",IFERROR(XLOOKUP(A1295,Tickets[TripKey],Tickets[VehClean]),""))</f>
        <v/>
      </c>
      <c r="I1295">
        <f>IF(A1295="","",IFERROR(XLOOKUP(A1295,Tickets[TripKey],Tickets[RouteLen]),0))</f>
        <v/>
      </c>
      <c r="J1295">
        <f>IF(A1295="","",IFERROR(XLOOKUP(A1295,Tickets[TripKey],Tickets[Capacity]),0))</f>
        <v/>
      </c>
      <c r="K1295">
        <f>IF(A1295="","",I1295*J1295)</f>
        <v/>
      </c>
      <c r="L1295">
        <f>IF(A1295="","",IFERROR(MINIFS(Tickets[Trip Start Time],Tickets[TripKey],A1295),""))</f>
        <v/>
      </c>
    </row>
    <row r="1296">
      <c r="B1296" s="8">
        <f>IF(A1296="","",IFERROR(DATEVALUE(TEXTBEFORE(A1296,"|")),--LEFT(A1296,10)))</f>
        <v/>
      </c>
      <c r="C1296">
        <f>IF(A1296="","",TEXTBEFORE(TEXTAFTER(A1296,"|"),"|"))</f>
        <v/>
      </c>
      <c r="D1296">
        <f>IF(A1296="","",TEXTAFTER(A1296,"|",2))</f>
        <v/>
      </c>
      <c r="E1296">
        <f>IF(A1296="","",SUMIF(Tickets[TripKey],A1296,Tickets[TP]))</f>
        <v/>
      </c>
      <c r="F1296">
        <f>IF(A1296="","",SUMIF(Tickets[TripKey],A1296,Tickets[Revenue]))</f>
        <v/>
      </c>
      <c r="G1296">
        <f>IF(A1296="","",SUMIF(Tickets[TripKey],A1296,Tickets[PK]))</f>
        <v/>
      </c>
      <c r="H1296">
        <f>IF(A1296="","",IFERROR(XLOOKUP(A1296,Tickets[TripKey],Tickets[VehClean]),""))</f>
        <v/>
      </c>
      <c r="I1296">
        <f>IF(A1296="","",IFERROR(XLOOKUP(A1296,Tickets[TripKey],Tickets[RouteLen]),0))</f>
        <v/>
      </c>
      <c r="J1296">
        <f>IF(A1296="","",IFERROR(XLOOKUP(A1296,Tickets[TripKey],Tickets[Capacity]),0))</f>
        <v/>
      </c>
      <c r="K1296">
        <f>IF(A1296="","",I1296*J1296)</f>
        <v/>
      </c>
      <c r="L1296">
        <f>IF(A1296="","",IFERROR(MINIFS(Tickets[Trip Start Time],Tickets[TripKey],A1296),""))</f>
        <v/>
      </c>
    </row>
    <row r="1297">
      <c r="B1297" s="8">
        <f>IF(A1297="","",IFERROR(DATEVALUE(TEXTBEFORE(A1297,"|")),--LEFT(A1297,10)))</f>
        <v/>
      </c>
      <c r="C1297">
        <f>IF(A1297="","",TEXTBEFORE(TEXTAFTER(A1297,"|"),"|"))</f>
        <v/>
      </c>
      <c r="D1297">
        <f>IF(A1297="","",TEXTAFTER(A1297,"|",2))</f>
        <v/>
      </c>
      <c r="E1297">
        <f>IF(A1297="","",SUMIF(Tickets[TripKey],A1297,Tickets[TP]))</f>
        <v/>
      </c>
      <c r="F1297">
        <f>IF(A1297="","",SUMIF(Tickets[TripKey],A1297,Tickets[Revenue]))</f>
        <v/>
      </c>
      <c r="G1297">
        <f>IF(A1297="","",SUMIF(Tickets[TripKey],A1297,Tickets[PK]))</f>
        <v/>
      </c>
      <c r="H1297">
        <f>IF(A1297="","",IFERROR(XLOOKUP(A1297,Tickets[TripKey],Tickets[VehClean]),""))</f>
        <v/>
      </c>
      <c r="I1297">
        <f>IF(A1297="","",IFERROR(XLOOKUP(A1297,Tickets[TripKey],Tickets[RouteLen]),0))</f>
        <v/>
      </c>
      <c r="J1297">
        <f>IF(A1297="","",IFERROR(XLOOKUP(A1297,Tickets[TripKey],Tickets[Capacity]),0))</f>
        <v/>
      </c>
      <c r="K1297">
        <f>IF(A1297="","",I1297*J1297)</f>
        <v/>
      </c>
      <c r="L1297">
        <f>IF(A1297="","",IFERROR(MINIFS(Tickets[Trip Start Time],Tickets[TripKey],A1297),""))</f>
        <v/>
      </c>
    </row>
    <row r="1298">
      <c r="B1298" s="8">
        <f>IF(A1298="","",IFERROR(DATEVALUE(TEXTBEFORE(A1298,"|")),--LEFT(A1298,10)))</f>
        <v/>
      </c>
      <c r="C1298">
        <f>IF(A1298="","",TEXTBEFORE(TEXTAFTER(A1298,"|"),"|"))</f>
        <v/>
      </c>
      <c r="D1298">
        <f>IF(A1298="","",TEXTAFTER(A1298,"|",2))</f>
        <v/>
      </c>
      <c r="E1298">
        <f>IF(A1298="","",SUMIF(Tickets[TripKey],A1298,Tickets[TP]))</f>
        <v/>
      </c>
      <c r="F1298">
        <f>IF(A1298="","",SUMIF(Tickets[TripKey],A1298,Tickets[Revenue]))</f>
        <v/>
      </c>
      <c r="G1298">
        <f>IF(A1298="","",SUMIF(Tickets[TripKey],A1298,Tickets[PK]))</f>
        <v/>
      </c>
      <c r="H1298">
        <f>IF(A1298="","",IFERROR(XLOOKUP(A1298,Tickets[TripKey],Tickets[VehClean]),""))</f>
        <v/>
      </c>
      <c r="I1298">
        <f>IF(A1298="","",IFERROR(XLOOKUP(A1298,Tickets[TripKey],Tickets[RouteLen]),0))</f>
        <v/>
      </c>
      <c r="J1298">
        <f>IF(A1298="","",IFERROR(XLOOKUP(A1298,Tickets[TripKey],Tickets[Capacity]),0))</f>
        <v/>
      </c>
      <c r="K1298">
        <f>IF(A1298="","",I1298*J1298)</f>
        <v/>
      </c>
      <c r="L1298">
        <f>IF(A1298="","",IFERROR(MINIFS(Tickets[Trip Start Time],Tickets[TripKey],A1298),""))</f>
        <v/>
      </c>
    </row>
    <row r="1299">
      <c r="B1299" s="8">
        <f>IF(A1299="","",IFERROR(DATEVALUE(TEXTBEFORE(A1299,"|")),--LEFT(A1299,10)))</f>
        <v/>
      </c>
      <c r="C1299">
        <f>IF(A1299="","",TEXTBEFORE(TEXTAFTER(A1299,"|"),"|"))</f>
        <v/>
      </c>
      <c r="D1299">
        <f>IF(A1299="","",TEXTAFTER(A1299,"|",2))</f>
        <v/>
      </c>
      <c r="E1299">
        <f>IF(A1299="","",SUMIF(Tickets[TripKey],A1299,Tickets[TP]))</f>
        <v/>
      </c>
      <c r="F1299">
        <f>IF(A1299="","",SUMIF(Tickets[TripKey],A1299,Tickets[Revenue]))</f>
        <v/>
      </c>
      <c r="G1299">
        <f>IF(A1299="","",SUMIF(Tickets[TripKey],A1299,Tickets[PK]))</f>
        <v/>
      </c>
      <c r="H1299">
        <f>IF(A1299="","",IFERROR(XLOOKUP(A1299,Tickets[TripKey],Tickets[VehClean]),""))</f>
        <v/>
      </c>
      <c r="I1299">
        <f>IF(A1299="","",IFERROR(XLOOKUP(A1299,Tickets[TripKey],Tickets[RouteLen]),0))</f>
        <v/>
      </c>
      <c r="J1299">
        <f>IF(A1299="","",IFERROR(XLOOKUP(A1299,Tickets[TripKey],Tickets[Capacity]),0))</f>
        <v/>
      </c>
      <c r="K1299">
        <f>IF(A1299="","",I1299*J1299)</f>
        <v/>
      </c>
      <c r="L1299">
        <f>IF(A1299="","",IFERROR(MINIFS(Tickets[Trip Start Time],Tickets[TripKey],A1299),""))</f>
        <v/>
      </c>
    </row>
    <row r="1300">
      <c r="B1300" s="8">
        <f>IF(A1300="","",IFERROR(DATEVALUE(TEXTBEFORE(A1300,"|")),--LEFT(A1300,10)))</f>
        <v/>
      </c>
      <c r="C1300">
        <f>IF(A1300="","",TEXTBEFORE(TEXTAFTER(A1300,"|"),"|"))</f>
        <v/>
      </c>
      <c r="D1300">
        <f>IF(A1300="","",TEXTAFTER(A1300,"|",2))</f>
        <v/>
      </c>
      <c r="E1300">
        <f>IF(A1300="","",SUMIF(Tickets[TripKey],A1300,Tickets[TP]))</f>
        <v/>
      </c>
      <c r="F1300">
        <f>IF(A1300="","",SUMIF(Tickets[TripKey],A1300,Tickets[Revenue]))</f>
        <v/>
      </c>
      <c r="G1300">
        <f>IF(A1300="","",SUMIF(Tickets[TripKey],A1300,Tickets[PK]))</f>
        <v/>
      </c>
      <c r="H1300">
        <f>IF(A1300="","",IFERROR(XLOOKUP(A1300,Tickets[TripKey],Tickets[VehClean]),""))</f>
        <v/>
      </c>
      <c r="I1300">
        <f>IF(A1300="","",IFERROR(XLOOKUP(A1300,Tickets[TripKey],Tickets[RouteLen]),0))</f>
        <v/>
      </c>
      <c r="J1300">
        <f>IF(A1300="","",IFERROR(XLOOKUP(A1300,Tickets[TripKey],Tickets[Capacity]),0))</f>
        <v/>
      </c>
      <c r="K1300">
        <f>IF(A1300="","",I1300*J1300)</f>
        <v/>
      </c>
      <c r="L1300">
        <f>IF(A1300="","",IFERROR(MINIFS(Tickets[Trip Start Time],Tickets[TripKey],A1300),""))</f>
        <v/>
      </c>
    </row>
    <row r="1301">
      <c r="B1301" s="8">
        <f>IF(A1301="","",IFERROR(DATEVALUE(TEXTBEFORE(A1301,"|")),--LEFT(A1301,10)))</f>
        <v/>
      </c>
      <c r="C1301">
        <f>IF(A1301="","",TEXTBEFORE(TEXTAFTER(A1301,"|"),"|"))</f>
        <v/>
      </c>
      <c r="D1301">
        <f>IF(A1301="","",TEXTAFTER(A1301,"|",2))</f>
        <v/>
      </c>
      <c r="E1301">
        <f>IF(A1301="","",SUMIF(Tickets[TripKey],A1301,Tickets[TP]))</f>
        <v/>
      </c>
      <c r="F1301">
        <f>IF(A1301="","",SUMIF(Tickets[TripKey],A1301,Tickets[Revenue]))</f>
        <v/>
      </c>
      <c r="G1301">
        <f>IF(A1301="","",SUMIF(Tickets[TripKey],A1301,Tickets[PK]))</f>
        <v/>
      </c>
      <c r="H1301">
        <f>IF(A1301="","",IFERROR(XLOOKUP(A1301,Tickets[TripKey],Tickets[VehClean]),""))</f>
        <v/>
      </c>
      <c r="I1301">
        <f>IF(A1301="","",IFERROR(XLOOKUP(A1301,Tickets[TripKey],Tickets[RouteLen]),0))</f>
        <v/>
      </c>
      <c r="J1301">
        <f>IF(A1301="","",IFERROR(XLOOKUP(A1301,Tickets[TripKey],Tickets[Capacity]),0))</f>
        <v/>
      </c>
      <c r="K1301">
        <f>IF(A1301="","",I1301*J1301)</f>
        <v/>
      </c>
      <c r="L1301">
        <f>IF(A1301="","",IFERROR(MINIFS(Tickets[Trip Start Time],Tickets[TripKey],A1301),""))</f>
        <v/>
      </c>
    </row>
    <row r="1302">
      <c r="B1302" s="8">
        <f>IF(A1302="","",IFERROR(DATEVALUE(TEXTBEFORE(A1302,"|")),--LEFT(A1302,10)))</f>
        <v/>
      </c>
      <c r="C1302">
        <f>IF(A1302="","",TEXTBEFORE(TEXTAFTER(A1302,"|"),"|"))</f>
        <v/>
      </c>
      <c r="D1302">
        <f>IF(A1302="","",TEXTAFTER(A1302,"|",2))</f>
        <v/>
      </c>
      <c r="E1302">
        <f>IF(A1302="","",SUMIF(Tickets[TripKey],A1302,Tickets[TP]))</f>
        <v/>
      </c>
      <c r="F1302">
        <f>IF(A1302="","",SUMIF(Tickets[TripKey],A1302,Tickets[Revenue]))</f>
        <v/>
      </c>
      <c r="G1302">
        <f>IF(A1302="","",SUMIF(Tickets[TripKey],A1302,Tickets[PK]))</f>
        <v/>
      </c>
      <c r="H1302">
        <f>IF(A1302="","",IFERROR(XLOOKUP(A1302,Tickets[TripKey],Tickets[VehClean]),""))</f>
        <v/>
      </c>
      <c r="I1302">
        <f>IF(A1302="","",IFERROR(XLOOKUP(A1302,Tickets[TripKey],Tickets[RouteLen]),0))</f>
        <v/>
      </c>
      <c r="J1302">
        <f>IF(A1302="","",IFERROR(XLOOKUP(A1302,Tickets[TripKey],Tickets[Capacity]),0))</f>
        <v/>
      </c>
      <c r="K1302">
        <f>IF(A1302="","",I1302*J1302)</f>
        <v/>
      </c>
      <c r="L1302">
        <f>IF(A1302="","",IFERROR(MINIFS(Tickets[Trip Start Time],Tickets[TripKey],A1302),""))</f>
        <v/>
      </c>
    </row>
    <row r="1303">
      <c r="B1303" s="8">
        <f>IF(A1303="","",IFERROR(DATEVALUE(TEXTBEFORE(A1303,"|")),--LEFT(A1303,10)))</f>
        <v/>
      </c>
      <c r="C1303">
        <f>IF(A1303="","",TEXTBEFORE(TEXTAFTER(A1303,"|"),"|"))</f>
        <v/>
      </c>
      <c r="D1303">
        <f>IF(A1303="","",TEXTAFTER(A1303,"|",2))</f>
        <v/>
      </c>
      <c r="E1303">
        <f>IF(A1303="","",SUMIF(Tickets[TripKey],A1303,Tickets[TP]))</f>
        <v/>
      </c>
      <c r="F1303">
        <f>IF(A1303="","",SUMIF(Tickets[TripKey],A1303,Tickets[Revenue]))</f>
        <v/>
      </c>
      <c r="G1303">
        <f>IF(A1303="","",SUMIF(Tickets[TripKey],A1303,Tickets[PK]))</f>
        <v/>
      </c>
      <c r="H1303">
        <f>IF(A1303="","",IFERROR(XLOOKUP(A1303,Tickets[TripKey],Tickets[VehClean]),""))</f>
        <v/>
      </c>
      <c r="I1303">
        <f>IF(A1303="","",IFERROR(XLOOKUP(A1303,Tickets[TripKey],Tickets[RouteLen]),0))</f>
        <v/>
      </c>
      <c r="J1303">
        <f>IF(A1303="","",IFERROR(XLOOKUP(A1303,Tickets[TripKey],Tickets[Capacity]),0))</f>
        <v/>
      </c>
      <c r="K1303">
        <f>IF(A1303="","",I1303*J1303)</f>
        <v/>
      </c>
      <c r="L1303">
        <f>IF(A1303="","",IFERROR(MINIFS(Tickets[Trip Start Time],Tickets[TripKey],A1303),""))</f>
        <v/>
      </c>
    </row>
    <row r="1304">
      <c r="B1304" s="8">
        <f>IF(A1304="","",IFERROR(DATEVALUE(TEXTBEFORE(A1304,"|")),--LEFT(A1304,10)))</f>
        <v/>
      </c>
      <c r="C1304">
        <f>IF(A1304="","",TEXTBEFORE(TEXTAFTER(A1304,"|"),"|"))</f>
        <v/>
      </c>
      <c r="D1304">
        <f>IF(A1304="","",TEXTAFTER(A1304,"|",2))</f>
        <v/>
      </c>
      <c r="E1304">
        <f>IF(A1304="","",SUMIF(Tickets[TripKey],A1304,Tickets[TP]))</f>
        <v/>
      </c>
      <c r="F1304">
        <f>IF(A1304="","",SUMIF(Tickets[TripKey],A1304,Tickets[Revenue]))</f>
        <v/>
      </c>
      <c r="G1304">
        <f>IF(A1304="","",SUMIF(Tickets[TripKey],A1304,Tickets[PK]))</f>
        <v/>
      </c>
      <c r="H1304">
        <f>IF(A1304="","",IFERROR(XLOOKUP(A1304,Tickets[TripKey],Tickets[VehClean]),""))</f>
        <v/>
      </c>
      <c r="I1304">
        <f>IF(A1304="","",IFERROR(XLOOKUP(A1304,Tickets[TripKey],Tickets[RouteLen]),0))</f>
        <v/>
      </c>
      <c r="J1304">
        <f>IF(A1304="","",IFERROR(XLOOKUP(A1304,Tickets[TripKey],Tickets[Capacity]),0))</f>
        <v/>
      </c>
      <c r="K1304">
        <f>IF(A1304="","",I1304*J1304)</f>
        <v/>
      </c>
      <c r="L1304">
        <f>IF(A1304="","",IFERROR(MINIFS(Tickets[Trip Start Time],Tickets[TripKey],A1304),""))</f>
        <v/>
      </c>
    </row>
    <row r="1305">
      <c r="B1305" s="8">
        <f>IF(A1305="","",IFERROR(DATEVALUE(TEXTBEFORE(A1305,"|")),--LEFT(A1305,10)))</f>
        <v/>
      </c>
      <c r="C1305">
        <f>IF(A1305="","",TEXTBEFORE(TEXTAFTER(A1305,"|"),"|"))</f>
        <v/>
      </c>
      <c r="D1305">
        <f>IF(A1305="","",TEXTAFTER(A1305,"|",2))</f>
        <v/>
      </c>
      <c r="E1305">
        <f>IF(A1305="","",SUMIF(Tickets[TripKey],A1305,Tickets[TP]))</f>
        <v/>
      </c>
      <c r="F1305">
        <f>IF(A1305="","",SUMIF(Tickets[TripKey],A1305,Tickets[Revenue]))</f>
        <v/>
      </c>
      <c r="G1305">
        <f>IF(A1305="","",SUMIF(Tickets[TripKey],A1305,Tickets[PK]))</f>
        <v/>
      </c>
      <c r="H1305">
        <f>IF(A1305="","",IFERROR(XLOOKUP(A1305,Tickets[TripKey],Tickets[VehClean]),""))</f>
        <v/>
      </c>
      <c r="I1305">
        <f>IF(A1305="","",IFERROR(XLOOKUP(A1305,Tickets[TripKey],Tickets[RouteLen]),0))</f>
        <v/>
      </c>
      <c r="J1305">
        <f>IF(A1305="","",IFERROR(XLOOKUP(A1305,Tickets[TripKey],Tickets[Capacity]),0))</f>
        <v/>
      </c>
      <c r="K1305">
        <f>IF(A1305="","",I1305*J1305)</f>
        <v/>
      </c>
      <c r="L1305">
        <f>IF(A1305="","",IFERROR(MINIFS(Tickets[Trip Start Time],Tickets[TripKey],A1305),""))</f>
        <v/>
      </c>
    </row>
    <row r="1306">
      <c r="B1306" s="8">
        <f>IF(A1306="","",IFERROR(DATEVALUE(TEXTBEFORE(A1306,"|")),--LEFT(A1306,10)))</f>
        <v/>
      </c>
      <c r="C1306">
        <f>IF(A1306="","",TEXTBEFORE(TEXTAFTER(A1306,"|"),"|"))</f>
        <v/>
      </c>
      <c r="D1306">
        <f>IF(A1306="","",TEXTAFTER(A1306,"|",2))</f>
        <v/>
      </c>
      <c r="E1306">
        <f>IF(A1306="","",SUMIF(Tickets[TripKey],A1306,Tickets[TP]))</f>
        <v/>
      </c>
      <c r="F1306">
        <f>IF(A1306="","",SUMIF(Tickets[TripKey],A1306,Tickets[Revenue]))</f>
        <v/>
      </c>
      <c r="G1306">
        <f>IF(A1306="","",SUMIF(Tickets[TripKey],A1306,Tickets[PK]))</f>
        <v/>
      </c>
      <c r="H1306">
        <f>IF(A1306="","",IFERROR(XLOOKUP(A1306,Tickets[TripKey],Tickets[VehClean]),""))</f>
        <v/>
      </c>
      <c r="I1306">
        <f>IF(A1306="","",IFERROR(XLOOKUP(A1306,Tickets[TripKey],Tickets[RouteLen]),0))</f>
        <v/>
      </c>
      <c r="J1306">
        <f>IF(A1306="","",IFERROR(XLOOKUP(A1306,Tickets[TripKey],Tickets[Capacity]),0))</f>
        <v/>
      </c>
      <c r="K1306">
        <f>IF(A1306="","",I1306*J1306)</f>
        <v/>
      </c>
      <c r="L1306">
        <f>IF(A1306="","",IFERROR(MINIFS(Tickets[Trip Start Time],Tickets[TripKey],A1306),""))</f>
        <v/>
      </c>
    </row>
    <row r="1307">
      <c r="B1307" s="8">
        <f>IF(A1307="","",IFERROR(DATEVALUE(TEXTBEFORE(A1307,"|")),--LEFT(A1307,10)))</f>
        <v/>
      </c>
      <c r="C1307">
        <f>IF(A1307="","",TEXTBEFORE(TEXTAFTER(A1307,"|"),"|"))</f>
        <v/>
      </c>
      <c r="D1307">
        <f>IF(A1307="","",TEXTAFTER(A1307,"|",2))</f>
        <v/>
      </c>
      <c r="E1307">
        <f>IF(A1307="","",SUMIF(Tickets[TripKey],A1307,Tickets[TP]))</f>
        <v/>
      </c>
      <c r="F1307">
        <f>IF(A1307="","",SUMIF(Tickets[TripKey],A1307,Tickets[Revenue]))</f>
        <v/>
      </c>
      <c r="G1307">
        <f>IF(A1307="","",SUMIF(Tickets[TripKey],A1307,Tickets[PK]))</f>
        <v/>
      </c>
      <c r="H1307">
        <f>IF(A1307="","",IFERROR(XLOOKUP(A1307,Tickets[TripKey],Tickets[VehClean]),""))</f>
        <v/>
      </c>
      <c r="I1307">
        <f>IF(A1307="","",IFERROR(XLOOKUP(A1307,Tickets[TripKey],Tickets[RouteLen]),0))</f>
        <v/>
      </c>
      <c r="J1307">
        <f>IF(A1307="","",IFERROR(XLOOKUP(A1307,Tickets[TripKey],Tickets[Capacity]),0))</f>
        <v/>
      </c>
      <c r="K1307">
        <f>IF(A1307="","",I1307*J1307)</f>
        <v/>
      </c>
      <c r="L1307">
        <f>IF(A1307="","",IFERROR(MINIFS(Tickets[Trip Start Time],Tickets[TripKey],A1307),""))</f>
        <v/>
      </c>
    </row>
    <row r="1308">
      <c r="B1308" s="8">
        <f>IF(A1308="","",IFERROR(DATEVALUE(TEXTBEFORE(A1308,"|")),--LEFT(A1308,10)))</f>
        <v/>
      </c>
      <c r="C1308">
        <f>IF(A1308="","",TEXTBEFORE(TEXTAFTER(A1308,"|"),"|"))</f>
        <v/>
      </c>
      <c r="D1308">
        <f>IF(A1308="","",TEXTAFTER(A1308,"|",2))</f>
        <v/>
      </c>
      <c r="E1308">
        <f>IF(A1308="","",SUMIF(Tickets[TripKey],A1308,Tickets[TP]))</f>
        <v/>
      </c>
      <c r="F1308">
        <f>IF(A1308="","",SUMIF(Tickets[TripKey],A1308,Tickets[Revenue]))</f>
        <v/>
      </c>
      <c r="G1308">
        <f>IF(A1308="","",SUMIF(Tickets[TripKey],A1308,Tickets[PK]))</f>
        <v/>
      </c>
      <c r="H1308">
        <f>IF(A1308="","",IFERROR(XLOOKUP(A1308,Tickets[TripKey],Tickets[VehClean]),""))</f>
        <v/>
      </c>
      <c r="I1308">
        <f>IF(A1308="","",IFERROR(XLOOKUP(A1308,Tickets[TripKey],Tickets[RouteLen]),0))</f>
        <v/>
      </c>
      <c r="J1308">
        <f>IF(A1308="","",IFERROR(XLOOKUP(A1308,Tickets[TripKey],Tickets[Capacity]),0))</f>
        <v/>
      </c>
      <c r="K1308">
        <f>IF(A1308="","",I1308*J1308)</f>
        <v/>
      </c>
      <c r="L1308">
        <f>IF(A1308="","",IFERROR(MINIFS(Tickets[Trip Start Time],Tickets[TripKey],A1308),""))</f>
        <v/>
      </c>
    </row>
    <row r="1309">
      <c r="B1309" s="8">
        <f>IF(A1309="","",IFERROR(DATEVALUE(TEXTBEFORE(A1309,"|")),--LEFT(A1309,10)))</f>
        <v/>
      </c>
      <c r="C1309">
        <f>IF(A1309="","",TEXTBEFORE(TEXTAFTER(A1309,"|"),"|"))</f>
        <v/>
      </c>
      <c r="D1309">
        <f>IF(A1309="","",TEXTAFTER(A1309,"|",2))</f>
        <v/>
      </c>
      <c r="E1309">
        <f>IF(A1309="","",SUMIF(Tickets[TripKey],A1309,Tickets[TP]))</f>
        <v/>
      </c>
      <c r="F1309">
        <f>IF(A1309="","",SUMIF(Tickets[TripKey],A1309,Tickets[Revenue]))</f>
        <v/>
      </c>
      <c r="G1309">
        <f>IF(A1309="","",SUMIF(Tickets[TripKey],A1309,Tickets[PK]))</f>
        <v/>
      </c>
      <c r="H1309">
        <f>IF(A1309="","",IFERROR(XLOOKUP(A1309,Tickets[TripKey],Tickets[VehClean]),""))</f>
        <v/>
      </c>
      <c r="I1309">
        <f>IF(A1309="","",IFERROR(XLOOKUP(A1309,Tickets[TripKey],Tickets[RouteLen]),0))</f>
        <v/>
      </c>
      <c r="J1309">
        <f>IF(A1309="","",IFERROR(XLOOKUP(A1309,Tickets[TripKey],Tickets[Capacity]),0))</f>
        <v/>
      </c>
      <c r="K1309">
        <f>IF(A1309="","",I1309*J1309)</f>
        <v/>
      </c>
      <c r="L1309">
        <f>IF(A1309="","",IFERROR(MINIFS(Tickets[Trip Start Time],Tickets[TripKey],A1309),""))</f>
        <v/>
      </c>
    </row>
    <row r="1310">
      <c r="B1310" s="8">
        <f>IF(A1310="","",IFERROR(DATEVALUE(TEXTBEFORE(A1310,"|")),--LEFT(A1310,10)))</f>
        <v/>
      </c>
      <c r="C1310">
        <f>IF(A1310="","",TEXTBEFORE(TEXTAFTER(A1310,"|"),"|"))</f>
        <v/>
      </c>
      <c r="D1310">
        <f>IF(A1310="","",TEXTAFTER(A1310,"|",2))</f>
        <v/>
      </c>
      <c r="E1310">
        <f>IF(A1310="","",SUMIF(Tickets[TripKey],A1310,Tickets[TP]))</f>
        <v/>
      </c>
      <c r="F1310">
        <f>IF(A1310="","",SUMIF(Tickets[TripKey],A1310,Tickets[Revenue]))</f>
        <v/>
      </c>
      <c r="G1310">
        <f>IF(A1310="","",SUMIF(Tickets[TripKey],A1310,Tickets[PK]))</f>
        <v/>
      </c>
      <c r="H1310">
        <f>IF(A1310="","",IFERROR(XLOOKUP(A1310,Tickets[TripKey],Tickets[VehClean]),""))</f>
        <v/>
      </c>
      <c r="I1310">
        <f>IF(A1310="","",IFERROR(XLOOKUP(A1310,Tickets[TripKey],Tickets[RouteLen]),0))</f>
        <v/>
      </c>
      <c r="J1310">
        <f>IF(A1310="","",IFERROR(XLOOKUP(A1310,Tickets[TripKey],Tickets[Capacity]),0))</f>
        <v/>
      </c>
      <c r="K1310">
        <f>IF(A1310="","",I1310*J1310)</f>
        <v/>
      </c>
      <c r="L1310">
        <f>IF(A1310="","",IFERROR(MINIFS(Tickets[Trip Start Time],Tickets[TripKey],A1310),""))</f>
        <v/>
      </c>
    </row>
    <row r="1311">
      <c r="B1311" s="8">
        <f>IF(A1311="","",IFERROR(DATEVALUE(TEXTBEFORE(A1311,"|")),--LEFT(A1311,10)))</f>
        <v/>
      </c>
      <c r="C1311">
        <f>IF(A1311="","",TEXTBEFORE(TEXTAFTER(A1311,"|"),"|"))</f>
        <v/>
      </c>
      <c r="D1311">
        <f>IF(A1311="","",TEXTAFTER(A1311,"|",2))</f>
        <v/>
      </c>
      <c r="E1311">
        <f>IF(A1311="","",SUMIF(Tickets[TripKey],A1311,Tickets[TP]))</f>
        <v/>
      </c>
      <c r="F1311">
        <f>IF(A1311="","",SUMIF(Tickets[TripKey],A1311,Tickets[Revenue]))</f>
        <v/>
      </c>
      <c r="G1311">
        <f>IF(A1311="","",SUMIF(Tickets[TripKey],A1311,Tickets[PK]))</f>
        <v/>
      </c>
      <c r="H1311">
        <f>IF(A1311="","",IFERROR(XLOOKUP(A1311,Tickets[TripKey],Tickets[VehClean]),""))</f>
        <v/>
      </c>
      <c r="I1311">
        <f>IF(A1311="","",IFERROR(XLOOKUP(A1311,Tickets[TripKey],Tickets[RouteLen]),0))</f>
        <v/>
      </c>
      <c r="J1311">
        <f>IF(A1311="","",IFERROR(XLOOKUP(A1311,Tickets[TripKey],Tickets[Capacity]),0))</f>
        <v/>
      </c>
      <c r="K1311">
        <f>IF(A1311="","",I1311*J1311)</f>
        <v/>
      </c>
      <c r="L1311">
        <f>IF(A1311="","",IFERROR(MINIFS(Tickets[Trip Start Time],Tickets[TripKey],A1311),""))</f>
        <v/>
      </c>
    </row>
    <row r="1312">
      <c r="B1312" s="8">
        <f>IF(A1312="","",IFERROR(DATEVALUE(TEXTBEFORE(A1312,"|")),--LEFT(A1312,10)))</f>
        <v/>
      </c>
      <c r="C1312">
        <f>IF(A1312="","",TEXTBEFORE(TEXTAFTER(A1312,"|"),"|"))</f>
        <v/>
      </c>
      <c r="D1312">
        <f>IF(A1312="","",TEXTAFTER(A1312,"|",2))</f>
        <v/>
      </c>
      <c r="E1312">
        <f>IF(A1312="","",SUMIF(Tickets[TripKey],A1312,Tickets[TP]))</f>
        <v/>
      </c>
      <c r="F1312">
        <f>IF(A1312="","",SUMIF(Tickets[TripKey],A1312,Tickets[Revenue]))</f>
        <v/>
      </c>
      <c r="G1312">
        <f>IF(A1312="","",SUMIF(Tickets[TripKey],A1312,Tickets[PK]))</f>
        <v/>
      </c>
      <c r="H1312">
        <f>IF(A1312="","",IFERROR(XLOOKUP(A1312,Tickets[TripKey],Tickets[VehClean]),""))</f>
        <v/>
      </c>
      <c r="I1312">
        <f>IF(A1312="","",IFERROR(XLOOKUP(A1312,Tickets[TripKey],Tickets[RouteLen]),0))</f>
        <v/>
      </c>
      <c r="J1312">
        <f>IF(A1312="","",IFERROR(XLOOKUP(A1312,Tickets[TripKey],Tickets[Capacity]),0))</f>
        <v/>
      </c>
      <c r="K1312">
        <f>IF(A1312="","",I1312*J1312)</f>
        <v/>
      </c>
      <c r="L1312">
        <f>IF(A1312="","",IFERROR(MINIFS(Tickets[Trip Start Time],Tickets[TripKey],A1312),""))</f>
        <v/>
      </c>
    </row>
    <row r="1313">
      <c r="B1313" s="8">
        <f>IF(A1313="","",IFERROR(DATEVALUE(TEXTBEFORE(A1313,"|")),--LEFT(A1313,10)))</f>
        <v/>
      </c>
      <c r="C1313">
        <f>IF(A1313="","",TEXTBEFORE(TEXTAFTER(A1313,"|"),"|"))</f>
        <v/>
      </c>
      <c r="D1313">
        <f>IF(A1313="","",TEXTAFTER(A1313,"|",2))</f>
        <v/>
      </c>
      <c r="E1313">
        <f>IF(A1313="","",SUMIF(Tickets[TripKey],A1313,Tickets[TP]))</f>
        <v/>
      </c>
      <c r="F1313">
        <f>IF(A1313="","",SUMIF(Tickets[TripKey],A1313,Tickets[Revenue]))</f>
        <v/>
      </c>
      <c r="G1313">
        <f>IF(A1313="","",SUMIF(Tickets[TripKey],A1313,Tickets[PK]))</f>
        <v/>
      </c>
      <c r="H1313">
        <f>IF(A1313="","",IFERROR(XLOOKUP(A1313,Tickets[TripKey],Tickets[VehClean]),""))</f>
        <v/>
      </c>
      <c r="I1313">
        <f>IF(A1313="","",IFERROR(XLOOKUP(A1313,Tickets[TripKey],Tickets[RouteLen]),0))</f>
        <v/>
      </c>
      <c r="J1313">
        <f>IF(A1313="","",IFERROR(XLOOKUP(A1313,Tickets[TripKey],Tickets[Capacity]),0))</f>
        <v/>
      </c>
      <c r="K1313">
        <f>IF(A1313="","",I1313*J1313)</f>
        <v/>
      </c>
      <c r="L1313">
        <f>IF(A1313="","",IFERROR(MINIFS(Tickets[Trip Start Time],Tickets[TripKey],A1313),""))</f>
        <v/>
      </c>
    </row>
    <row r="1314">
      <c r="B1314" s="8">
        <f>IF(A1314="","",IFERROR(DATEVALUE(TEXTBEFORE(A1314,"|")),--LEFT(A1314,10)))</f>
        <v/>
      </c>
      <c r="C1314">
        <f>IF(A1314="","",TEXTBEFORE(TEXTAFTER(A1314,"|"),"|"))</f>
        <v/>
      </c>
      <c r="D1314">
        <f>IF(A1314="","",TEXTAFTER(A1314,"|",2))</f>
        <v/>
      </c>
      <c r="E1314">
        <f>IF(A1314="","",SUMIF(Tickets[TripKey],A1314,Tickets[TP]))</f>
        <v/>
      </c>
      <c r="F1314">
        <f>IF(A1314="","",SUMIF(Tickets[TripKey],A1314,Tickets[Revenue]))</f>
        <v/>
      </c>
      <c r="G1314">
        <f>IF(A1314="","",SUMIF(Tickets[TripKey],A1314,Tickets[PK]))</f>
        <v/>
      </c>
      <c r="H1314">
        <f>IF(A1314="","",IFERROR(XLOOKUP(A1314,Tickets[TripKey],Tickets[VehClean]),""))</f>
        <v/>
      </c>
      <c r="I1314">
        <f>IF(A1314="","",IFERROR(XLOOKUP(A1314,Tickets[TripKey],Tickets[RouteLen]),0))</f>
        <v/>
      </c>
      <c r="J1314">
        <f>IF(A1314="","",IFERROR(XLOOKUP(A1314,Tickets[TripKey],Tickets[Capacity]),0))</f>
        <v/>
      </c>
      <c r="K1314">
        <f>IF(A1314="","",I1314*J1314)</f>
        <v/>
      </c>
      <c r="L1314">
        <f>IF(A1314="","",IFERROR(MINIFS(Tickets[Trip Start Time],Tickets[TripKey],A1314),""))</f>
        <v/>
      </c>
    </row>
    <row r="1315">
      <c r="B1315" s="8">
        <f>IF(A1315="","",IFERROR(DATEVALUE(TEXTBEFORE(A1315,"|")),--LEFT(A1315,10)))</f>
        <v/>
      </c>
      <c r="C1315">
        <f>IF(A1315="","",TEXTBEFORE(TEXTAFTER(A1315,"|"),"|"))</f>
        <v/>
      </c>
      <c r="D1315">
        <f>IF(A1315="","",TEXTAFTER(A1315,"|",2))</f>
        <v/>
      </c>
      <c r="E1315">
        <f>IF(A1315="","",SUMIF(Tickets[TripKey],A1315,Tickets[TP]))</f>
        <v/>
      </c>
      <c r="F1315">
        <f>IF(A1315="","",SUMIF(Tickets[TripKey],A1315,Tickets[Revenue]))</f>
        <v/>
      </c>
      <c r="G1315">
        <f>IF(A1315="","",SUMIF(Tickets[TripKey],A1315,Tickets[PK]))</f>
        <v/>
      </c>
      <c r="H1315">
        <f>IF(A1315="","",IFERROR(XLOOKUP(A1315,Tickets[TripKey],Tickets[VehClean]),""))</f>
        <v/>
      </c>
      <c r="I1315">
        <f>IF(A1315="","",IFERROR(XLOOKUP(A1315,Tickets[TripKey],Tickets[RouteLen]),0))</f>
        <v/>
      </c>
      <c r="J1315">
        <f>IF(A1315="","",IFERROR(XLOOKUP(A1315,Tickets[TripKey],Tickets[Capacity]),0))</f>
        <v/>
      </c>
      <c r="K1315">
        <f>IF(A1315="","",I1315*J1315)</f>
        <v/>
      </c>
      <c r="L1315">
        <f>IF(A1315="","",IFERROR(MINIFS(Tickets[Trip Start Time],Tickets[TripKey],A1315),""))</f>
        <v/>
      </c>
    </row>
    <row r="1316">
      <c r="B1316" s="8">
        <f>IF(A1316="","",IFERROR(DATEVALUE(TEXTBEFORE(A1316,"|")),--LEFT(A1316,10)))</f>
        <v/>
      </c>
      <c r="C1316">
        <f>IF(A1316="","",TEXTBEFORE(TEXTAFTER(A1316,"|"),"|"))</f>
        <v/>
      </c>
      <c r="D1316">
        <f>IF(A1316="","",TEXTAFTER(A1316,"|",2))</f>
        <v/>
      </c>
      <c r="E1316">
        <f>IF(A1316="","",SUMIF(Tickets[TripKey],A1316,Tickets[TP]))</f>
        <v/>
      </c>
      <c r="F1316">
        <f>IF(A1316="","",SUMIF(Tickets[TripKey],A1316,Tickets[Revenue]))</f>
        <v/>
      </c>
      <c r="G1316">
        <f>IF(A1316="","",SUMIF(Tickets[TripKey],A1316,Tickets[PK]))</f>
        <v/>
      </c>
      <c r="H1316">
        <f>IF(A1316="","",IFERROR(XLOOKUP(A1316,Tickets[TripKey],Tickets[VehClean]),""))</f>
        <v/>
      </c>
      <c r="I1316">
        <f>IF(A1316="","",IFERROR(XLOOKUP(A1316,Tickets[TripKey],Tickets[RouteLen]),0))</f>
        <v/>
      </c>
      <c r="J1316">
        <f>IF(A1316="","",IFERROR(XLOOKUP(A1316,Tickets[TripKey],Tickets[Capacity]),0))</f>
        <v/>
      </c>
      <c r="K1316">
        <f>IF(A1316="","",I1316*J1316)</f>
        <v/>
      </c>
      <c r="L1316">
        <f>IF(A1316="","",IFERROR(MINIFS(Tickets[Trip Start Time],Tickets[TripKey],A1316),""))</f>
        <v/>
      </c>
    </row>
    <row r="1317">
      <c r="B1317" s="8">
        <f>IF(A1317="","",IFERROR(DATEVALUE(TEXTBEFORE(A1317,"|")),--LEFT(A1317,10)))</f>
        <v/>
      </c>
      <c r="C1317">
        <f>IF(A1317="","",TEXTBEFORE(TEXTAFTER(A1317,"|"),"|"))</f>
        <v/>
      </c>
      <c r="D1317">
        <f>IF(A1317="","",TEXTAFTER(A1317,"|",2))</f>
        <v/>
      </c>
      <c r="E1317">
        <f>IF(A1317="","",SUMIF(Tickets[TripKey],A1317,Tickets[TP]))</f>
        <v/>
      </c>
      <c r="F1317">
        <f>IF(A1317="","",SUMIF(Tickets[TripKey],A1317,Tickets[Revenue]))</f>
        <v/>
      </c>
      <c r="G1317">
        <f>IF(A1317="","",SUMIF(Tickets[TripKey],A1317,Tickets[PK]))</f>
        <v/>
      </c>
      <c r="H1317">
        <f>IF(A1317="","",IFERROR(XLOOKUP(A1317,Tickets[TripKey],Tickets[VehClean]),""))</f>
        <v/>
      </c>
      <c r="I1317">
        <f>IF(A1317="","",IFERROR(XLOOKUP(A1317,Tickets[TripKey],Tickets[RouteLen]),0))</f>
        <v/>
      </c>
      <c r="J1317">
        <f>IF(A1317="","",IFERROR(XLOOKUP(A1317,Tickets[TripKey],Tickets[Capacity]),0))</f>
        <v/>
      </c>
      <c r="K1317">
        <f>IF(A1317="","",I1317*J1317)</f>
        <v/>
      </c>
      <c r="L1317">
        <f>IF(A1317="","",IFERROR(MINIFS(Tickets[Trip Start Time],Tickets[TripKey],A1317),""))</f>
        <v/>
      </c>
    </row>
    <row r="1318">
      <c r="B1318" s="8">
        <f>IF(A1318="","",IFERROR(DATEVALUE(TEXTBEFORE(A1318,"|")),--LEFT(A1318,10)))</f>
        <v/>
      </c>
      <c r="C1318">
        <f>IF(A1318="","",TEXTBEFORE(TEXTAFTER(A1318,"|"),"|"))</f>
        <v/>
      </c>
      <c r="D1318">
        <f>IF(A1318="","",TEXTAFTER(A1318,"|",2))</f>
        <v/>
      </c>
      <c r="E1318">
        <f>IF(A1318="","",SUMIF(Tickets[TripKey],A1318,Tickets[TP]))</f>
        <v/>
      </c>
      <c r="F1318">
        <f>IF(A1318="","",SUMIF(Tickets[TripKey],A1318,Tickets[Revenue]))</f>
        <v/>
      </c>
      <c r="G1318">
        <f>IF(A1318="","",SUMIF(Tickets[TripKey],A1318,Tickets[PK]))</f>
        <v/>
      </c>
      <c r="H1318">
        <f>IF(A1318="","",IFERROR(XLOOKUP(A1318,Tickets[TripKey],Tickets[VehClean]),""))</f>
        <v/>
      </c>
      <c r="I1318">
        <f>IF(A1318="","",IFERROR(XLOOKUP(A1318,Tickets[TripKey],Tickets[RouteLen]),0))</f>
        <v/>
      </c>
      <c r="J1318">
        <f>IF(A1318="","",IFERROR(XLOOKUP(A1318,Tickets[TripKey],Tickets[Capacity]),0))</f>
        <v/>
      </c>
      <c r="K1318">
        <f>IF(A1318="","",I1318*J1318)</f>
        <v/>
      </c>
      <c r="L1318">
        <f>IF(A1318="","",IFERROR(MINIFS(Tickets[Trip Start Time],Tickets[TripKey],A1318),""))</f>
        <v/>
      </c>
    </row>
    <row r="1319">
      <c r="B1319" s="8">
        <f>IF(A1319="","",IFERROR(DATEVALUE(TEXTBEFORE(A1319,"|")),--LEFT(A1319,10)))</f>
        <v/>
      </c>
      <c r="C1319">
        <f>IF(A1319="","",TEXTBEFORE(TEXTAFTER(A1319,"|"),"|"))</f>
        <v/>
      </c>
      <c r="D1319">
        <f>IF(A1319="","",TEXTAFTER(A1319,"|",2))</f>
        <v/>
      </c>
      <c r="E1319">
        <f>IF(A1319="","",SUMIF(Tickets[TripKey],A1319,Tickets[TP]))</f>
        <v/>
      </c>
      <c r="F1319">
        <f>IF(A1319="","",SUMIF(Tickets[TripKey],A1319,Tickets[Revenue]))</f>
        <v/>
      </c>
      <c r="G1319">
        <f>IF(A1319="","",SUMIF(Tickets[TripKey],A1319,Tickets[PK]))</f>
        <v/>
      </c>
      <c r="H1319">
        <f>IF(A1319="","",IFERROR(XLOOKUP(A1319,Tickets[TripKey],Tickets[VehClean]),""))</f>
        <v/>
      </c>
      <c r="I1319">
        <f>IF(A1319="","",IFERROR(XLOOKUP(A1319,Tickets[TripKey],Tickets[RouteLen]),0))</f>
        <v/>
      </c>
      <c r="J1319">
        <f>IF(A1319="","",IFERROR(XLOOKUP(A1319,Tickets[TripKey],Tickets[Capacity]),0))</f>
        <v/>
      </c>
      <c r="K1319">
        <f>IF(A1319="","",I1319*J1319)</f>
        <v/>
      </c>
      <c r="L1319">
        <f>IF(A1319="","",IFERROR(MINIFS(Tickets[Trip Start Time],Tickets[TripKey],A1319),""))</f>
        <v/>
      </c>
    </row>
    <row r="1320">
      <c r="B1320" s="8">
        <f>IF(A1320="","",IFERROR(DATEVALUE(TEXTBEFORE(A1320,"|")),--LEFT(A1320,10)))</f>
        <v/>
      </c>
      <c r="C1320">
        <f>IF(A1320="","",TEXTBEFORE(TEXTAFTER(A1320,"|"),"|"))</f>
        <v/>
      </c>
      <c r="D1320">
        <f>IF(A1320="","",TEXTAFTER(A1320,"|",2))</f>
        <v/>
      </c>
      <c r="E1320">
        <f>IF(A1320="","",SUMIF(Tickets[TripKey],A1320,Tickets[TP]))</f>
        <v/>
      </c>
      <c r="F1320">
        <f>IF(A1320="","",SUMIF(Tickets[TripKey],A1320,Tickets[Revenue]))</f>
        <v/>
      </c>
      <c r="G1320">
        <f>IF(A1320="","",SUMIF(Tickets[TripKey],A1320,Tickets[PK]))</f>
        <v/>
      </c>
      <c r="H1320">
        <f>IF(A1320="","",IFERROR(XLOOKUP(A1320,Tickets[TripKey],Tickets[VehClean]),""))</f>
        <v/>
      </c>
      <c r="I1320">
        <f>IF(A1320="","",IFERROR(XLOOKUP(A1320,Tickets[TripKey],Tickets[RouteLen]),0))</f>
        <v/>
      </c>
      <c r="J1320">
        <f>IF(A1320="","",IFERROR(XLOOKUP(A1320,Tickets[TripKey],Tickets[Capacity]),0))</f>
        <v/>
      </c>
      <c r="K1320">
        <f>IF(A1320="","",I1320*J1320)</f>
        <v/>
      </c>
      <c r="L1320">
        <f>IF(A1320="","",IFERROR(MINIFS(Tickets[Trip Start Time],Tickets[TripKey],A1320),""))</f>
        <v/>
      </c>
    </row>
    <row r="1321">
      <c r="B1321" s="8">
        <f>IF(A1321="","",IFERROR(DATEVALUE(TEXTBEFORE(A1321,"|")),--LEFT(A1321,10)))</f>
        <v/>
      </c>
      <c r="C1321">
        <f>IF(A1321="","",TEXTBEFORE(TEXTAFTER(A1321,"|"),"|"))</f>
        <v/>
      </c>
      <c r="D1321">
        <f>IF(A1321="","",TEXTAFTER(A1321,"|",2))</f>
        <v/>
      </c>
      <c r="E1321">
        <f>IF(A1321="","",SUMIF(Tickets[TripKey],A1321,Tickets[TP]))</f>
        <v/>
      </c>
      <c r="F1321">
        <f>IF(A1321="","",SUMIF(Tickets[TripKey],A1321,Tickets[Revenue]))</f>
        <v/>
      </c>
      <c r="G1321">
        <f>IF(A1321="","",SUMIF(Tickets[TripKey],A1321,Tickets[PK]))</f>
        <v/>
      </c>
      <c r="H1321">
        <f>IF(A1321="","",IFERROR(XLOOKUP(A1321,Tickets[TripKey],Tickets[VehClean]),""))</f>
        <v/>
      </c>
      <c r="I1321">
        <f>IF(A1321="","",IFERROR(XLOOKUP(A1321,Tickets[TripKey],Tickets[RouteLen]),0))</f>
        <v/>
      </c>
      <c r="J1321">
        <f>IF(A1321="","",IFERROR(XLOOKUP(A1321,Tickets[TripKey],Tickets[Capacity]),0))</f>
        <v/>
      </c>
      <c r="K1321">
        <f>IF(A1321="","",I1321*J1321)</f>
        <v/>
      </c>
      <c r="L1321">
        <f>IF(A1321="","",IFERROR(MINIFS(Tickets[Trip Start Time],Tickets[TripKey],A1321),""))</f>
        <v/>
      </c>
    </row>
    <row r="1322">
      <c r="B1322" s="8">
        <f>IF(A1322="","",IFERROR(DATEVALUE(TEXTBEFORE(A1322,"|")),--LEFT(A1322,10)))</f>
        <v/>
      </c>
      <c r="C1322">
        <f>IF(A1322="","",TEXTBEFORE(TEXTAFTER(A1322,"|"),"|"))</f>
        <v/>
      </c>
      <c r="D1322">
        <f>IF(A1322="","",TEXTAFTER(A1322,"|",2))</f>
        <v/>
      </c>
      <c r="E1322">
        <f>IF(A1322="","",SUMIF(Tickets[TripKey],A1322,Tickets[TP]))</f>
        <v/>
      </c>
      <c r="F1322">
        <f>IF(A1322="","",SUMIF(Tickets[TripKey],A1322,Tickets[Revenue]))</f>
        <v/>
      </c>
      <c r="G1322">
        <f>IF(A1322="","",SUMIF(Tickets[TripKey],A1322,Tickets[PK]))</f>
        <v/>
      </c>
      <c r="H1322">
        <f>IF(A1322="","",IFERROR(XLOOKUP(A1322,Tickets[TripKey],Tickets[VehClean]),""))</f>
        <v/>
      </c>
      <c r="I1322">
        <f>IF(A1322="","",IFERROR(XLOOKUP(A1322,Tickets[TripKey],Tickets[RouteLen]),0))</f>
        <v/>
      </c>
      <c r="J1322">
        <f>IF(A1322="","",IFERROR(XLOOKUP(A1322,Tickets[TripKey],Tickets[Capacity]),0))</f>
        <v/>
      </c>
      <c r="K1322">
        <f>IF(A1322="","",I1322*J1322)</f>
        <v/>
      </c>
      <c r="L1322">
        <f>IF(A1322="","",IFERROR(MINIFS(Tickets[Trip Start Time],Tickets[TripKey],A1322),""))</f>
        <v/>
      </c>
    </row>
    <row r="1323">
      <c r="B1323" s="8">
        <f>IF(A1323="","",IFERROR(DATEVALUE(TEXTBEFORE(A1323,"|")),--LEFT(A1323,10)))</f>
        <v/>
      </c>
      <c r="C1323">
        <f>IF(A1323="","",TEXTBEFORE(TEXTAFTER(A1323,"|"),"|"))</f>
        <v/>
      </c>
      <c r="D1323">
        <f>IF(A1323="","",TEXTAFTER(A1323,"|",2))</f>
        <v/>
      </c>
      <c r="E1323">
        <f>IF(A1323="","",SUMIF(Tickets[TripKey],A1323,Tickets[TP]))</f>
        <v/>
      </c>
      <c r="F1323">
        <f>IF(A1323="","",SUMIF(Tickets[TripKey],A1323,Tickets[Revenue]))</f>
        <v/>
      </c>
      <c r="G1323">
        <f>IF(A1323="","",SUMIF(Tickets[TripKey],A1323,Tickets[PK]))</f>
        <v/>
      </c>
      <c r="H1323">
        <f>IF(A1323="","",IFERROR(XLOOKUP(A1323,Tickets[TripKey],Tickets[VehClean]),""))</f>
        <v/>
      </c>
      <c r="I1323">
        <f>IF(A1323="","",IFERROR(XLOOKUP(A1323,Tickets[TripKey],Tickets[RouteLen]),0))</f>
        <v/>
      </c>
      <c r="J1323">
        <f>IF(A1323="","",IFERROR(XLOOKUP(A1323,Tickets[TripKey],Tickets[Capacity]),0))</f>
        <v/>
      </c>
      <c r="K1323">
        <f>IF(A1323="","",I1323*J1323)</f>
        <v/>
      </c>
      <c r="L1323">
        <f>IF(A1323="","",IFERROR(MINIFS(Tickets[Trip Start Time],Tickets[TripKey],A1323),""))</f>
        <v/>
      </c>
    </row>
    <row r="1324">
      <c r="B1324" s="8">
        <f>IF(A1324="","",IFERROR(DATEVALUE(TEXTBEFORE(A1324,"|")),--LEFT(A1324,10)))</f>
        <v/>
      </c>
      <c r="C1324">
        <f>IF(A1324="","",TEXTBEFORE(TEXTAFTER(A1324,"|"),"|"))</f>
        <v/>
      </c>
      <c r="D1324">
        <f>IF(A1324="","",TEXTAFTER(A1324,"|",2))</f>
        <v/>
      </c>
      <c r="E1324">
        <f>IF(A1324="","",SUMIF(Tickets[TripKey],A1324,Tickets[TP]))</f>
        <v/>
      </c>
      <c r="F1324">
        <f>IF(A1324="","",SUMIF(Tickets[TripKey],A1324,Tickets[Revenue]))</f>
        <v/>
      </c>
      <c r="G1324">
        <f>IF(A1324="","",SUMIF(Tickets[TripKey],A1324,Tickets[PK]))</f>
        <v/>
      </c>
      <c r="H1324">
        <f>IF(A1324="","",IFERROR(XLOOKUP(A1324,Tickets[TripKey],Tickets[VehClean]),""))</f>
        <v/>
      </c>
      <c r="I1324">
        <f>IF(A1324="","",IFERROR(XLOOKUP(A1324,Tickets[TripKey],Tickets[RouteLen]),0))</f>
        <v/>
      </c>
      <c r="J1324">
        <f>IF(A1324="","",IFERROR(XLOOKUP(A1324,Tickets[TripKey],Tickets[Capacity]),0))</f>
        <v/>
      </c>
      <c r="K1324">
        <f>IF(A1324="","",I1324*J1324)</f>
        <v/>
      </c>
      <c r="L1324">
        <f>IF(A1324="","",IFERROR(MINIFS(Tickets[Trip Start Time],Tickets[TripKey],A1324),""))</f>
        <v/>
      </c>
    </row>
    <row r="1325">
      <c r="B1325" s="8">
        <f>IF(A1325="","",IFERROR(DATEVALUE(TEXTBEFORE(A1325,"|")),--LEFT(A1325,10)))</f>
        <v/>
      </c>
      <c r="C1325">
        <f>IF(A1325="","",TEXTBEFORE(TEXTAFTER(A1325,"|"),"|"))</f>
        <v/>
      </c>
      <c r="D1325">
        <f>IF(A1325="","",TEXTAFTER(A1325,"|",2))</f>
        <v/>
      </c>
      <c r="E1325">
        <f>IF(A1325="","",SUMIF(Tickets[TripKey],A1325,Tickets[TP]))</f>
        <v/>
      </c>
      <c r="F1325">
        <f>IF(A1325="","",SUMIF(Tickets[TripKey],A1325,Tickets[Revenue]))</f>
        <v/>
      </c>
      <c r="G1325">
        <f>IF(A1325="","",SUMIF(Tickets[TripKey],A1325,Tickets[PK]))</f>
        <v/>
      </c>
      <c r="H1325">
        <f>IF(A1325="","",IFERROR(XLOOKUP(A1325,Tickets[TripKey],Tickets[VehClean]),""))</f>
        <v/>
      </c>
      <c r="I1325">
        <f>IF(A1325="","",IFERROR(XLOOKUP(A1325,Tickets[TripKey],Tickets[RouteLen]),0))</f>
        <v/>
      </c>
      <c r="J1325">
        <f>IF(A1325="","",IFERROR(XLOOKUP(A1325,Tickets[TripKey],Tickets[Capacity]),0))</f>
        <v/>
      </c>
      <c r="K1325">
        <f>IF(A1325="","",I1325*J1325)</f>
        <v/>
      </c>
      <c r="L1325">
        <f>IF(A1325="","",IFERROR(MINIFS(Tickets[Trip Start Time],Tickets[TripKey],A1325),""))</f>
        <v/>
      </c>
    </row>
    <row r="1326">
      <c r="B1326" s="8">
        <f>IF(A1326="","",IFERROR(DATEVALUE(TEXTBEFORE(A1326,"|")),--LEFT(A1326,10)))</f>
        <v/>
      </c>
      <c r="C1326">
        <f>IF(A1326="","",TEXTBEFORE(TEXTAFTER(A1326,"|"),"|"))</f>
        <v/>
      </c>
      <c r="D1326">
        <f>IF(A1326="","",TEXTAFTER(A1326,"|",2))</f>
        <v/>
      </c>
      <c r="E1326">
        <f>IF(A1326="","",SUMIF(Tickets[TripKey],A1326,Tickets[TP]))</f>
        <v/>
      </c>
      <c r="F1326">
        <f>IF(A1326="","",SUMIF(Tickets[TripKey],A1326,Tickets[Revenue]))</f>
        <v/>
      </c>
      <c r="G1326">
        <f>IF(A1326="","",SUMIF(Tickets[TripKey],A1326,Tickets[PK]))</f>
        <v/>
      </c>
      <c r="H1326">
        <f>IF(A1326="","",IFERROR(XLOOKUP(A1326,Tickets[TripKey],Tickets[VehClean]),""))</f>
        <v/>
      </c>
      <c r="I1326">
        <f>IF(A1326="","",IFERROR(XLOOKUP(A1326,Tickets[TripKey],Tickets[RouteLen]),0))</f>
        <v/>
      </c>
      <c r="J1326">
        <f>IF(A1326="","",IFERROR(XLOOKUP(A1326,Tickets[TripKey],Tickets[Capacity]),0))</f>
        <v/>
      </c>
      <c r="K1326">
        <f>IF(A1326="","",I1326*J1326)</f>
        <v/>
      </c>
      <c r="L1326">
        <f>IF(A1326="","",IFERROR(MINIFS(Tickets[Trip Start Time],Tickets[TripKey],A1326),""))</f>
        <v/>
      </c>
    </row>
    <row r="1327">
      <c r="B1327" s="8">
        <f>IF(A1327="","",IFERROR(DATEVALUE(TEXTBEFORE(A1327,"|")),--LEFT(A1327,10)))</f>
        <v/>
      </c>
      <c r="C1327">
        <f>IF(A1327="","",TEXTBEFORE(TEXTAFTER(A1327,"|"),"|"))</f>
        <v/>
      </c>
      <c r="D1327">
        <f>IF(A1327="","",TEXTAFTER(A1327,"|",2))</f>
        <v/>
      </c>
      <c r="E1327">
        <f>IF(A1327="","",SUMIF(Tickets[TripKey],A1327,Tickets[TP]))</f>
        <v/>
      </c>
      <c r="F1327">
        <f>IF(A1327="","",SUMIF(Tickets[TripKey],A1327,Tickets[Revenue]))</f>
        <v/>
      </c>
      <c r="G1327">
        <f>IF(A1327="","",SUMIF(Tickets[TripKey],A1327,Tickets[PK]))</f>
        <v/>
      </c>
      <c r="H1327">
        <f>IF(A1327="","",IFERROR(XLOOKUP(A1327,Tickets[TripKey],Tickets[VehClean]),""))</f>
        <v/>
      </c>
      <c r="I1327">
        <f>IF(A1327="","",IFERROR(XLOOKUP(A1327,Tickets[TripKey],Tickets[RouteLen]),0))</f>
        <v/>
      </c>
      <c r="J1327">
        <f>IF(A1327="","",IFERROR(XLOOKUP(A1327,Tickets[TripKey],Tickets[Capacity]),0))</f>
        <v/>
      </c>
      <c r="K1327">
        <f>IF(A1327="","",I1327*J1327)</f>
        <v/>
      </c>
      <c r="L1327">
        <f>IF(A1327="","",IFERROR(MINIFS(Tickets[Trip Start Time],Tickets[TripKey],A1327),""))</f>
        <v/>
      </c>
    </row>
    <row r="1328">
      <c r="B1328" s="8">
        <f>IF(A1328="","",IFERROR(DATEVALUE(TEXTBEFORE(A1328,"|")),--LEFT(A1328,10)))</f>
        <v/>
      </c>
      <c r="C1328">
        <f>IF(A1328="","",TEXTBEFORE(TEXTAFTER(A1328,"|"),"|"))</f>
        <v/>
      </c>
      <c r="D1328">
        <f>IF(A1328="","",TEXTAFTER(A1328,"|",2))</f>
        <v/>
      </c>
      <c r="E1328">
        <f>IF(A1328="","",SUMIF(Tickets[TripKey],A1328,Tickets[TP]))</f>
        <v/>
      </c>
      <c r="F1328">
        <f>IF(A1328="","",SUMIF(Tickets[TripKey],A1328,Tickets[Revenue]))</f>
        <v/>
      </c>
      <c r="G1328">
        <f>IF(A1328="","",SUMIF(Tickets[TripKey],A1328,Tickets[PK]))</f>
        <v/>
      </c>
      <c r="H1328">
        <f>IF(A1328="","",IFERROR(XLOOKUP(A1328,Tickets[TripKey],Tickets[VehClean]),""))</f>
        <v/>
      </c>
      <c r="I1328">
        <f>IF(A1328="","",IFERROR(XLOOKUP(A1328,Tickets[TripKey],Tickets[RouteLen]),0))</f>
        <v/>
      </c>
      <c r="J1328">
        <f>IF(A1328="","",IFERROR(XLOOKUP(A1328,Tickets[TripKey],Tickets[Capacity]),0))</f>
        <v/>
      </c>
      <c r="K1328">
        <f>IF(A1328="","",I1328*J1328)</f>
        <v/>
      </c>
      <c r="L1328">
        <f>IF(A1328="","",IFERROR(MINIFS(Tickets[Trip Start Time],Tickets[TripKey],A1328),""))</f>
        <v/>
      </c>
    </row>
    <row r="1329">
      <c r="B1329" s="8">
        <f>IF(A1329="","",IFERROR(DATEVALUE(TEXTBEFORE(A1329,"|")),--LEFT(A1329,10)))</f>
        <v/>
      </c>
      <c r="C1329">
        <f>IF(A1329="","",TEXTBEFORE(TEXTAFTER(A1329,"|"),"|"))</f>
        <v/>
      </c>
      <c r="D1329">
        <f>IF(A1329="","",TEXTAFTER(A1329,"|",2))</f>
        <v/>
      </c>
      <c r="E1329">
        <f>IF(A1329="","",SUMIF(Tickets[TripKey],A1329,Tickets[TP]))</f>
        <v/>
      </c>
      <c r="F1329">
        <f>IF(A1329="","",SUMIF(Tickets[TripKey],A1329,Tickets[Revenue]))</f>
        <v/>
      </c>
      <c r="G1329">
        <f>IF(A1329="","",SUMIF(Tickets[TripKey],A1329,Tickets[PK]))</f>
        <v/>
      </c>
      <c r="H1329">
        <f>IF(A1329="","",IFERROR(XLOOKUP(A1329,Tickets[TripKey],Tickets[VehClean]),""))</f>
        <v/>
      </c>
      <c r="I1329">
        <f>IF(A1329="","",IFERROR(XLOOKUP(A1329,Tickets[TripKey],Tickets[RouteLen]),0))</f>
        <v/>
      </c>
      <c r="J1329">
        <f>IF(A1329="","",IFERROR(XLOOKUP(A1329,Tickets[TripKey],Tickets[Capacity]),0))</f>
        <v/>
      </c>
      <c r="K1329">
        <f>IF(A1329="","",I1329*J1329)</f>
        <v/>
      </c>
      <c r="L1329">
        <f>IF(A1329="","",IFERROR(MINIFS(Tickets[Trip Start Time],Tickets[TripKey],A1329),""))</f>
        <v/>
      </c>
    </row>
    <row r="1330">
      <c r="B1330" s="8">
        <f>IF(A1330="","",IFERROR(DATEVALUE(TEXTBEFORE(A1330,"|")),--LEFT(A1330,10)))</f>
        <v/>
      </c>
      <c r="C1330">
        <f>IF(A1330="","",TEXTBEFORE(TEXTAFTER(A1330,"|"),"|"))</f>
        <v/>
      </c>
      <c r="D1330">
        <f>IF(A1330="","",TEXTAFTER(A1330,"|",2))</f>
        <v/>
      </c>
      <c r="E1330">
        <f>IF(A1330="","",SUMIF(Tickets[TripKey],A1330,Tickets[TP]))</f>
        <v/>
      </c>
      <c r="F1330">
        <f>IF(A1330="","",SUMIF(Tickets[TripKey],A1330,Tickets[Revenue]))</f>
        <v/>
      </c>
      <c r="G1330">
        <f>IF(A1330="","",SUMIF(Tickets[TripKey],A1330,Tickets[PK]))</f>
        <v/>
      </c>
      <c r="H1330">
        <f>IF(A1330="","",IFERROR(XLOOKUP(A1330,Tickets[TripKey],Tickets[VehClean]),""))</f>
        <v/>
      </c>
      <c r="I1330">
        <f>IF(A1330="","",IFERROR(XLOOKUP(A1330,Tickets[TripKey],Tickets[RouteLen]),0))</f>
        <v/>
      </c>
      <c r="J1330">
        <f>IF(A1330="","",IFERROR(XLOOKUP(A1330,Tickets[TripKey],Tickets[Capacity]),0))</f>
        <v/>
      </c>
      <c r="K1330">
        <f>IF(A1330="","",I1330*J1330)</f>
        <v/>
      </c>
      <c r="L1330">
        <f>IF(A1330="","",IFERROR(MINIFS(Tickets[Trip Start Time],Tickets[TripKey],A1330),""))</f>
        <v/>
      </c>
    </row>
    <row r="1331">
      <c r="B1331" s="8">
        <f>IF(A1331="","",IFERROR(DATEVALUE(TEXTBEFORE(A1331,"|")),--LEFT(A1331,10)))</f>
        <v/>
      </c>
      <c r="C1331">
        <f>IF(A1331="","",TEXTBEFORE(TEXTAFTER(A1331,"|"),"|"))</f>
        <v/>
      </c>
      <c r="D1331">
        <f>IF(A1331="","",TEXTAFTER(A1331,"|",2))</f>
        <v/>
      </c>
      <c r="E1331">
        <f>IF(A1331="","",SUMIF(Tickets[TripKey],A1331,Tickets[TP]))</f>
        <v/>
      </c>
      <c r="F1331">
        <f>IF(A1331="","",SUMIF(Tickets[TripKey],A1331,Tickets[Revenue]))</f>
        <v/>
      </c>
      <c r="G1331">
        <f>IF(A1331="","",SUMIF(Tickets[TripKey],A1331,Tickets[PK]))</f>
        <v/>
      </c>
      <c r="H1331">
        <f>IF(A1331="","",IFERROR(XLOOKUP(A1331,Tickets[TripKey],Tickets[VehClean]),""))</f>
        <v/>
      </c>
      <c r="I1331">
        <f>IF(A1331="","",IFERROR(XLOOKUP(A1331,Tickets[TripKey],Tickets[RouteLen]),0))</f>
        <v/>
      </c>
      <c r="J1331">
        <f>IF(A1331="","",IFERROR(XLOOKUP(A1331,Tickets[TripKey],Tickets[Capacity]),0))</f>
        <v/>
      </c>
      <c r="K1331">
        <f>IF(A1331="","",I1331*J1331)</f>
        <v/>
      </c>
      <c r="L1331">
        <f>IF(A1331="","",IFERROR(MINIFS(Tickets[Trip Start Time],Tickets[TripKey],A1331),""))</f>
        <v/>
      </c>
    </row>
    <row r="1332">
      <c r="B1332" s="8">
        <f>IF(A1332="","",IFERROR(DATEVALUE(TEXTBEFORE(A1332,"|")),--LEFT(A1332,10)))</f>
        <v/>
      </c>
      <c r="C1332">
        <f>IF(A1332="","",TEXTBEFORE(TEXTAFTER(A1332,"|"),"|"))</f>
        <v/>
      </c>
      <c r="D1332">
        <f>IF(A1332="","",TEXTAFTER(A1332,"|",2))</f>
        <v/>
      </c>
      <c r="E1332">
        <f>IF(A1332="","",SUMIF(Tickets[TripKey],A1332,Tickets[TP]))</f>
        <v/>
      </c>
      <c r="F1332">
        <f>IF(A1332="","",SUMIF(Tickets[TripKey],A1332,Tickets[Revenue]))</f>
        <v/>
      </c>
      <c r="G1332">
        <f>IF(A1332="","",SUMIF(Tickets[TripKey],A1332,Tickets[PK]))</f>
        <v/>
      </c>
      <c r="H1332">
        <f>IF(A1332="","",IFERROR(XLOOKUP(A1332,Tickets[TripKey],Tickets[VehClean]),""))</f>
        <v/>
      </c>
      <c r="I1332">
        <f>IF(A1332="","",IFERROR(XLOOKUP(A1332,Tickets[TripKey],Tickets[RouteLen]),0))</f>
        <v/>
      </c>
      <c r="J1332">
        <f>IF(A1332="","",IFERROR(XLOOKUP(A1332,Tickets[TripKey],Tickets[Capacity]),0))</f>
        <v/>
      </c>
      <c r="K1332">
        <f>IF(A1332="","",I1332*J1332)</f>
        <v/>
      </c>
      <c r="L1332">
        <f>IF(A1332="","",IFERROR(MINIFS(Tickets[Trip Start Time],Tickets[TripKey],A1332),""))</f>
        <v/>
      </c>
    </row>
    <row r="1333">
      <c r="B1333" s="8">
        <f>IF(A1333="","",IFERROR(DATEVALUE(TEXTBEFORE(A1333,"|")),--LEFT(A1333,10)))</f>
        <v/>
      </c>
      <c r="C1333">
        <f>IF(A1333="","",TEXTBEFORE(TEXTAFTER(A1333,"|"),"|"))</f>
        <v/>
      </c>
      <c r="D1333">
        <f>IF(A1333="","",TEXTAFTER(A1333,"|",2))</f>
        <v/>
      </c>
      <c r="E1333">
        <f>IF(A1333="","",SUMIF(Tickets[TripKey],A1333,Tickets[TP]))</f>
        <v/>
      </c>
      <c r="F1333">
        <f>IF(A1333="","",SUMIF(Tickets[TripKey],A1333,Tickets[Revenue]))</f>
        <v/>
      </c>
      <c r="G1333">
        <f>IF(A1333="","",SUMIF(Tickets[TripKey],A1333,Tickets[PK]))</f>
        <v/>
      </c>
      <c r="H1333">
        <f>IF(A1333="","",IFERROR(XLOOKUP(A1333,Tickets[TripKey],Tickets[VehClean]),""))</f>
        <v/>
      </c>
      <c r="I1333">
        <f>IF(A1333="","",IFERROR(XLOOKUP(A1333,Tickets[TripKey],Tickets[RouteLen]),0))</f>
        <v/>
      </c>
      <c r="J1333">
        <f>IF(A1333="","",IFERROR(XLOOKUP(A1333,Tickets[TripKey],Tickets[Capacity]),0))</f>
        <v/>
      </c>
      <c r="K1333">
        <f>IF(A1333="","",I1333*J1333)</f>
        <v/>
      </c>
      <c r="L1333">
        <f>IF(A1333="","",IFERROR(MINIFS(Tickets[Trip Start Time],Tickets[TripKey],A1333),""))</f>
        <v/>
      </c>
    </row>
    <row r="1334">
      <c r="B1334" s="8">
        <f>IF(A1334="","",IFERROR(DATEVALUE(TEXTBEFORE(A1334,"|")),--LEFT(A1334,10)))</f>
        <v/>
      </c>
      <c r="C1334">
        <f>IF(A1334="","",TEXTBEFORE(TEXTAFTER(A1334,"|"),"|"))</f>
        <v/>
      </c>
      <c r="D1334">
        <f>IF(A1334="","",TEXTAFTER(A1334,"|",2))</f>
        <v/>
      </c>
      <c r="E1334">
        <f>IF(A1334="","",SUMIF(Tickets[TripKey],A1334,Tickets[TP]))</f>
        <v/>
      </c>
      <c r="F1334">
        <f>IF(A1334="","",SUMIF(Tickets[TripKey],A1334,Tickets[Revenue]))</f>
        <v/>
      </c>
      <c r="G1334">
        <f>IF(A1334="","",SUMIF(Tickets[TripKey],A1334,Tickets[PK]))</f>
        <v/>
      </c>
      <c r="H1334">
        <f>IF(A1334="","",IFERROR(XLOOKUP(A1334,Tickets[TripKey],Tickets[VehClean]),""))</f>
        <v/>
      </c>
      <c r="I1334">
        <f>IF(A1334="","",IFERROR(XLOOKUP(A1334,Tickets[TripKey],Tickets[RouteLen]),0))</f>
        <v/>
      </c>
      <c r="J1334">
        <f>IF(A1334="","",IFERROR(XLOOKUP(A1334,Tickets[TripKey],Tickets[Capacity]),0))</f>
        <v/>
      </c>
      <c r="K1334">
        <f>IF(A1334="","",I1334*J1334)</f>
        <v/>
      </c>
      <c r="L1334">
        <f>IF(A1334="","",IFERROR(MINIFS(Tickets[Trip Start Time],Tickets[TripKey],A1334),""))</f>
        <v/>
      </c>
    </row>
    <row r="1335">
      <c r="B1335" s="8">
        <f>IF(A1335="","",IFERROR(DATEVALUE(TEXTBEFORE(A1335,"|")),--LEFT(A1335,10)))</f>
        <v/>
      </c>
      <c r="C1335">
        <f>IF(A1335="","",TEXTBEFORE(TEXTAFTER(A1335,"|"),"|"))</f>
        <v/>
      </c>
      <c r="D1335">
        <f>IF(A1335="","",TEXTAFTER(A1335,"|",2))</f>
        <v/>
      </c>
      <c r="E1335">
        <f>IF(A1335="","",SUMIF(Tickets[TripKey],A1335,Tickets[TP]))</f>
        <v/>
      </c>
      <c r="F1335">
        <f>IF(A1335="","",SUMIF(Tickets[TripKey],A1335,Tickets[Revenue]))</f>
        <v/>
      </c>
      <c r="G1335">
        <f>IF(A1335="","",SUMIF(Tickets[TripKey],A1335,Tickets[PK]))</f>
        <v/>
      </c>
      <c r="H1335">
        <f>IF(A1335="","",IFERROR(XLOOKUP(A1335,Tickets[TripKey],Tickets[VehClean]),""))</f>
        <v/>
      </c>
      <c r="I1335">
        <f>IF(A1335="","",IFERROR(XLOOKUP(A1335,Tickets[TripKey],Tickets[RouteLen]),0))</f>
        <v/>
      </c>
      <c r="J1335">
        <f>IF(A1335="","",IFERROR(XLOOKUP(A1335,Tickets[TripKey],Tickets[Capacity]),0))</f>
        <v/>
      </c>
      <c r="K1335">
        <f>IF(A1335="","",I1335*J1335)</f>
        <v/>
      </c>
      <c r="L1335">
        <f>IF(A1335="","",IFERROR(MINIFS(Tickets[Trip Start Time],Tickets[TripKey],A1335),""))</f>
        <v/>
      </c>
    </row>
    <row r="1336">
      <c r="B1336" s="8">
        <f>IF(A1336="","",IFERROR(DATEVALUE(TEXTBEFORE(A1336,"|")),--LEFT(A1336,10)))</f>
        <v/>
      </c>
      <c r="C1336">
        <f>IF(A1336="","",TEXTBEFORE(TEXTAFTER(A1336,"|"),"|"))</f>
        <v/>
      </c>
      <c r="D1336">
        <f>IF(A1336="","",TEXTAFTER(A1336,"|",2))</f>
        <v/>
      </c>
      <c r="E1336">
        <f>IF(A1336="","",SUMIF(Tickets[TripKey],A1336,Tickets[TP]))</f>
        <v/>
      </c>
      <c r="F1336">
        <f>IF(A1336="","",SUMIF(Tickets[TripKey],A1336,Tickets[Revenue]))</f>
        <v/>
      </c>
      <c r="G1336">
        <f>IF(A1336="","",SUMIF(Tickets[TripKey],A1336,Tickets[PK]))</f>
        <v/>
      </c>
      <c r="H1336">
        <f>IF(A1336="","",IFERROR(XLOOKUP(A1336,Tickets[TripKey],Tickets[VehClean]),""))</f>
        <v/>
      </c>
      <c r="I1336">
        <f>IF(A1336="","",IFERROR(XLOOKUP(A1336,Tickets[TripKey],Tickets[RouteLen]),0))</f>
        <v/>
      </c>
      <c r="J1336">
        <f>IF(A1336="","",IFERROR(XLOOKUP(A1336,Tickets[TripKey],Tickets[Capacity]),0))</f>
        <v/>
      </c>
      <c r="K1336">
        <f>IF(A1336="","",I1336*J1336)</f>
        <v/>
      </c>
      <c r="L1336">
        <f>IF(A1336="","",IFERROR(MINIFS(Tickets[Trip Start Time],Tickets[TripKey],A1336),""))</f>
        <v/>
      </c>
    </row>
    <row r="1337">
      <c r="B1337" s="8">
        <f>IF(A1337="","",IFERROR(DATEVALUE(TEXTBEFORE(A1337,"|")),--LEFT(A1337,10)))</f>
        <v/>
      </c>
      <c r="C1337">
        <f>IF(A1337="","",TEXTBEFORE(TEXTAFTER(A1337,"|"),"|"))</f>
        <v/>
      </c>
      <c r="D1337">
        <f>IF(A1337="","",TEXTAFTER(A1337,"|",2))</f>
        <v/>
      </c>
      <c r="E1337">
        <f>IF(A1337="","",SUMIF(Tickets[TripKey],A1337,Tickets[TP]))</f>
        <v/>
      </c>
      <c r="F1337">
        <f>IF(A1337="","",SUMIF(Tickets[TripKey],A1337,Tickets[Revenue]))</f>
        <v/>
      </c>
      <c r="G1337">
        <f>IF(A1337="","",SUMIF(Tickets[TripKey],A1337,Tickets[PK]))</f>
        <v/>
      </c>
      <c r="H1337">
        <f>IF(A1337="","",IFERROR(XLOOKUP(A1337,Tickets[TripKey],Tickets[VehClean]),""))</f>
        <v/>
      </c>
      <c r="I1337">
        <f>IF(A1337="","",IFERROR(XLOOKUP(A1337,Tickets[TripKey],Tickets[RouteLen]),0))</f>
        <v/>
      </c>
      <c r="J1337">
        <f>IF(A1337="","",IFERROR(XLOOKUP(A1337,Tickets[TripKey],Tickets[Capacity]),0))</f>
        <v/>
      </c>
      <c r="K1337">
        <f>IF(A1337="","",I1337*J1337)</f>
        <v/>
      </c>
      <c r="L1337">
        <f>IF(A1337="","",IFERROR(MINIFS(Tickets[Trip Start Time],Tickets[TripKey],A1337),""))</f>
        <v/>
      </c>
    </row>
    <row r="1338">
      <c r="B1338" s="8">
        <f>IF(A1338="","",IFERROR(DATEVALUE(TEXTBEFORE(A1338,"|")),--LEFT(A1338,10)))</f>
        <v/>
      </c>
      <c r="C1338">
        <f>IF(A1338="","",TEXTBEFORE(TEXTAFTER(A1338,"|"),"|"))</f>
        <v/>
      </c>
      <c r="D1338">
        <f>IF(A1338="","",TEXTAFTER(A1338,"|",2))</f>
        <v/>
      </c>
      <c r="E1338">
        <f>IF(A1338="","",SUMIF(Tickets[TripKey],A1338,Tickets[TP]))</f>
        <v/>
      </c>
      <c r="F1338">
        <f>IF(A1338="","",SUMIF(Tickets[TripKey],A1338,Tickets[Revenue]))</f>
        <v/>
      </c>
      <c r="G1338">
        <f>IF(A1338="","",SUMIF(Tickets[TripKey],A1338,Tickets[PK]))</f>
        <v/>
      </c>
      <c r="H1338">
        <f>IF(A1338="","",IFERROR(XLOOKUP(A1338,Tickets[TripKey],Tickets[VehClean]),""))</f>
        <v/>
      </c>
      <c r="I1338">
        <f>IF(A1338="","",IFERROR(XLOOKUP(A1338,Tickets[TripKey],Tickets[RouteLen]),0))</f>
        <v/>
      </c>
      <c r="J1338">
        <f>IF(A1338="","",IFERROR(XLOOKUP(A1338,Tickets[TripKey],Tickets[Capacity]),0))</f>
        <v/>
      </c>
      <c r="K1338">
        <f>IF(A1338="","",I1338*J1338)</f>
        <v/>
      </c>
      <c r="L1338">
        <f>IF(A1338="","",IFERROR(MINIFS(Tickets[Trip Start Time],Tickets[TripKey],A1338),""))</f>
        <v/>
      </c>
    </row>
    <row r="1339">
      <c r="B1339" s="8">
        <f>IF(A1339="","",IFERROR(DATEVALUE(TEXTBEFORE(A1339,"|")),--LEFT(A1339,10)))</f>
        <v/>
      </c>
      <c r="C1339">
        <f>IF(A1339="","",TEXTBEFORE(TEXTAFTER(A1339,"|"),"|"))</f>
        <v/>
      </c>
      <c r="D1339">
        <f>IF(A1339="","",TEXTAFTER(A1339,"|",2))</f>
        <v/>
      </c>
      <c r="E1339">
        <f>IF(A1339="","",SUMIF(Tickets[TripKey],A1339,Tickets[TP]))</f>
        <v/>
      </c>
      <c r="F1339">
        <f>IF(A1339="","",SUMIF(Tickets[TripKey],A1339,Tickets[Revenue]))</f>
        <v/>
      </c>
      <c r="G1339">
        <f>IF(A1339="","",SUMIF(Tickets[TripKey],A1339,Tickets[PK]))</f>
        <v/>
      </c>
      <c r="H1339">
        <f>IF(A1339="","",IFERROR(XLOOKUP(A1339,Tickets[TripKey],Tickets[VehClean]),""))</f>
        <v/>
      </c>
      <c r="I1339">
        <f>IF(A1339="","",IFERROR(XLOOKUP(A1339,Tickets[TripKey],Tickets[RouteLen]),0))</f>
        <v/>
      </c>
      <c r="J1339">
        <f>IF(A1339="","",IFERROR(XLOOKUP(A1339,Tickets[TripKey],Tickets[Capacity]),0))</f>
        <v/>
      </c>
      <c r="K1339">
        <f>IF(A1339="","",I1339*J1339)</f>
        <v/>
      </c>
      <c r="L1339">
        <f>IF(A1339="","",IFERROR(MINIFS(Tickets[Trip Start Time],Tickets[TripKey],A1339),""))</f>
        <v/>
      </c>
    </row>
    <row r="1340">
      <c r="B1340" s="8">
        <f>IF(A1340="","",IFERROR(DATEVALUE(TEXTBEFORE(A1340,"|")),--LEFT(A1340,10)))</f>
        <v/>
      </c>
      <c r="C1340">
        <f>IF(A1340="","",TEXTBEFORE(TEXTAFTER(A1340,"|"),"|"))</f>
        <v/>
      </c>
      <c r="D1340">
        <f>IF(A1340="","",TEXTAFTER(A1340,"|",2))</f>
        <v/>
      </c>
      <c r="E1340">
        <f>IF(A1340="","",SUMIF(Tickets[TripKey],A1340,Tickets[TP]))</f>
        <v/>
      </c>
      <c r="F1340">
        <f>IF(A1340="","",SUMIF(Tickets[TripKey],A1340,Tickets[Revenue]))</f>
        <v/>
      </c>
      <c r="G1340">
        <f>IF(A1340="","",SUMIF(Tickets[TripKey],A1340,Tickets[PK]))</f>
        <v/>
      </c>
      <c r="H1340">
        <f>IF(A1340="","",IFERROR(XLOOKUP(A1340,Tickets[TripKey],Tickets[VehClean]),""))</f>
        <v/>
      </c>
      <c r="I1340">
        <f>IF(A1340="","",IFERROR(XLOOKUP(A1340,Tickets[TripKey],Tickets[RouteLen]),0))</f>
        <v/>
      </c>
      <c r="J1340">
        <f>IF(A1340="","",IFERROR(XLOOKUP(A1340,Tickets[TripKey],Tickets[Capacity]),0))</f>
        <v/>
      </c>
      <c r="K1340">
        <f>IF(A1340="","",I1340*J1340)</f>
        <v/>
      </c>
      <c r="L1340">
        <f>IF(A1340="","",IFERROR(MINIFS(Tickets[Trip Start Time],Tickets[TripKey],A1340),""))</f>
        <v/>
      </c>
    </row>
    <row r="1341">
      <c r="B1341" s="8">
        <f>IF(A1341="","",IFERROR(DATEVALUE(TEXTBEFORE(A1341,"|")),--LEFT(A1341,10)))</f>
        <v/>
      </c>
      <c r="C1341">
        <f>IF(A1341="","",TEXTBEFORE(TEXTAFTER(A1341,"|"),"|"))</f>
        <v/>
      </c>
      <c r="D1341">
        <f>IF(A1341="","",TEXTAFTER(A1341,"|",2))</f>
        <v/>
      </c>
      <c r="E1341">
        <f>IF(A1341="","",SUMIF(Tickets[TripKey],A1341,Tickets[TP]))</f>
        <v/>
      </c>
      <c r="F1341">
        <f>IF(A1341="","",SUMIF(Tickets[TripKey],A1341,Tickets[Revenue]))</f>
        <v/>
      </c>
      <c r="G1341">
        <f>IF(A1341="","",SUMIF(Tickets[TripKey],A1341,Tickets[PK]))</f>
        <v/>
      </c>
      <c r="H1341">
        <f>IF(A1341="","",IFERROR(XLOOKUP(A1341,Tickets[TripKey],Tickets[VehClean]),""))</f>
        <v/>
      </c>
      <c r="I1341">
        <f>IF(A1341="","",IFERROR(XLOOKUP(A1341,Tickets[TripKey],Tickets[RouteLen]),0))</f>
        <v/>
      </c>
      <c r="J1341">
        <f>IF(A1341="","",IFERROR(XLOOKUP(A1341,Tickets[TripKey],Tickets[Capacity]),0))</f>
        <v/>
      </c>
      <c r="K1341">
        <f>IF(A1341="","",I1341*J1341)</f>
        <v/>
      </c>
      <c r="L1341">
        <f>IF(A1341="","",IFERROR(MINIFS(Tickets[Trip Start Time],Tickets[TripKey],A1341),""))</f>
        <v/>
      </c>
    </row>
    <row r="1342">
      <c r="B1342" s="8">
        <f>IF(A1342="","",IFERROR(DATEVALUE(TEXTBEFORE(A1342,"|")),--LEFT(A1342,10)))</f>
        <v/>
      </c>
      <c r="C1342">
        <f>IF(A1342="","",TEXTBEFORE(TEXTAFTER(A1342,"|"),"|"))</f>
        <v/>
      </c>
      <c r="D1342">
        <f>IF(A1342="","",TEXTAFTER(A1342,"|",2))</f>
        <v/>
      </c>
      <c r="E1342">
        <f>IF(A1342="","",SUMIF(Tickets[TripKey],A1342,Tickets[TP]))</f>
        <v/>
      </c>
      <c r="F1342">
        <f>IF(A1342="","",SUMIF(Tickets[TripKey],A1342,Tickets[Revenue]))</f>
        <v/>
      </c>
      <c r="G1342">
        <f>IF(A1342="","",SUMIF(Tickets[TripKey],A1342,Tickets[PK]))</f>
        <v/>
      </c>
      <c r="H1342">
        <f>IF(A1342="","",IFERROR(XLOOKUP(A1342,Tickets[TripKey],Tickets[VehClean]),""))</f>
        <v/>
      </c>
      <c r="I1342">
        <f>IF(A1342="","",IFERROR(XLOOKUP(A1342,Tickets[TripKey],Tickets[RouteLen]),0))</f>
        <v/>
      </c>
      <c r="J1342">
        <f>IF(A1342="","",IFERROR(XLOOKUP(A1342,Tickets[TripKey],Tickets[Capacity]),0))</f>
        <v/>
      </c>
      <c r="K1342">
        <f>IF(A1342="","",I1342*J1342)</f>
        <v/>
      </c>
      <c r="L1342">
        <f>IF(A1342="","",IFERROR(MINIFS(Tickets[Trip Start Time],Tickets[TripKey],A1342),""))</f>
        <v/>
      </c>
    </row>
    <row r="1343">
      <c r="B1343" s="8">
        <f>IF(A1343="","",IFERROR(DATEVALUE(TEXTBEFORE(A1343,"|")),--LEFT(A1343,10)))</f>
        <v/>
      </c>
      <c r="C1343">
        <f>IF(A1343="","",TEXTBEFORE(TEXTAFTER(A1343,"|"),"|"))</f>
        <v/>
      </c>
      <c r="D1343">
        <f>IF(A1343="","",TEXTAFTER(A1343,"|",2))</f>
        <v/>
      </c>
      <c r="E1343">
        <f>IF(A1343="","",SUMIF(Tickets[TripKey],A1343,Tickets[TP]))</f>
        <v/>
      </c>
      <c r="F1343">
        <f>IF(A1343="","",SUMIF(Tickets[TripKey],A1343,Tickets[Revenue]))</f>
        <v/>
      </c>
      <c r="G1343">
        <f>IF(A1343="","",SUMIF(Tickets[TripKey],A1343,Tickets[PK]))</f>
        <v/>
      </c>
      <c r="H1343">
        <f>IF(A1343="","",IFERROR(XLOOKUP(A1343,Tickets[TripKey],Tickets[VehClean]),""))</f>
        <v/>
      </c>
      <c r="I1343">
        <f>IF(A1343="","",IFERROR(XLOOKUP(A1343,Tickets[TripKey],Tickets[RouteLen]),0))</f>
        <v/>
      </c>
      <c r="J1343">
        <f>IF(A1343="","",IFERROR(XLOOKUP(A1343,Tickets[TripKey],Tickets[Capacity]),0))</f>
        <v/>
      </c>
      <c r="K1343">
        <f>IF(A1343="","",I1343*J1343)</f>
        <v/>
      </c>
      <c r="L1343">
        <f>IF(A1343="","",IFERROR(MINIFS(Tickets[Trip Start Time],Tickets[TripKey],A1343),""))</f>
        <v/>
      </c>
    </row>
    <row r="1344">
      <c r="B1344" s="8">
        <f>IF(A1344="","",IFERROR(DATEVALUE(TEXTBEFORE(A1344,"|")),--LEFT(A1344,10)))</f>
        <v/>
      </c>
      <c r="C1344">
        <f>IF(A1344="","",TEXTBEFORE(TEXTAFTER(A1344,"|"),"|"))</f>
        <v/>
      </c>
      <c r="D1344">
        <f>IF(A1344="","",TEXTAFTER(A1344,"|",2))</f>
        <v/>
      </c>
      <c r="E1344">
        <f>IF(A1344="","",SUMIF(Tickets[TripKey],A1344,Tickets[TP]))</f>
        <v/>
      </c>
      <c r="F1344">
        <f>IF(A1344="","",SUMIF(Tickets[TripKey],A1344,Tickets[Revenue]))</f>
        <v/>
      </c>
      <c r="G1344">
        <f>IF(A1344="","",SUMIF(Tickets[TripKey],A1344,Tickets[PK]))</f>
        <v/>
      </c>
      <c r="H1344">
        <f>IF(A1344="","",IFERROR(XLOOKUP(A1344,Tickets[TripKey],Tickets[VehClean]),""))</f>
        <v/>
      </c>
      <c r="I1344">
        <f>IF(A1344="","",IFERROR(XLOOKUP(A1344,Tickets[TripKey],Tickets[RouteLen]),0))</f>
        <v/>
      </c>
      <c r="J1344">
        <f>IF(A1344="","",IFERROR(XLOOKUP(A1344,Tickets[TripKey],Tickets[Capacity]),0))</f>
        <v/>
      </c>
      <c r="K1344">
        <f>IF(A1344="","",I1344*J1344)</f>
        <v/>
      </c>
      <c r="L1344">
        <f>IF(A1344="","",IFERROR(MINIFS(Tickets[Trip Start Time],Tickets[TripKey],A1344),""))</f>
        <v/>
      </c>
    </row>
    <row r="1345">
      <c r="B1345" s="8">
        <f>IF(A1345="","",IFERROR(DATEVALUE(TEXTBEFORE(A1345,"|")),--LEFT(A1345,10)))</f>
        <v/>
      </c>
      <c r="C1345">
        <f>IF(A1345="","",TEXTBEFORE(TEXTAFTER(A1345,"|"),"|"))</f>
        <v/>
      </c>
      <c r="D1345">
        <f>IF(A1345="","",TEXTAFTER(A1345,"|",2))</f>
        <v/>
      </c>
      <c r="E1345">
        <f>IF(A1345="","",SUMIF(Tickets[TripKey],A1345,Tickets[TP]))</f>
        <v/>
      </c>
      <c r="F1345">
        <f>IF(A1345="","",SUMIF(Tickets[TripKey],A1345,Tickets[Revenue]))</f>
        <v/>
      </c>
      <c r="G1345">
        <f>IF(A1345="","",SUMIF(Tickets[TripKey],A1345,Tickets[PK]))</f>
        <v/>
      </c>
      <c r="H1345">
        <f>IF(A1345="","",IFERROR(XLOOKUP(A1345,Tickets[TripKey],Tickets[VehClean]),""))</f>
        <v/>
      </c>
      <c r="I1345">
        <f>IF(A1345="","",IFERROR(XLOOKUP(A1345,Tickets[TripKey],Tickets[RouteLen]),0))</f>
        <v/>
      </c>
      <c r="J1345">
        <f>IF(A1345="","",IFERROR(XLOOKUP(A1345,Tickets[TripKey],Tickets[Capacity]),0))</f>
        <v/>
      </c>
      <c r="K1345">
        <f>IF(A1345="","",I1345*J1345)</f>
        <v/>
      </c>
      <c r="L1345">
        <f>IF(A1345="","",IFERROR(MINIFS(Tickets[Trip Start Time],Tickets[TripKey],A1345),""))</f>
        <v/>
      </c>
    </row>
    <row r="1346">
      <c r="B1346" s="8">
        <f>IF(A1346="","",IFERROR(DATEVALUE(TEXTBEFORE(A1346,"|")),--LEFT(A1346,10)))</f>
        <v/>
      </c>
      <c r="C1346">
        <f>IF(A1346="","",TEXTBEFORE(TEXTAFTER(A1346,"|"),"|"))</f>
        <v/>
      </c>
      <c r="D1346">
        <f>IF(A1346="","",TEXTAFTER(A1346,"|",2))</f>
        <v/>
      </c>
      <c r="E1346">
        <f>IF(A1346="","",SUMIF(Tickets[TripKey],A1346,Tickets[TP]))</f>
        <v/>
      </c>
      <c r="F1346">
        <f>IF(A1346="","",SUMIF(Tickets[TripKey],A1346,Tickets[Revenue]))</f>
        <v/>
      </c>
      <c r="G1346">
        <f>IF(A1346="","",SUMIF(Tickets[TripKey],A1346,Tickets[PK]))</f>
        <v/>
      </c>
      <c r="H1346">
        <f>IF(A1346="","",IFERROR(XLOOKUP(A1346,Tickets[TripKey],Tickets[VehClean]),""))</f>
        <v/>
      </c>
      <c r="I1346">
        <f>IF(A1346="","",IFERROR(XLOOKUP(A1346,Tickets[TripKey],Tickets[RouteLen]),0))</f>
        <v/>
      </c>
      <c r="J1346">
        <f>IF(A1346="","",IFERROR(XLOOKUP(A1346,Tickets[TripKey],Tickets[Capacity]),0))</f>
        <v/>
      </c>
      <c r="K1346">
        <f>IF(A1346="","",I1346*J1346)</f>
        <v/>
      </c>
      <c r="L1346">
        <f>IF(A1346="","",IFERROR(MINIFS(Tickets[Trip Start Time],Tickets[TripKey],A1346),""))</f>
        <v/>
      </c>
    </row>
    <row r="1347">
      <c r="B1347" s="8">
        <f>IF(A1347="","",IFERROR(DATEVALUE(TEXTBEFORE(A1347,"|")),--LEFT(A1347,10)))</f>
        <v/>
      </c>
      <c r="C1347">
        <f>IF(A1347="","",TEXTBEFORE(TEXTAFTER(A1347,"|"),"|"))</f>
        <v/>
      </c>
      <c r="D1347">
        <f>IF(A1347="","",TEXTAFTER(A1347,"|",2))</f>
        <v/>
      </c>
      <c r="E1347">
        <f>IF(A1347="","",SUMIF(Tickets[TripKey],A1347,Tickets[TP]))</f>
        <v/>
      </c>
      <c r="F1347">
        <f>IF(A1347="","",SUMIF(Tickets[TripKey],A1347,Tickets[Revenue]))</f>
        <v/>
      </c>
      <c r="G1347">
        <f>IF(A1347="","",SUMIF(Tickets[TripKey],A1347,Tickets[PK]))</f>
        <v/>
      </c>
      <c r="H1347">
        <f>IF(A1347="","",IFERROR(XLOOKUP(A1347,Tickets[TripKey],Tickets[VehClean]),""))</f>
        <v/>
      </c>
      <c r="I1347">
        <f>IF(A1347="","",IFERROR(XLOOKUP(A1347,Tickets[TripKey],Tickets[RouteLen]),0))</f>
        <v/>
      </c>
      <c r="J1347">
        <f>IF(A1347="","",IFERROR(XLOOKUP(A1347,Tickets[TripKey],Tickets[Capacity]),0))</f>
        <v/>
      </c>
      <c r="K1347">
        <f>IF(A1347="","",I1347*J1347)</f>
        <v/>
      </c>
      <c r="L1347">
        <f>IF(A1347="","",IFERROR(MINIFS(Tickets[Trip Start Time],Tickets[TripKey],A1347),""))</f>
        <v/>
      </c>
    </row>
    <row r="1348">
      <c r="B1348" s="8">
        <f>IF(A1348="","",IFERROR(DATEVALUE(TEXTBEFORE(A1348,"|")),--LEFT(A1348,10)))</f>
        <v/>
      </c>
      <c r="C1348">
        <f>IF(A1348="","",TEXTBEFORE(TEXTAFTER(A1348,"|"),"|"))</f>
        <v/>
      </c>
      <c r="D1348">
        <f>IF(A1348="","",TEXTAFTER(A1348,"|",2))</f>
        <v/>
      </c>
      <c r="E1348">
        <f>IF(A1348="","",SUMIF(Tickets[TripKey],A1348,Tickets[TP]))</f>
        <v/>
      </c>
      <c r="F1348">
        <f>IF(A1348="","",SUMIF(Tickets[TripKey],A1348,Tickets[Revenue]))</f>
        <v/>
      </c>
      <c r="G1348">
        <f>IF(A1348="","",SUMIF(Tickets[TripKey],A1348,Tickets[PK]))</f>
        <v/>
      </c>
      <c r="H1348">
        <f>IF(A1348="","",IFERROR(XLOOKUP(A1348,Tickets[TripKey],Tickets[VehClean]),""))</f>
        <v/>
      </c>
      <c r="I1348">
        <f>IF(A1348="","",IFERROR(XLOOKUP(A1348,Tickets[TripKey],Tickets[RouteLen]),0))</f>
        <v/>
      </c>
      <c r="J1348">
        <f>IF(A1348="","",IFERROR(XLOOKUP(A1348,Tickets[TripKey],Tickets[Capacity]),0))</f>
        <v/>
      </c>
      <c r="K1348">
        <f>IF(A1348="","",I1348*J1348)</f>
        <v/>
      </c>
      <c r="L1348">
        <f>IF(A1348="","",IFERROR(MINIFS(Tickets[Trip Start Time],Tickets[TripKey],A1348),""))</f>
        <v/>
      </c>
    </row>
    <row r="1349">
      <c r="B1349" s="8">
        <f>IF(A1349="","",IFERROR(DATEVALUE(TEXTBEFORE(A1349,"|")),--LEFT(A1349,10)))</f>
        <v/>
      </c>
      <c r="C1349">
        <f>IF(A1349="","",TEXTBEFORE(TEXTAFTER(A1349,"|"),"|"))</f>
        <v/>
      </c>
      <c r="D1349">
        <f>IF(A1349="","",TEXTAFTER(A1349,"|",2))</f>
        <v/>
      </c>
      <c r="E1349">
        <f>IF(A1349="","",SUMIF(Tickets[TripKey],A1349,Tickets[TP]))</f>
        <v/>
      </c>
      <c r="F1349">
        <f>IF(A1349="","",SUMIF(Tickets[TripKey],A1349,Tickets[Revenue]))</f>
        <v/>
      </c>
      <c r="G1349">
        <f>IF(A1349="","",SUMIF(Tickets[TripKey],A1349,Tickets[PK]))</f>
        <v/>
      </c>
      <c r="H1349">
        <f>IF(A1349="","",IFERROR(XLOOKUP(A1349,Tickets[TripKey],Tickets[VehClean]),""))</f>
        <v/>
      </c>
      <c r="I1349">
        <f>IF(A1349="","",IFERROR(XLOOKUP(A1349,Tickets[TripKey],Tickets[RouteLen]),0))</f>
        <v/>
      </c>
      <c r="J1349">
        <f>IF(A1349="","",IFERROR(XLOOKUP(A1349,Tickets[TripKey],Tickets[Capacity]),0))</f>
        <v/>
      </c>
      <c r="K1349">
        <f>IF(A1349="","",I1349*J1349)</f>
        <v/>
      </c>
      <c r="L1349">
        <f>IF(A1349="","",IFERROR(MINIFS(Tickets[Trip Start Time],Tickets[TripKey],A1349),""))</f>
        <v/>
      </c>
    </row>
    <row r="1350">
      <c r="B1350" s="8">
        <f>IF(A1350="","",IFERROR(DATEVALUE(TEXTBEFORE(A1350,"|")),--LEFT(A1350,10)))</f>
        <v/>
      </c>
      <c r="C1350">
        <f>IF(A1350="","",TEXTBEFORE(TEXTAFTER(A1350,"|"),"|"))</f>
        <v/>
      </c>
      <c r="D1350">
        <f>IF(A1350="","",TEXTAFTER(A1350,"|",2))</f>
        <v/>
      </c>
      <c r="E1350">
        <f>IF(A1350="","",SUMIF(Tickets[TripKey],A1350,Tickets[TP]))</f>
        <v/>
      </c>
      <c r="F1350">
        <f>IF(A1350="","",SUMIF(Tickets[TripKey],A1350,Tickets[Revenue]))</f>
        <v/>
      </c>
      <c r="G1350">
        <f>IF(A1350="","",SUMIF(Tickets[TripKey],A1350,Tickets[PK]))</f>
        <v/>
      </c>
      <c r="H1350">
        <f>IF(A1350="","",IFERROR(XLOOKUP(A1350,Tickets[TripKey],Tickets[VehClean]),""))</f>
        <v/>
      </c>
      <c r="I1350">
        <f>IF(A1350="","",IFERROR(XLOOKUP(A1350,Tickets[TripKey],Tickets[RouteLen]),0))</f>
        <v/>
      </c>
      <c r="J1350">
        <f>IF(A1350="","",IFERROR(XLOOKUP(A1350,Tickets[TripKey],Tickets[Capacity]),0))</f>
        <v/>
      </c>
      <c r="K1350">
        <f>IF(A1350="","",I1350*J1350)</f>
        <v/>
      </c>
      <c r="L1350">
        <f>IF(A1350="","",IFERROR(MINIFS(Tickets[Trip Start Time],Tickets[TripKey],A1350),""))</f>
        <v/>
      </c>
    </row>
    <row r="1351">
      <c r="B1351" s="8">
        <f>IF(A1351="","",IFERROR(DATEVALUE(TEXTBEFORE(A1351,"|")),--LEFT(A1351,10)))</f>
        <v/>
      </c>
      <c r="C1351">
        <f>IF(A1351="","",TEXTBEFORE(TEXTAFTER(A1351,"|"),"|"))</f>
        <v/>
      </c>
      <c r="D1351">
        <f>IF(A1351="","",TEXTAFTER(A1351,"|",2))</f>
        <v/>
      </c>
      <c r="E1351">
        <f>IF(A1351="","",SUMIF(Tickets[TripKey],A1351,Tickets[TP]))</f>
        <v/>
      </c>
      <c r="F1351">
        <f>IF(A1351="","",SUMIF(Tickets[TripKey],A1351,Tickets[Revenue]))</f>
        <v/>
      </c>
      <c r="G1351">
        <f>IF(A1351="","",SUMIF(Tickets[TripKey],A1351,Tickets[PK]))</f>
        <v/>
      </c>
      <c r="H1351">
        <f>IF(A1351="","",IFERROR(XLOOKUP(A1351,Tickets[TripKey],Tickets[VehClean]),""))</f>
        <v/>
      </c>
      <c r="I1351">
        <f>IF(A1351="","",IFERROR(XLOOKUP(A1351,Tickets[TripKey],Tickets[RouteLen]),0))</f>
        <v/>
      </c>
      <c r="J1351">
        <f>IF(A1351="","",IFERROR(XLOOKUP(A1351,Tickets[TripKey],Tickets[Capacity]),0))</f>
        <v/>
      </c>
      <c r="K1351">
        <f>IF(A1351="","",I1351*J1351)</f>
        <v/>
      </c>
      <c r="L1351">
        <f>IF(A1351="","",IFERROR(MINIFS(Tickets[Trip Start Time],Tickets[TripKey],A1351),""))</f>
        <v/>
      </c>
    </row>
    <row r="1352">
      <c r="B1352" s="8">
        <f>IF(A1352="","",IFERROR(DATEVALUE(TEXTBEFORE(A1352,"|")),--LEFT(A1352,10)))</f>
        <v/>
      </c>
      <c r="C1352">
        <f>IF(A1352="","",TEXTBEFORE(TEXTAFTER(A1352,"|"),"|"))</f>
        <v/>
      </c>
      <c r="D1352">
        <f>IF(A1352="","",TEXTAFTER(A1352,"|",2))</f>
        <v/>
      </c>
      <c r="E1352">
        <f>IF(A1352="","",SUMIF(Tickets[TripKey],A1352,Tickets[TP]))</f>
        <v/>
      </c>
      <c r="F1352">
        <f>IF(A1352="","",SUMIF(Tickets[TripKey],A1352,Tickets[Revenue]))</f>
        <v/>
      </c>
      <c r="G1352">
        <f>IF(A1352="","",SUMIF(Tickets[TripKey],A1352,Tickets[PK]))</f>
        <v/>
      </c>
      <c r="H1352">
        <f>IF(A1352="","",IFERROR(XLOOKUP(A1352,Tickets[TripKey],Tickets[VehClean]),""))</f>
        <v/>
      </c>
      <c r="I1352">
        <f>IF(A1352="","",IFERROR(XLOOKUP(A1352,Tickets[TripKey],Tickets[RouteLen]),0))</f>
        <v/>
      </c>
      <c r="J1352">
        <f>IF(A1352="","",IFERROR(XLOOKUP(A1352,Tickets[TripKey],Tickets[Capacity]),0))</f>
        <v/>
      </c>
      <c r="K1352">
        <f>IF(A1352="","",I1352*J1352)</f>
        <v/>
      </c>
      <c r="L1352">
        <f>IF(A1352="","",IFERROR(MINIFS(Tickets[Trip Start Time],Tickets[TripKey],A1352),""))</f>
        <v/>
      </c>
    </row>
    <row r="1353">
      <c r="B1353" s="8">
        <f>IF(A1353="","",IFERROR(DATEVALUE(TEXTBEFORE(A1353,"|")),--LEFT(A1353,10)))</f>
        <v/>
      </c>
      <c r="C1353">
        <f>IF(A1353="","",TEXTBEFORE(TEXTAFTER(A1353,"|"),"|"))</f>
        <v/>
      </c>
      <c r="D1353">
        <f>IF(A1353="","",TEXTAFTER(A1353,"|",2))</f>
        <v/>
      </c>
      <c r="E1353">
        <f>IF(A1353="","",SUMIF(Tickets[TripKey],A1353,Tickets[TP]))</f>
        <v/>
      </c>
      <c r="F1353">
        <f>IF(A1353="","",SUMIF(Tickets[TripKey],A1353,Tickets[Revenue]))</f>
        <v/>
      </c>
      <c r="G1353">
        <f>IF(A1353="","",SUMIF(Tickets[TripKey],A1353,Tickets[PK]))</f>
        <v/>
      </c>
      <c r="H1353">
        <f>IF(A1353="","",IFERROR(XLOOKUP(A1353,Tickets[TripKey],Tickets[VehClean]),""))</f>
        <v/>
      </c>
      <c r="I1353">
        <f>IF(A1353="","",IFERROR(XLOOKUP(A1353,Tickets[TripKey],Tickets[RouteLen]),0))</f>
        <v/>
      </c>
      <c r="J1353">
        <f>IF(A1353="","",IFERROR(XLOOKUP(A1353,Tickets[TripKey],Tickets[Capacity]),0))</f>
        <v/>
      </c>
      <c r="K1353">
        <f>IF(A1353="","",I1353*J1353)</f>
        <v/>
      </c>
      <c r="L1353">
        <f>IF(A1353="","",IFERROR(MINIFS(Tickets[Trip Start Time],Tickets[TripKey],A1353),""))</f>
        <v/>
      </c>
    </row>
    <row r="1354">
      <c r="B1354" s="8">
        <f>IF(A1354="","",IFERROR(DATEVALUE(TEXTBEFORE(A1354,"|")),--LEFT(A1354,10)))</f>
        <v/>
      </c>
      <c r="C1354">
        <f>IF(A1354="","",TEXTBEFORE(TEXTAFTER(A1354,"|"),"|"))</f>
        <v/>
      </c>
      <c r="D1354">
        <f>IF(A1354="","",TEXTAFTER(A1354,"|",2))</f>
        <v/>
      </c>
      <c r="E1354">
        <f>IF(A1354="","",SUMIF(Tickets[TripKey],A1354,Tickets[TP]))</f>
        <v/>
      </c>
      <c r="F1354">
        <f>IF(A1354="","",SUMIF(Tickets[TripKey],A1354,Tickets[Revenue]))</f>
        <v/>
      </c>
      <c r="G1354">
        <f>IF(A1354="","",SUMIF(Tickets[TripKey],A1354,Tickets[PK]))</f>
        <v/>
      </c>
      <c r="H1354">
        <f>IF(A1354="","",IFERROR(XLOOKUP(A1354,Tickets[TripKey],Tickets[VehClean]),""))</f>
        <v/>
      </c>
      <c r="I1354">
        <f>IF(A1354="","",IFERROR(XLOOKUP(A1354,Tickets[TripKey],Tickets[RouteLen]),0))</f>
        <v/>
      </c>
      <c r="J1354">
        <f>IF(A1354="","",IFERROR(XLOOKUP(A1354,Tickets[TripKey],Tickets[Capacity]),0))</f>
        <v/>
      </c>
      <c r="K1354">
        <f>IF(A1354="","",I1354*J1354)</f>
        <v/>
      </c>
      <c r="L1354">
        <f>IF(A1354="","",IFERROR(MINIFS(Tickets[Trip Start Time],Tickets[TripKey],A1354),""))</f>
        <v/>
      </c>
    </row>
    <row r="1355">
      <c r="B1355" s="8">
        <f>IF(A1355="","",IFERROR(DATEVALUE(TEXTBEFORE(A1355,"|")),--LEFT(A1355,10)))</f>
        <v/>
      </c>
      <c r="C1355">
        <f>IF(A1355="","",TEXTBEFORE(TEXTAFTER(A1355,"|"),"|"))</f>
        <v/>
      </c>
      <c r="D1355">
        <f>IF(A1355="","",TEXTAFTER(A1355,"|",2))</f>
        <v/>
      </c>
      <c r="E1355">
        <f>IF(A1355="","",SUMIF(Tickets[TripKey],A1355,Tickets[TP]))</f>
        <v/>
      </c>
      <c r="F1355">
        <f>IF(A1355="","",SUMIF(Tickets[TripKey],A1355,Tickets[Revenue]))</f>
        <v/>
      </c>
      <c r="G1355">
        <f>IF(A1355="","",SUMIF(Tickets[TripKey],A1355,Tickets[PK]))</f>
        <v/>
      </c>
      <c r="H1355">
        <f>IF(A1355="","",IFERROR(XLOOKUP(A1355,Tickets[TripKey],Tickets[VehClean]),""))</f>
        <v/>
      </c>
      <c r="I1355">
        <f>IF(A1355="","",IFERROR(XLOOKUP(A1355,Tickets[TripKey],Tickets[RouteLen]),0))</f>
        <v/>
      </c>
      <c r="J1355">
        <f>IF(A1355="","",IFERROR(XLOOKUP(A1355,Tickets[TripKey],Tickets[Capacity]),0))</f>
        <v/>
      </c>
      <c r="K1355">
        <f>IF(A1355="","",I1355*J1355)</f>
        <v/>
      </c>
      <c r="L1355">
        <f>IF(A1355="","",IFERROR(MINIFS(Tickets[Trip Start Time],Tickets[TripKey],A1355),""))</f>
        <v/>
      </c>
    </row>
    <row r="1356">
      <c r="B1356" s="8">
        <f>IF(A1356="","",IFERROR(DATEVALUE(TEXTBEFORE(A1356,"|")),--LEFT(A1356,10)))</f>
        <v/>
      </c>
      <c r="C1356">
        <f>IF(A1356="","",TEXTBEFORE(TEXTAFTER(A1356,"|"),"|"))</f>
        <v/>
      </c>
      <c r="D1356">
        <f>IF(A1356="","",TEXTAFTER(A1356,"|",2))</f>
        <v/>
      </c>
      <c r="E1356">
        <f>IF(A1356="","",SUMIF(Tickets[TripKey],A1356,Tickets[TP]))</f>
        <v/>
      </c>
      <c r="F1356">
        <f>IF(A1356="","",SUMIF(Tickets[TripKey],A1356,Tickets[Revenue]))</f>
        <v/>
      </c>
      <c r="G1356">
        <f>IF(A1356="","",SUMIF(Tickets[TripKey],A1356,Tickets[PK]))</f>
        <v/>
      </c>
      <c r="H1356">
        <f>IF(A1356="","",IFERROR(XLOOKUP(A1356,Tickets[TripKey],Tickets[VehClean]),""))</f>
        <v/>
      </c>
      <c r="I1356">
        <f>IF(A1356="","",IFERROR(XLOOKUP(A1356,Tickets[TripKey],Tickets[RouteLen]),0))</f>
        <v/>
      </c>
      <c r="J1356">
        <f>IF(A1356="","",IFERROR(XLOOKUP(A1356,Tickets[TripKey],Tickets[Capacity]),0))</f>
        <v/>
      </c>
      <c r="K1356">
        <f>IF(A1356="","",I1356*J1356)</f>
        <v/>
      </c>
      <c r="L1356">
        <f>IF(A1356="","",IFERROR(MINIFS(Tickets[Trip Start Time],Tickets[TripKey],A1356),""))</f>
        <v/>
      </c>
    </row>
    <row r="1357">
      <c r="B1357" s="8">
        <f>IF(A1357="","",IFERROR(DATEVALUE(TEXTBEFORE(A1357,"|")),--LEFT(A1357,10)))</f>
        <v/>
      </c>
      <c r="C1357">
        <f>IF(A1357="","",TEXTBEFORE(TEXTAFTER(A1357,"|"),"|"))</f>
        <v/>
      </c>
      <c r="D1357">
        <f>IF(A1357="","",TEXTAFTER(A1357,"|",2))</f>
        <v/>
      </c>
      <c r="E1357">
        <f>IF(A1357="","",SUMIF(Tickets[TripKey],A1357,Tickets[TP]))</f>
        <v/>
      </c>
      <c r="F1357">
        <f>IF(A1357="","",SUMIF(Tickets[TripKey],A1357,Tickets[Revenue]))</f>
        <v/>
      </c>
      <c r="G1357">
        <f>IF(A1357="","",SUMIF(Tickets[TripKey],A1357,Tickets[PK]))</f>
        <v/>
      </c>
      <c r="H1357">
        <f>IF(A1357="","",IFERROR(XLOOKUP(A1357,Tickets[TripKey],Tickets[VehClean]),""))</f>
        <v/>
      </c>
      <c r="I1357">
        <f>IF(A1357="","",IFERROR(XLOOKUP(A1357,Tickets[TripKey],Tickets[RouteLen]),0))</f>
        <v/>
      </c>
      <c r="J1357">
        <f>IF(A1357="","",IFERROR(XLOOKUP(A1357,Tickets[TripKey],Tickets[Capacity]),0))</f>
        <v/>
      </c>
      <c r="K1357">
        <f>IF(A1357="","",I1357*J1357)</f>
        <v/>
      </c>
      <c r="L1357">
        <f>IF(A1357="","",IFERROR(MINIFS(Tickets[Trip Start Time],Tickets[TripKey],A1357),""))</f>
        <v/>
      </c>
    </row>
    <row r="1358">
      <c r="B1358" s="8">
        <f>IF(A1358="","",IFERROR(DATEVALUE(TEXTBEFORE(A1358,"|")),--LEFT(A1358,10)))</f>
        <v/>
      </c>
      <c r="C1358">
        <f>IF(A1358="","",TEXTBEFORE(TEXTAFTER(A1358,"|"),"|"))</f>
        <v/>
      </c>
      <c r="D1358">
        <f>IF(A1358="","",TEXTAFTER(A1358,"|",2))</f>
        <v/>
      </c>
      <c r="E1358">
        <f>IF(A1358="","",SUMIF(Tickets[TripKey],A1358,Tickets[TP]))</f>
        <v/>
      </c>
      <c r="F1358">
        <f>IF(A1358="","",SUMIF(Tickets[TripKey],A1358,Tickets[Revenue]))</f>
        <v/>
      </c>
      <c r="G1358">
        <f>IF(A1358="","",SUMIF(Tickets[TripKey],A1358,Tickets[PK]))</f>
        <v/>
      </c>
      <c r="H1358">
        <f>IF(A1358="","",IFERROR(XLOOKUP(A1358,Tickets[TripKey],Tickets[VehClean]),""))</f>
        <v/>
      </c>
      <c r="I1358">
        <f>IF(A1358="","",IFERROR(XLOOKUP(A1358,Tickets[TripKey],Tickets[RouteLen]),0))</f>
        <v/>
      </c>
      <c r="J1358">
        <f>IF(A1358="","",IFERROR(XLOOKUP(A1358,Tickets[TripKey],Tickets[Capacity]),0))</f>
        <v/>
      </c>
      <c r="K1358">
        <f>IF(A1358="","",I1358*J1358)</f>
        <v/>
      </c>
      <c r="L1358">
        <f>IF(A1358="","",IFERROR(MINIFS(Tickets[Trip Start Time],Tickets[TripKey],A1358),""))</f>
        <v/>
      </c>
    </row>
    <row r="1359">
      <c r="B1359" s="8">
        <f>IF(A1359="","",IFERROR(DATEVALUE(TEXTBEFORE(A1359,"|")),--LEFT(A1359,10)))</f>
        <v/>
      </c>
      <c r="C1359">
        <f>IF(A1359="","",TEXTBEFORE(TEXTAFTER(A1359,"|"),"|"))</f>
        <v/>
      </c>
      <c r="D1359">
        <f>IF(A1359="","",TEXTAFTER(A1359,"|",2))</f>
        <v/>
      </c>
      <c r="E1359">
        <f>IF(A1359="","",SUMIF(Tickets[TripKey],A1359,Tickets[TP]))</f>
        <v/>
      </c>
      <c r="F1359">
        <f>IF(A1359="","",SUMIF(Tickets[TripKey],A1359,Tickets[Revenue]))</f>
        <v/>
      </c>
      <c r="G1359">
        <f>IF(A1359="","",SUMIF(Tickets[TripKey],A1359,Tickets[PK]))</f>
        <v/>
      </c>
      <c r="H1359">
        <f>IF(A1359="","",IFERROR(XLOOKUP(A1359,Tickets[TripKey],Tickets[VehClean]),""))</f>
        <v/>
      </c>
      <c r="I1359">
        <f>IF(A1359="","",IFERROR(XLOOKUP(A1359,Tickets[TripKey],Tickets[RouteLen]),0))</f>
        <v/>
      </c>
      <c r="J1359">
        <f>IF(A1359="","",IFERROR(XLOOKUP(A1359,Tickets[TripKey],Tickets[Capacity]),0))</f>
        <v/>
      </c>
      <c r="K1359">
        <f>IF(A1359="","",I1359*J1359)</f>
        <v/>
      </c>
      <c r="L1359">
        <f>IF(A1359="","",IFERROR(MINIFS(Tickets[Trip Start Time],Tickets[TripKey],A1359),""))</f>
        <v/>
      </c>
    </row>
    <row r="1360">
      <c r="B1360" s="8">
        <f>IF(A1360="","",IFERROR(DATEVALUE(TEXTBEFORE(A1360,"|")),--LEFT(A1360,10)))</f>
        <v/>
      </c>
      <c r="C1360">
        <f>IF(A1360="","",TEXTBEFORE(TEXTAFTER(A1360,"|"),"|"))</f>
        <v/>
      </c>
      <c r="D1360">
        <f>IF(A1360="","",TEXTAFTER(A1360,"|",2))</f>
        <v/>
      </c>
      <c r="E1360">
        <f>IF(A1360="","",SUMIF(Tickets[TripKey],A1360,Tickets[TP]))</f>
        <v/>
      </c>
      <c r="F1360">
        <f>IF(A1360="","",SUMIF(Tickets[TripKey],A1360,Tickets[Revenue]))</f>
        <v/>
      </c>
      <c r="G1360">
        <f>IF(A1360="","",SUMIF(Tickets[TripKey],A1360,Tickets[PK]))</f>
        <v/>
      </c>
      <c r="H1360">
        <f>IF(A1360="","",IFERROR(XLOOKUP(A1360,Tickets[TripKey],Tickets[VehClean]),""))</f>
        <v/>
      </c>
      <c r="I1360">
        <f>IF(A1360="","",IFERROR(XLOOKUP(A1360,Tickets[TripKey],Tickets[RouteLen]),0))</f>
        <v/>
      </c>
      <c r="J1360">
        <f>IF(A1360="","",IFERROR(XLOOKUP(A1360,Tickets[TripKey],Tickets[Capacity]),0))</f>
        <v/>
      </c>
      <c r="K1360">
        <f>IF(A1360="","",I1360*J1360)</f>
        <v/>
      </c>
      <c r="L1360">
        <f>IF(A1360="","",IFERROR(MINIFS(Tickets[Trip Start Time],Tickets[TripKey],A1360),""))</f>
        <v/>
      </c>
    </row>
    <row r="1361">
      <c r="B1361" s="8">
        <f>IF(A1361="","",IFERROR(DATEVALUE(TEXTBEFORE(A1361,"|")),--LEFT(A1361,10)))</f>
        <v/>
      </c>
      <c r="C1361">
        <f>IF(A1361="","",TEXTBEFORE(TEXTAFTER(A1361,"|"),"|"))</f>
        <v/>
      </c>
      <c r="D1361">
        <f>IF(A1361="","",TEXTAFTER(A1361,"|",2))</f>
        <v/>
      </c>
      <c r="E1361">
        <f>IF(A1361="","",SUMIF(Tickets[TripKey],A1361,Tickets[TP]))</f>
        <v/>
      </c>
      <c r="F1361">
        <f>IF(A1361="","",SUMIF(Tickets[TripKey],A1361,Tickets[Revenue]))</f>
        <v/>
      </c>
      <c r="G1361">
        <f>IF(A1361="","",SUMIF(Tickets[TripKey],A1361,Tickets[PK]))</f>
        <v/>
      </c>
      <c r="H1361">
        <f>IF(A1361="","",IFERROR(XLOOKUP(A1361,Tickets[TripKey],Tickets[VehClean]),""))</f>
        <v/>
      </c>
      <c r="I1361">
        <f>IF(A1361="","",IFERROR(XLOOKUP(A1361,Tickets[TripKey],Tickets[RouteLen]),0))</f>
        <v/>
      </c>
      <c r="J1361">
        <f>IF(A1361="","",IFERROR(XLOOKUP(A1361,Tickets[TripKey],Tickets[Capacity]),0))</f>
        <v/>
      </c>
      <c r="K1361">
        <f>IF(A1361="","",I1361*J1361)</f>
        <v/>
      </c>
      <c r="L1361">
        <f>IF(A1361="","",IFERROR(MINIFS(Tickets[Trip Start Time],Tickets[TripKey],A1361),""))</f>
        <v/>
      </c>
    </row>
    <row r="1362">
      <c r="B1362" s="8">
        <f>IF(A1362="","",IFERROR(DATEVALUE(TEXTBEFORE(A1362,"|")),--LEFT(A1362,10)))</f>
        <v/>
      </c>
      <c r="C1362">
        <f>IF(A1362="","",TEXTBEFORE(TEXTAFTER(A1362,"|"),"|"))</f>
        <v/>
      </c>
      <c r="D1362">
        <f>IF(A1362="","",TEXTAFTER(A1362,"|",2))</f>
        <v/>
      </c>
      <c r="E1362">
        <f>IF(A1362="","",SUMIF(Tickets[TripKey],A1362,Tickets[TP]))</f>
        <v/>
      </c>
      <c r="F1362">
        <f>IF(A1362="","",SUMIF(Tickets[TripKey],A1362,Tickets[Revenue]))</f>
        <v/>
      </c>
      <c r="G1362">
        <f>IF(A1362="","",SUMIF(Tickets[TripKey],A1362,Tickets[PK]))</f>
        <v/>
      </c>
      <c r="H1362">
        <f>IF(A1362="","",IFERROR(XLOOKUP(A1362,Tickets[TripKey],Tickets[VehClean]),""))</f>
        <v/>
      </c>
      <c r="I1362">
        <f>IF(A1362="","",IFERROR(XLOOKUP(A1362,Tickets[TripKey],Tickets[RouteLen]),0))</f>
        <v/>
      </c>
      <c r="J1362">
        <f>IF(A1362="","",IFERROR(XLOOKUP(A1362,Tickets[TripKey],Tickets[Capacity]),0))</f>
        <v/>
      </c>
      <c r="K1362">
        <f>IF(A1362="","",I1362*J1362)</f>
        <v/>
      </c>
      <c r="L1362">
        <f>IF(A1362="","",IFERROR(MINIFS(Tickets[Trip Start Time],Tickets[TripKey],A1362),""))</f>
        <v/>
      </c>
    </row>
    <row r="1363">
      <c r="B1363" s="8">
        <f>IF(A1363="","",IFERROR(DATEVALUE(TEXTBEFORE(A1363,"|")),--LEFT(A1363,10)))</f>
        <v/>
      </c>
      <c r="C1363">
        <f>IF(A1363="","",TEXTBEFORE(TEXTAFTER(A1363,"|"),"|"))</f>
        <v/>
      </c>
      <c r="D1363">
        <f>IF(A1363="","",TEXTAFTER(A1363,"|",2))</f>
        <v/>
      </c>
      <c r="E1363">
        <f>IF(A1363="","",SUMIF(Tickets[TripKey],A1363,Tickets[TP]))</f>
        <v/>
      </c>
      <c r="F1363">
        <f>IF(A1363="","",SUMIF(Tickets[TripKey],A1363,Tickets[Revenue]))</f>
        <v/>
      </c>
      <c r="G1363">
        <f>IF(A1363="","",SUMIF(Tickets[TripKey],A1363,Tickets[PK]))</f>
        <v/>
      </c>
      <c r="H1363">
        <f>IF(A1363="","",IFERROR(XLOOKUP(A1363,Tickets[TripKey],Tickets[VehClean]),""))</f>
        <v/>
      </c>
      <c r="I1363">
        <f>IF(A1363="","",IFERROR(XLOOKUP(A1363,Tickets[TripKey],Tickets[RouteLen]),0))</f>
        <v/>
      </c>
      <c r="J1363">
        <f>IF(A1363="","",IFERROR(XLOOKUP(A1363,Tickets[TripKey],Tickets[Capacity]),0))</f>
        <v/>
      </c>
      <c r="K1363">
        <f>IF(A1363="","",I1363*J1363)</f>
        <v/>
      </c>
      <c r="L1363">
        <f>IF(A1363="","",IFERROR(MINIFS(Tickets[Trip Start Time],Tickets[TripKey],A1363),""))</f>
        <v/>
      </c>
    </row>
    <row r="1364">
      <c r="B1364" s="8">
        <f>IF(A1364="","",IFERROR(DATEVALUE(TEXTBEFORE(A1364,"|")),--LEFT(A1364,10)))</f>
        <v/>
      </c>
      <c r="C1364">
        <f>IF(A1364="","",TEXTBEFORE(TEXTAFTER(A1364,"|"),"|"))</f>
        <v/>
      </c>
      <c r="D1364">
        <f>IF(A1364="","",TEXTAFTER(A1364,"|",2))</f>
        <v/>
      </c>
      <c r="E1364">
        <f>IF(A1364="","",SUMIF(Tickets[TripKey],A1364,Tickets[TP]))</f>
        <v/>
      </c>
      <c r="F1364">
        <f>IF(A1364="","",SUMIF(Tickets[TripKey],A1364,Tickets[Revenue]))</f>
        <v/>
      </c>
      <c r="G1364">
        <f>IF(A1364="","",SUMIF(Tickets[TripKey],A1364,Tickets[PK]))</f>
        <v/>
      </c>
      <c r="H1364">
        <f>IF(A1364="","",IFERROR(XLOOKUP(A1364,Tickets[TripKey],Tickets[VehClean]),""))</f>
        <v/>
      </c>
      <c r="I1364">
        <f>IF(A1364="","",IFERROR(XLOOKUP(A1364,Tickets[TripKey],Tickets[RouteLen]),0))</f>
        <v/>
      </c>
      <c r="J1364">
        <f>IF(A1364="","",IFERROR(XLOOKUP(A1364,Tickets[TripKey],Tickets[Capacity]),0))</f>
        <v/>
      </c>
      <c r="K1364">
        <f>IF(A1364="","",I1364*J1364)</f>
        <v/>
      </c>
      <c r="L1364">
        <f>IF(A1364="","",IFERROR(MINIFS(Tickets[Trip Start Time],Tickets[TripKey],A1364),""))</f>
        <v/>
      </c>
    </row>
    <row r="1365">
      <c r="B1365" s="8">
        <f>IF(A1365="","",IFERROR(DATEVALUE(TEXTBEFORE(A1365,"|")),--LEFT(A1365,10)))</f>
        <v/>
      </c>
      <c r="C1365">
        <f>IF(A1365="","",TEXTBEFORE(TEXTAFTER(A1365,"|"),"|"))</f>
        <v/>
      </c>
      <c r="D1365">
        <f>IF(A1365="","",TEXTAFTER(A1365,"|",2))</f>
        <v/>
      </c>
      <c r="E1365">
        <f>IF(A1365="","",SUMIF(Tickets[TripKey],A1365,Tickets[TP]))</f>
        <v/>
      </c>
      <c r="F1365">
        <f>IF(A1365="","",SUMIF(Tickets[TripKey],A1365,Tickets[Revenue]))</f>
        <v/>
      </c>
      <c r="G1365">
        <f>IF(A1365="","",SUMIF(Tickets[TripKey],A1365,Tickets[PK]))</f>
        <v/>
      </c>
      <c r="H1365">
        <f>IF(A1365="","",IFERROR(XLOOKUP(A1365,Tickets[TripKey],Tickets[VehClean]),""))</f>
        <v/>
      </c>
      <c r="I1365">
        <f>IF(A1365="","",IFERROR(XLOOKUP(A1365,Tickets[TripKey],Tickets[RouteLen]),0))</f>
        <v/>
      </c>
      <c r="J1365">
        <f>IF(A1365="","",IFERROR(XLOOKUP(A1365,Tickets[TripKey],Tickets[Capacity]),0))</f>
        <v/>
      </c>
      <c r="K1365">
        <f>IF(A1365="","",I1365*J1365)</f>
        <v/>
      </c>
      <c r="L1365">
        <f>IF(A1365="","",IFERROR(MINIFS(Tickets[Trip Start Time],Tickets[TripKey],A1365),""))</f>
        <v/>
      </c>
    </row>
    <row r="1366">
      <c r="B1366" s="8">
        <f>IF(A1366="","",IFERROR(DATEVALUE(TEXTBEFORE(A1366,"|")),--LEFT(A1366,10)))</f>
        <v/>
      </c>
      <c r="C1366">
        <f>IF(A1366="","",TEXTBEFORE(TEXTAFTER(A1366,"|"),"|"))</f>
        <v/>
      </c>
      <c r="D1366">
        <f>IF(A1366="","",TEXTAFTER(A1366,"|",2))</f>
        <v/>
      </c>
      <c r="E1366">
        <f>IF(A1366="","",SUMIF(Tickets[TripKey],A1366,Tickets[TP]))</f>
        <v/>
      </c>
      <c r="F1366">
        <f>IF(A1366="","",SUMIF(Tickets[TripKey],A1366,Tickets[Revenue]))</f>
        <v/>
      </c>
      <c r="G1366">
        <f>IF(A1366="","",SUMIF(Tickets[TripKey],A1366,Tickets[PK]))</f>
        <v/>
      </c>
      <c r="H1366">
        <f>IF(A1366="","",IFERROR(XLOOKUP(A1366,Tickets[TripKey],Tickets[VehClean]),""))</f>
        <v/>
      </c>
      <c r="I1366">
        <f>IF(A1366="","",IFERROR(XLOOKUP(A1366,Tickets[TripKey],Tickets[RouteLen]),0))</f>
        <v/>
      </c>
      <c r="J1366">
        <f>IF(A1366="","",IFERROR(XLOOKUP(A1366,Tickets[TripKey],Tickets[Capacity]),0))</f>
        <v/>
      </c>
      <c r="K1366">
        <f>IF(A1366="","",I1366*J1366)</f>
        <v/>
      </c>
      <c r="L1366">
        <f>IF(A1366="","",IFERROR(MINIFS(Tickets[Trip Start Time],Tickets[TripKey],A1366),""))</f>
        <v/>
      </c>
    </row>
    <row r="1367">
      <c r="B1367" s="8">
        <f>IF(A1367="","",IFERROR(DATEVALUE(TEXTBEFORE(A1367,"|")),--LEFT(A1367,10)))</f>
        <v/>
      </c>
      <c r="C1367">
        <f>IF(A1367="","",TEXTBEFORE(TEXTAFTER(A1367,"|"),"|"))</f>
        <v/>
      </c>
      <c r="D1367">
        <f>IF(A1367="","",TEXTAFTER(A1367,"|",2))</f>
        <v/>
      </c>
      <c r="E1367">
        <f>IF(A1367="","",SUMIF(Tickets[TripKey],A1367,Tickets[TP]))</f>
        <v/>
      </c>
      <c r="F1367">
        <f>IF(A1367="","",SUMIF(Tickets[TripKey],A1367,Tickets[Revenue]))</f>
        <v/>
      </c>
      <c r="G1367">
        <f>IF(A1367="","",SUMIF(Tickets[TripKey],A1367,Tickets[PK]))</f>
        <v/>
      </c>
      <c r="H1367">
        <f>IF(A1367="","",IFERROR(XLOOKUP(A1367,Tickets[TripKey],Tickets[VehClean]),""))</f>
        <v/>
      </c>
      <c r="I1367">
        <f>IF(A1367="","",IFERROR(XLOOKUP(A1367,Tickets[TripKey],Tickets[RouteLen]),0))</f>
        <v/>
      </c>
      <c r="J1367">
        <f>IF(A1367="","",IFERROR(XLOOKUP(A1367,Tickets[TripKey],Tickets[Capacity]),0))</f>
        <v/>
      </c>
      <c r="K1367">
        <f>IF(A1367="","",I1367*J1367)</f>
        <v/>
      </c>
      <c r="L1367">
        <f>IF(A1367="","",IFERROR(MINIFS(Tickets[Trip Start Time],Tickets[TripKey],A1367),""))</f>
        <v/>
      </c>
    </row>
    <row r="1368">
      <c r="B1368" s="8">
        <f>IF(A1368="","",IFERROR(DATEVALUE(TEXTBEFORE(A1368,"|")),--LEFT(A1368,10)))</f>
        <v/>
      </c>
      <c r="C1368">
        <f>IF(A1368="","",TEXTBEFORE(TEXTAFTER(A1368,"|"),"|"))</f>
        <v/>
      </c>
      <c r="D1368">
        <f>IF(A1368="","",TEXTAFTER(A1368,"|",2))</f>
        <v/>
      </c>
      <c r="E1368">
        <f>IF(A1368="","",SUMIF(Tickets[TripKey],A1368,Tickets[TP]))</f>
        <v/>
      </c>
      <c r="F1368">
        <f>IF(A1368="","",SUMIF(Tickets[TripKey],A1368,Tickets[Revenue]))</f>
        <v/>
      </c>
      <c r="G1368">
        <f>IF(A1368="","",SUMIF(Tickets[TripKey],A1368,Tickets[PK]))</f>
        <v/>
      </c>
      <c r="H1368">
        <f>IF(A1368="","",IFERROR(XLOOKUP(A1368,Tickets[TripKey],Tickets[VehClean]),""))</f>
        <v/>
      </c>
      <c r="I1368">
        <f>IF(A1368="","",IFERROR(XLOOKUP(A1368,Tickets[TripKey],Tickets[RouteLen]),0))</f>
        <v/>
      </c>
      <c r="J1368">
        <f>IF(A1368="","",IFERROR(XLOOKUP(A1368,Tickets[TripKey],Tickets[Capacity]),0))</f>
        <v/>
      </c>
      <c r="K1368">
        <f>IF(A1368="","",I1368*J1368)</f>
        <v/>
      </c>
      <c r="L1368">
        <f>IF(A1368="","",IFERROR(MINIFS(Tickets[Trip Start Time],Tickets[TripKey],A1368),""))</f>
        <v/>
      </c>
    </row>
    <row r="1369">
      <c r="B1369" s="8">
        <f>IF(A1369="","",IFERROR(DATEVALUE(TEXTBEFORE(A1369,"|")),--LEFT(A1369,10)))</f>
        <v/>
      </c>
      <c r="C1369">
        <f>IF(A1369="","",TEXTBEFORE(TEXTAFTER(A1369,"|"),"|"))</f>
        <v/>
      </c>
      <c r="D1369">
        <f>IF(A1369="","",TEXTAFTER(A1369,"|",2))</f>
        <v/>
      </c>
      <c r="E1369">
        <f>IF(A1369="","",SUMIF(Tickets[TripKey],A1369,Tickets[TP]))</f>
        <v/>
      </c>
      <c r="F1369">
        <f>IF(A1369="","",SUMIF(Tickets[TripKey],A1369,Tickets[Revenue]))</f>
        <v/>
      </c>
      <c r="G1369">
        <f>IF(A1369="","",SUMIF(Tickets[TripKey],A1369,Tickets[PK]))</f>
        <v/>
      </c>
      <c r="H1369">
        <f>IF(A1369="","",IFERROR(XLOOKUP(A1369,Tickets[TripKey],Tickets[VehClean]),""))</f>
        <v/>
      </c>
      <c r="I1369">
        <f>IF(A1369="","",IFERROR(XLOOKUP(A1369,Tickets[TripKey],Tickets[RouteLen]),0))</f>
        <v/>
      </c>
      <c r="J1369">
        <f>IF(A1369="","",IFERROR(XLOOKUP(A1369,Tickets[TripKey],Tickets[Capacity]),0))</f>
        <v/>
      </c>
      <c r="K1369">
        <f>IF(A1369="","",I1369*J1369)</f>
        <v/>
      </c>
      <c r="L1369">
        <f>IF(A1369="","",IFERROR(MINIFS(Tickets[Trip Start Time],Tickets[TripKey],A1369),""))</f>
        <v/>
      </c>
    </row>
    <row r="1370">
      <c r="B1370" s="8">
        <f>IF(A1370="","",IFERROR(DATEVALUE(TEXTBEFORE(A1370,"|")),--LEFT(A1370,10)))</f>
        <v/>
      </c>
      <c r="C1370">
        <f>IF(A1370="","",TEXTBEFORE(TEXTAFTER(A1370,"|"),"|"))</f>
        <v/>
      </c>
      <c r="D1370">
        <f>IF(A1370="","",TEXTAFTER(A1370,"|",2))</f>
        <v/>
      </c>
      <c r="E1370">
        <f>IF(A1370="","",SUMIF(Tickets[TripKey],A1370,Tickets[TP]))</f>
        <v/>
      </c>
      <c r="F1370">
        <f>IF(A1370="","",SUMIF(Tickets[TripKey],A1370,Tickets[Revenue]))</f>
        <v/>
      </c>
      <c r="G1370">
        <f>IF(A1370="","",SUMIF(Tickets[TripKey],A1370,Tickets[PK]))</f>
        <v/>
      </c>
      <c r="H1370">
        <f>IF(A1370="","",IFERROR(XLOOKUP(A1370,Tickets[TripKey],Tickets[VehClean]),""))</f>
        <v/>
      </c>
      <c r="I1370">
        <f>IF(A1370="","",IFERROR(XLOOKUP(A1370,Tickets[TripKey],Tickets[RouteLen]),0))</f>
        <v/>
      </c>
      <c r="J1370">
        <f>IF(A1370="","",IFERROR(XLOOKUP(A1370,Tickets[TripKey],Tickets[Capacity]),0))</f>
        <v/>
      </c>
      <c r="K1370">
        <f>IF(A1370="","",I1370*J1370)</f>
        <v/>
      </c>
      <c r="L1370">
        <f>IF(A1370="","",IFERROR(MINIFS(Tickets[Trip Start Time],Tickets[TripKey],A1370),""))</f>
        <v/>
      </c>
    </row>
    <row r="1371">
      <c r="B1371" s="8">
        <f>IF(A1371="","",IFERROR(DATEVALUE(TEXTBEFORE(A1371,"|")),--LEFT(A1371,10)))</f>
        <v/>
      </c>
      <c r="C1371">
        <f>IF(A1371="","",TEXTBEFORE(TEXTAFTER(A1371,"|"),"|"))</f>
        <v/>
      </c>
      <c r="D1371">
        <f>IF(A1371="","",TEXTAFTER(A1371,"|",2))</f>
        <v/>
      </c>
      <c r="E1371">
        <f>IF(A1371="","",SUMIF(Tickets[TripKey],A1371,Tickets[TP]))</f>
        <v/>
      </c>
      <c r="F1371">
        <f>IF(A1371="","",SUMIF(Tickets[TripKey],A1371,Tickets[Revenue]))</f>
        <v/>
      </c>
      <c r="G1371">
        <f>IF(A1371="","",SUMIF(Tickets[TripKey],A1371,Tickets[PK]))</f>
        <v/>
      </c>
      <c r="H1371">
        <f>IF(A1371="","",IFERROR(XLOOKUP(A1371,Tickets[TripKey],Tickets[VehClean]),""))</f>
        <v/>
      </c>
      <c r="I1371">
        <f>IF(A1371="","",IFERROR(XLOOKUP(A1371,Tickets[TripKey],Tickets[RouteLen]),0))</f>
        <v/>
      </c>
      <c r="J1371">
        <f>IF(A1371="","",IFERROR(XLOOKUP(A1371,Tickets[TripKey],Tickets[Capacity]),0))</f>
        <v/>
      </c>
      <c r="K1371">
        <f>IF(A1371="","",I1371*J1371)</f>
        <v/>
      </c>
      <c r="L1371">
        <f>IF(A1371="","",IFERROR(MINIFS(Tickets[Trip Start Time],Tickets[TripKey],A1371),""))</f>
        <v/>
      </c>
    </row>
    <row r="1372">
      <c r="B1372" s="8">
        <f>IF(A1372="","",IFERROR(DATEVALUE(TEXTBEFORE(A1372,"|")),--LEFT(A1372,10)))</f>
        <v/>
      </c>
      <c r="C1372">
        <f>IF(A1372="","",TEXTBEFORE(TEXTAFTER(A1372,"|"),"|"))</f>
        <v/>
      </c>
      <c r="D1372">
        <f>IF(A1372="","",TEXTAFTER(A1372,"|",2))</f>
        <v/>
      </c>
      <c r="E1372">
        <f>IF(A1372="","",SUMIF(Tickets[TripKey],A1372,Tickets[TP]))</f>
        <v/>
      </c>
      <c r="F1372">
        <f>IF(A1372="","",SUMIF(Tickets[TripKey],A1372,Tickets[Revenue]))</f>
        <v/>
      </c>
      <c r="G1372">
        <f>IF(A1372="","",SUMIF(Tickets[TripKey],A1372,Tickets[PK]))</f>
        <v/>
      </c>
      <c r="H1372">
        <f>IF(A1372="","",IFERROR(XLOOKUP(A1372,Tickets[TripKey],Tickets[VehClean]),""))</f>
        <v/>
      </c>
      <c r="I1372">
        <f>IF(A1372="","",IFERROR(XLOOKUP(A1372,Tickets[TripKey],Tickets[RouteLen]),0))</f>
        <v/>
      </c>
      <c r="J1372">
        <f>IF(A1372="","",IFERROR(XLOOKUP(A1372,Tickets[TripKey],Tickets[Capacity]),0))</f>
        <v/>
      </c>
      <c r="K1372">
        <f>IF(A1372="","",I1372*J1372)</f>
        <v/>
      </c>
      <c r="L1372">
        <f>IF(A1372="","",IFERROR(MINIFS(Tickets[Trip Start Time],Tickets[TripKey],A1372),""))</f>
        <v/>
      </c>
    </row>
    <row r="1373">
      <c r="B1373" s="8">
        <f>IF(A1373="","",IFERROR(DATEVALUE(TEXTBEFORE(A1373,"|")),--LEFT(A1373,10)))</f>
        <v/>
      </c>
      <c r="C1373">
        <f>IF(A1373="","",TEXTBEFORE(TEXTAFTER(A1373,"|"),"|"))</f>
        <v/>
      </c>
      <c r="D1373">
        <f>IF(A1373="","",TEXTAFTER(A1373,"|",2))</f>
        <v/>
      </c>
      <c r="E1373">
        <f>IF(A1373="","",SUMIF(Tickets[TripKey],A1373,Tickets[TP]))</f>
        <v/>
      </c>
      <c r="F1373">
        <f>IF(A1373="","",SUMIF(Tickets[TripKey],A1373,Tickets[Revenue]))</f>
        <v/>
      </c>
      <c r="G1373">
        <f>IF(A1373="","",SUMIF(Tickets[TripKey],A1373,Tickets[PK]))</f>
        <v/>
      </c>
      <c r="H1373">
        <f>IF(A1373="","",IFERROR(XLOOKUP(A1373,Tickets[TripKey],Tickets[VehClean]),""))</f>
        <v/>
      </c>
      <c r="I1373">
        <f>IF(A1373="","",IFERROR(XLOOKUP(A1373,Tickets[TripKey],Tickets[RouteLen]),0))</f>
        <v/>
      </c>
      <c r="J1373">
        <f>IF(A1373="","",IFERROR(XLOOKUP(A1373,Tickets[TripKey],Tickets[Capacity]),0))</f>
        <v/>
      </c>
      <c r="K1373">
        <f>IF(A1373="","",I1373*J1373)</f>
        <v/>
      </c>
      <c r="L1373">
        <f>IF(A1373="","",IFERROR(MINIFS(Tickets[Trip Start Time],Tickets[TripKey],A1373),""))</f>
        <v/>
      </c>
    </row>
    <row r="1374">
      <c r="B1374" s="8">
        <f>IF(A1374="","",IFERROR(DATEVALUE(TEXTBEFORE(A1374,"|")),--LEFT(A1374,10)))</f>
        <v/>
      </c>
      <c r="C1374">
        <f>IF(A1374="","",TEXTBEFORE(TEXTAFTER(A1374,"|"),"|"))</f>
        <v/>
      </c>
      <c r="D1374">
        <f>IF(A1374="","",TEXTAFTER(A1374,"|",2))</f>
        <v/>
      </c>
      <c r="E1374">
        <f>IF(A1374="","",SUMIF(Tickets[TripKey],A1374,Tickets[TP]))</f>
        <v/>
      </c>
      <c r="F1374">
        <f>IF(A1374="","",SUMIF(Tickets[TripKey],A1374,Tickets[Revenue]))</f>
        <v/>
      </c>
      <c r="G1374">
        <f>IF(A1374="","",SUMIF(Tickets[TripKey],A1374,Tickets[PK]))</f>
        <v/>
      </c>
      <c r="H1374">
        <f>IF(A1374="","",IFERROR(XLOOKUP(A1374,Tickets[TripKey],Tickets[VehClean]),""))</f>
        <v/>
      </c>
      <c r="I1374">
        <f>IF(A1374="","",IFERROR(XLOOKUP(A1374,Tickets[TripKey],Tickets[RouteLen]),0))</f>
        <v/>
      </c>
      <c r="J1374">
        <f>IF(A1374="","",IFERROR(XLOOKUP(A1374,Tickets[TripKey],Tickets[Capacity]),0))</f>
        <v/>
      </c>
      <c r="K1374">
        <f>IF(A1374="","",I1374*J1374)</f>
        <v/>
      </c>
      <c r="L1374">
        <f>IF(A1374="","",IFERROR(MINIFS(Tickets[Trip Start Time],Tickets[TripKey],A1374),""))</f>
        <v/>
      </c>
    </row>
    <row r="1375">
      <c r="B1375" s="8">
        <f>IF(A1375="","",IFERROR(DATEVALUE(TEXTBEFORE(A1375,"|")),--LEFT(A1375,10)))</f>
        <v/>
      </c>
      <c r="C1375">
        <f>IF(A1375="","",TEXTBEFORE(TEXTAFTER(A1375,"|"),"|"))</f>
        <v/>
      </c>
      <c r="D1375">
        <f>IF(A1375="","",TEXTAFTER(A1375,"|",2))</f>
        <v/>
      </c>
      <c r="E1375">
        <f>IF(A1375="","",SUMIF(Tickets[TripKey],A1375,Tickets[TP]))</f>
        <v/>
      </c>
      <c r="F1375">
        <f>IF(A1375="","",SUMIF(Tickets[TripKey],A1375,Tickets[Revenue]))</f>
        <v/>
      </c>
      <c r="G1375">
        <f>IF(A1375="","",SUMIF(Tickets[TripKey],A1375,Tickets[PK]))</f>
        <v/>
      </c>
      <c r="H1375">
        <f>IF(A1375="","",IFERROR(XLOOKUP(A1375,Tickets[TripKey],Tickets[VehClean]),""))</f>
        <v/>
      </c>
      <c r="I1375">
        <f>IF(A1375="","",IFERROR(XLOOKUP(A1375,Tickets[TripKey],Tickets[RouteLen]),0))</f>
        <v/>
      </c>
      <c r="J1375">
        <f>IF(A1375="","",IFERROR(XLOOKUP(A1375,Tickets[TripKey],Tickets[Capacity]),0))</f>
        <v/>
      </c>
      <c r="K1375">
        <f>IF(A1375="","",I1375*J1375)</f>
        <v/>
      </c>
      <c r="L1375">
        <f>IF(A1375="","",IFERROR(MINIFS(Tickets[Trip Start Time],Tickets[TripKey],A1375),""))</f>
        <v/>
      </c>
    </row>
    <row r="1376">
      <c r="B1376" s="8">
        <f>IF(A1376="","",IFERROR(DATEVALUE(TEXTBEFORE(A1376,"|")),--LEFT(A1376,10)))</f>
        <v/>
      </c>
      <c r="C1376">
        <f>IF(A1376="","",TEXTBEFORE(TEXTAFTER(A1376,"|"),"|"))</f>
        <v/>
      </c>
      <c r="D1376">
        <f>IF(A1376="","",TEXTAFTER(A1376,"|",2))</f>
        <v/>
      </c>
      <c r="E1376">
        <f>IF(A1376="","",SUMIF(Tickets[TripKey],A1376,Tickets[TP]))</f>
        <v/>
      </c>
      <c r="F1376">
        <f>IF(A1376="","",SUMIF(Tickets[TripKey],A1376,Tickets[Revenue]))</f>
        <v/>
      </c>
      <c r="G1376">
        <f>IF(A1376="","",SUMIF(Tickets[TripKey],A1376,Tickets[PK]))</f>
        <v/>
      </c>
      <c r="H1376">
        <f>IF(A1376="","",IFERROR(XLOOKUP(A1376,Tickets[TripKey],Tickets[VehClean]),""))</f>
        <v/>
      </c>
      <c r="I1376">
        <f>IF(A1376="","",IFERROR(XLOOKUP(A1376,Tickets[TripKey],Tickets[RouteLen]),0))</f>
        <v/>
      </c>
      <c r="J1376">
        <f>IF(A1376="","",IFERROR(XLOOKUP(A1376,Tickets[TripKey],Tickets[Capacity]),0))</f>
        <v/>
      </c>
      <c r="K1376">
        <f>IF(A1376="","",I1376*J1376)</f>
        <v/>
      </c>
      <c r="L1376">
        <f>IF(A1376="","",IFERROR(MINIFS(Tickets[Trip Start Time],Tickets[TripKey],A1376),""))</f>
        <v/>
      </c>
    </row>
    <row r="1377">
      <c r="B1377" s="8">
        <f>IF(A1377="","",IFERROR(DATEVALUE(TEXTBEFORE(A1377,"|")),--LEFT(A1377,10)))</f>
        <v/>
      </c>
      <c r="C1377">
        <f>IF(A1377="","",TEXTBEFORE(TEXTAFTER(A1377,"|"),"|"))</f>
        <v/>
      </c>
      <c r="D1377">
        <f>IF(A1377="","",TEXTAFTER(A1377,"|",2))</f>
        <v/>
      </c>
      <c r="E1377">
        <f>IF(A1377="","",SUMIF(Tickets[TripKey],A1377,Tickets[TP]))</f>
        <v/>
      </c>
      <c r="F1377">
        <f>IF(A1377="","",SUMIF(Tickets[TripKey],A1377,Tickets[Revenue]))</f>
        <v/>
      </c>
      <c r="G1377">
        <f>IF(A1377="","",SUMIF(Tickets[TripKey],A1377,Tickets[PK]))</f>
        <v/>
      </c>
      <c r="H1377">
        <f>IF(A1377="","",IFERROR(XLOOKUP(A1377,Tickets[TripKey],Tickets[VehClean]),""))</f>
        <v/>
      </c>
      <c r="I1377">
        <f>IF(A1377="","",IFERROR(XLOOKUP(A1377,Tickets[TripKey],Tickets[RouteLen]),0))</f>
        <v/>
      </c>
      <c r="J1377">
        <f>IF(A1377="","",IFERROR(XLOOKUP(A1377,Tickets[TripKey],Tickets[Capacity]),0))</f>
        <v/>
      </c>
      <c r="K1377">
        <f>IF(A1377="","",I1377*J1377)</f>
        <v/>
      </c>
      <c r="L1377">
        <f>IF(A1377="","",IFERROR(MINIFS(Tickets[Trip Start Time],Tickets[TripKey],A1377),""))</f>
        <v/>
      </c>
    </row>
    <row r="1378">
      <c r="B1378" s="8">
        <f>IF(A1378="","",IFERROR(DATEVALUE(TEXTBEFORE(A1378,"|")),--LEFT(A1378,10)))</f>
        <v/>
      </c>
      <c r="C1378">
        <f>IF(A1378="","",TEXTBEFORE(TEXTAFTER(A1378,"|"),"|"))</f>
        <v/>
      </c>
      <c r="D1378">
        <f>IF(A1378="","",TEXTAFTER(A1378,"|",2))</f>
        <v/>
      </c>
      <c r="E1378">
        <f>IF(A1378="","",SUMIF(Tickets[TripKey],A1378,Tickets[TP]))</f>
        <v/>
      </c>
      <c r="F1378">
        <f>IF(A1378="","",SUMIF(Tickets[TripKey],A1378,Tickets[Revenue]))</f>
        <v/>
      </c>
      <c r="G1378">
        <f>IF(A1378="","",SUMIF(Tickets[TripKey],A1378,Tickets[PK]))</f>
        <v/>
      </c>
      <c r="H1378">
        <f>IF(A1378="","",IFERROR(XLOOKUP(A1378,Tickets[TripKey],Tickets[VehClean]),""))</f>
        <v/>
      </c>
      <c r="I1378">
        <f>IF(A1378="","",IFERROR(XLOOKUP(A1378,Tickets[TripKey],Tickets[RouteLen]),0))</f>
        <v/>
      </c>
      <c r="J1378">
        <f>IF(A1378="","",IFERROR(XLOOKUP(A1378,Tickets[TripKey],Tickets[Capacity]),0))</f>
        <v/>
      </c>
      <c r="K1378">
        <f>IF(A1378="","",I1378*J1378)</f>
        <v/>
      </c>
      <c r="L1378">
        <f>IF(A1378="","",IFERROR(MINIFS(Tickets[Trip Start Time],Tickets[TripKey],A1378),""))</f>
        <v/>
      </c>
    </row>
    <row r="1379">
      <c r="B1379" s="8">
        <f>IF(A1379="","",IFERROR(DATEVALUE(TEXTBEFORE(A1379,"|")),--LEFT(A1379,10)))</f>
        <v/>
      </c>
      <c r="C1379">
        <f>IF(A1379="","",TEXTBEFORE(TEXTAFTER(A1379,"|"),"|"))</f>
        <v/>
      </c>
      <c r="D1379">
        <f>IF(A1379="","",TEXTAFTER(A1379,"|",2))</f>
        <v/>
      </c>
      <c r="E1379">
        <f>IF(A1379="","",SUMIF(Tickets[TripKey],A1379,Tickets[TP]))</f>
        <v/>
      </c>
      <c r="F1379">
        <f>IF(A1379="","",SUMIF(Tickets[TripKey],A1379,Tickets[Revenue]))</f>
        <v/>
      </c>
      <c r="G1379">
        <f>IF(A1379="","",SUMIF(Tickets[TripKey],A1379,Tickets[PK]))</f>
        <v/>
      </c>
      <c r="H1379">
        <f>IF(A1379="","",IFERROR(XLOOKUP(A1379,Tickets[TripKey],Tickets[VehClean]),""))</f>
        <v/>
      </c>
      <c r="I1379">
        <f>IF(A1379="","",IFERROR(XLOOKUP(A1379,Tickets[TripKey],Tickets[RouteLen]),0))</f>
        <v/>
      </c>
      <c r="J1379">
        <f>IF(A1379="","",IFERROR(XLOOKUP(A1379,Tickets[TripKey],Tickets[Capacity]),0))</f>
        <v/>
      </c>
      <c r="K1379">
        <f>IF(A1379="","",I1379*J1379)</f>
        <v/>
      </c>
      <c r="L1379">
        <f>IF(A1379="","",IFERROR(MINIFS(Tickets[Trip Start Time],Tickets[TripKey],A1379),""))</f>
        <v/>
      </c>
    </row>
    <row r="1380">
      <c r="B1380" s="8">
        <f>IF(A1380="","",IFERROR(DATEVALUE(TEXTBEFORE(A1380,"|")),--LEFT(A1380,10)))</f>
        <v/>
      </c>
      <c r="C1380">
        <f>IF(A1380="","",TEXTBEFORE(TEXTAFTER(A1380,"|"),"|"))</f>
        <v/>
      </c>
      <c r="D1380">
        <f>IF(A1380="","",TEXTAFTER(A1380,"|",2))</f>
        <v/>
      </c>
      <c r="E1380">
        <f>IF(A1380="","",SUMIF(Tickets[TripKey],A1380,Tickets[TP]))</f>
        <v/>
      </c>
      <c r="F1380">
        <f>IF(A1380="","",SUMIF(Tickets[TripKey],A1380,Tickets[Revenue]))</f>
        <v/>
      </c>
      <c r="G1380">
        <f>IF(A1380="","",SUMIF(Tickets[TripKey],A1380,Tickets[PK]))</f>
        <v/>
      </c>
      <c r="H1380">
        <f>IF(A1380="","",IFERROR(XLOOKUP(A1380,Tickets[TripKey],Tickets[VehClean]),""))</f>
        <v/>
      </c>
      <c r="I1380">
        <f>IF(A1380="","",IFERROR(XLOOKUP(A1380,Tickets[TripKey],Tickets[RouteLen]),0))</f>
        <v/>
      </c>
      <c r="J1380">
        <f>IF(A1380="","",IFERROR(XLOOKUP(A1380,Tickets[TripKey],Tickets[Capacity]),0))</f>
        <v/>
      </c>
      <c r="K1380">
        <f>IF(A1380="","",I1380*J1380)</f>
        <v/>
      </c>
      <c r="L1380">
        <f>IF(A1380="","",IFERROR(MINIFS(Tickets[Trip Start Time],Tickets[TripKey],A1380),""))</f>
        <v/>
      </c>
    </row>
    <row r="1381">
      <c r="B1381" s="8">
        <f>IF(A1381="","",IFERROR(DATEVALUE(TEXTBEFORE(A1381,"|")),--LEFT(A1381,10)))</f>
        <v/>
      </c>
      <c r="C1381">
        <f>IF(A1381="","",TEXTBEFORE(TEXTAFTER(A1381,"|"),"|"))</f>
        <v/>
      </c>
      <c r="D1381">
        <f>IF(A1381="","",TEXTAFTER(A1381,"|",2))</f>
        <v/>
      </c>
      <c r="E1381">
        <f>IF(A1381="","",SUMIF(Tickets[TripKey],A1381,Tickets[TP]))</f>
        <v/>
      </c>
      <c r="F1381">
        <f>IF(A1381="","",SUMIF(Tickets[TripKey],A1381,Tickets[Revenue]))</f>
        <v/>
      </c>
      <c r="G1381">
        <f>IF(A1381="","",SUMIF(Tickets[TripKey],A1381,Tickets[PK]))</f>
        <v/>
      </c>
      <c r="H1381">
        <f>IF(A1381="","",IFERROR(XLOOKUP(A1381,Tickets[TripKey],Tickets[VehClean]),""))</f>
        <v/>
      </c>
      <c r="I1381">
        <f>IF(A1381="","",IFERROR(XLOOKUP(A1381,Tickets[TripKey],Tickets[RouteLen]),0))</f>
        <v/>
      </c>
      <c r="J1381">
        <f>IF(A1381="","",IFERROR(XLOOKUP(A1381,Tickets[TripKey],Tickets[Capacity]),0))</f>
        <v/>
      </c>
      <c r="K1381">
        <f>IF(A1381="","",I1381*J1381)</f>
        <v/>
      </c>
      <c r="L1381">
        <f>IF(A1381="","",IFERROR(MINIFS(Tickets[Trip Start Time],Tickets[TripKey],A1381),""))</f>
        <v/>
      </c>
    </row>
    <row r="1382">
      <c r="B1382" s="8">
        <f>IF(A1382="","",IFERROR(DATEVALUE(TEXTBEFORE(A1382,"|")),--LEFT(A1382,10)))</f>
        <v/>
      </c>
      <c r="C1382">
        <f>IF(A1382="","",TEXTBEFORE(TEXTAFTER(A1382,"|"),"|"))</f>
        <v/>
      </c>
      <c r="D1382">
        <f>IF(A1382="","",TEXTAFTER(A1382,"|",2))</f>
        <v/>
      </c>
      <c r="E1382">
        <f>IF(A1382="","",SUMIF(Tickets[TripKey],A1382,Tickets[TP]))</f>
        <v/>
      </c>
      <c r="F1382">
        <f>IF(A1382="","",SUMIF(Tickets[TripKey],A1382,Tickets[Revenue]))</f>
        <v/>
      </c>
      <c r="G1382">
        <f>IF(A1382="","",SUMIF(Tickets[TripKey],A1382,Tickets[PK]))</f>
        <v/>
      </c>
      <c r="H1382">
        <f>IF(A1382="","",IFERROR(XLOOKUP(A1382,Tickets[TripKey],Tickets[VehClean]),""))</f>
        <v/>
      </c>
      <c r="I1382">
        <f>IF(A1382="","",IFERROR(XLOOKUP(A1382,Tickets[TripKey],Tickets[RouteLen]),0))</f>
        <v/>
      </c>
      <c r="J1382">
        <f>IF(A1382="","",IFERROR(XLOOKUP(A1382,Tickets[TripKey],Tickets[Capacity]),0))</f>
        <v/>
      </c>
      <c r="K1382">
        <f>IF(A1382="","",I1382*J1382)</f>
        <v/>
      </c>
      <c r="L1382">
        <f>IF(A1382="","",IFERROR(MINIFS(Tickets[Trip Start Time],Tickets[TripKey],A1382),""))</f>
        <v/>
      </c>
    </row>
    <row r="1383">
      <c r="B1383" s="8">
        <f>IF(A1383="","",IFERROR(DATEVALUE(TEXTBEFORE(A1383,"|")),--LEFT(A1383,10)))</f>
        <v/>
      </c>
      <c r="C1383">
        <f>IF(A1383="","",TEXTBEFORE(TEXTAFTER(A1383,"|"),"|"))</f>
        <v/>
      </c>
      <c r="D1383">
        <f>IF(A1383="","",TEXTAFTER(A1383,"|",2))</f>
        <v/>
      </c>
      <c r="E1383">
        <f>IF(A1383="","",SUMIF(Tickets[TripKey],A1383,Tickets[TP]))</f>
        <v/>
      </c>
      <c r="F1383">
        <f>IF(A1383="","",SUMIF(Tickets[TripKey],A1383,Tickets[Revenue]))</f>
        <v/>
      </c>
      <c r="G1383">
        <f>IF(A1383="","",SUMIF(Tickets[TripKey],A1383,Tickets[PK]))</f>
        <v/>
      </c>
      <c r="H1383">
        <f>IF(A1383="","",IFERROR(XLOOKUP(A1383,Tickets[TripKey],Tickets[VehClean]),""))</f>
        <v/>
      </c>
      <c r="I1383">
        <f>IF(A1383="","",IFERROR(XLOOKUP(A1383,Tickets[TripKey],Tickets[RouteLen]),0))</f>
        <v/>
      </c>
      <c r="J1383">
        <f>IF(A1383="","",IFERROR(XLOOKUP(A1383,Tickets[TripKey],Tickets[Capacity]),0))</f>
        <v/>
      </c>
      <c r="K1383">
        <f>IF(A1383="","",I1383*J1383)</f>
        <v/>
      </c>
      <c r="L1383">
        <f>IF(A1383="","",IFERROR(MINIFS(Tickets[Trip Start Time],Tickets[TripKey],A1383),""))</f>
        <v/>
      </c>
    </row>
    <row r="1384">
      <c r="B1384" s="8">
        <f>IF(A1384="","",IFERROR(DATEVALUE(TEXTBEFORE(A1384,"|")),--LEFT(A1384,10)))</f>
        <v/>
      </c>
      <c r="C1384">
        <f>IF(A1384="","",TEXTBEFORE(TEXTAFTER(A1384,"|"),"|"))</f>
        <v/>
      </c>
      <c r="D1384">
        <f>IF(A1384="","",TEXTAFTER(A1384,"|",2))</f>
        <v/>
      </c>
      <c r="E1384">
        <f>IF(A1384="","",SUMIF(Tickets[TripKey],A1384,Tickets[TP]))</f>
        <v/>
      </c>
      <c r="F1384">
        <f>IF(A1384="","",SUMIF(Tickets[TripKey],A1384,Tickets[Revenue]))</f>
        <v/>
      </c>
      <c r="G1384">
        <f>IF(A1384="","",SUMIF(Tickets[TripKey],A1384,Tickets[PK]))</f>
        <v/>
      </c>
      <c r="H1384">
        <f>IF(A1384="","",IFERROR(XLOOKUP(A1384,Tickets[TripKey],Tickets[VehClean]),""))</f>
        <v/>
      </c>
      <c r="I1384">
        <f>IF(A1384="","",IFERROR(XLOOKUP(A1384,Tickets[TripKey],Tickets[RouteLen]),0))</f>
        <v/>
      </c>
      <c r="J1384">
        <f>IF(A1384="","",IFERROR(XLOOKUP(A1384,Tickets[TripKey],Tickets[Capacity]),0))</f>
        <v/>
      </c>
      <c r="K1384">
        <f>IF(A1384="","",I1384*J1384)</f>
        <v/>
      </c>
      <c r="L1384">
        <f>IF(A1384="","",IFERROR(MINIFS(Tickets[Trip Start Time],Tickets[TripKey],A1384),""))</f>
        <v/>
      </c>
    </row>
    <row r="1385">
      <c r="B1385" s="8">
        <f>IF(A1385="","",IFERROR(DATEVALUE(TEXTBEFORE(A1385,"|")),--LEFT(A1385,10)))</f>
        <v/>
      </c>
      <c r="C1385">
        <f>IF(A1385="","",TEXTBEFORE(TEXTAFTER(A1385,"|"),"|"))</f>
        <v/>
      </c>
      <c r="D1385">
        <f>IF(A1385="","",TEXTAFTER(A1385,"|",2))</f>
        <v/>
      </c>
      <c r="E1385">
        <f>IF(A1385="","",SUMIF(Tickets[TripKey],A1385,Tickets[TP]))</f>
        <v/>
      </c>
      <c r="F1385">
        <f>IF(A1385="","",SUMIF(Tickets[TripKey],A1385,Tickets[Revenue]))</f>
        <v/>
      </c>
      <c r="G1385">
        <f>IF(A1385="","",SUMIF(Tickets[TripKey],A1385,Tickets[PK]))</f>
        <v/>
      </c>
      <c r="H1385">
        <f>IF(A1385="","",IFERROR(XLOOKUP(A1385,Tickets[TripKey],Tickets[VehClean]),""))</f>
        <v/>
      </c>
      <c r="I1385">
        <f>IF(A1385="","",IFERROR(XLOOKUP(A1385,Tickets[TripKey],Tickets[RouteLen]),0))</f>
        <v/>
      </c>
      <c r="J1385">
        <f>IF(A1385="","",IFERROR(XLOOKUP(A1385,Tickets[TripKey],Tickets[Capacity]),0))</f>
        <v/>
      </c>
      <c r="K1385">
        <f>IF(A1385="","",I1385*J1385)</f>
        <v/>
      </c>
      <c r="L1385">
        <f>IF(A1385="","",IFERROR(MINIFS(Tickets[Trip Start Time],Tickets[TripKey],A1385),""))</f>
        <v/>
      </c>
    </row>
    <row r="1386">
      <c r="B1386" s="8">
        <f>IF(A1386="","",IFERROR(DATEVALUE(TEXTBEFORE(A1386,"|")),--LEFT(A1386,10)))</f>
        <v/>
      </c>
      <c r="C1386">
        <f>IF(A1386="","",TEXTBEFORE(TEXTAFTER(A1386,"|"),"|"))</f>
        <v/>
      </c>
      <c r="D1386">
        <f>IF(A1386="","",TEXTAFTER(A1386,"|",2))</f>
        <v/>
      </c>
      <c r="E1386">
        <f>IF(A1386="","",SUMIF(Tickets[TripKey],A1386,Tickets[TP]))</f>
        <v/>
      </c>
      <c r="F1386">
        <f>IF(A1386="","",SUMIF(Tickets[TripKey],A1386,Tickets[Revenue]))</f>
        <v/>
      </c>
      <c r="G1386">
        <f>IF(A1386="","",SUMIF(Tickets[TripKey],A1386,Tickets[PK]))</f>
        <v/>
      </c>
      <c r="H1386">
        <f>IF(A1386="","",IFERROR(XLOOKUP(A1386,Tickets[TripKey],Tickets[VehClean]),""))</f>
        <v/>
      </c>
      <c r="I1386">
        <f>IF(A1386="","",IFERROR(XLOOKUP(A1386,Tickets[TripKey],Tickets[RouteLen]),0))</f>
        <v/>
      </c>
      <c r="J1386">
        <f>IF(A1386="","",IFERROR(XLOOKUP(A1386,Tickets[TripKey],Tickets[Capacity]),0))</f>
        <v/>
      </c>
      <c r="K1386">
        <f>IF(A1386="","",I1386*J1386)</f>
        <v/>
      </c>
      <c r="L1386">
        <f>IF(A1386="","",IFERROR(MINIFS(Tickets[Trip Start Time],Tickets[TripKey],A1386),""))</f>
        <v/>
      </c>
    </row>
    <row r="1387">
      <c r="B1387" s="8">
        <f>IF(A1387="","",IFERROR(DATEVALUE(TEXTBEFORE(A1387,"|")),--LEFT(A1387,10)))</f>
        <v/>
      </c>
      <c r="C1387">
        <f>IF(A1387="","",TEXTBEFORE(TEXTAFTER(A1387,"|"),"|"))</f>
        <v/>
      </c>
      <c r="D1387">
        <f>IF(A1387="","",TEXTAFTER(A1387,"|",2))</f>
        <v/>
      </c>
      <c r="E1387">
        <f>IF(A1387="","",SUMIF(Tickets[TripKey],A1387,Tickets[TP]))</f>
        <v/>
      </c>
      <c r="F1387">
        <f>IF(A1387="","",SUMIF(Tickets[TripKey],A1387,Tickets[Revenue]))</f>
        <v/>
      </c>
      <c r="G1387">
        <f>IF(A1387="","",SUMIF(Tickets[TripKey],A1387,Tickets[PK]))</f>
        <v/>
      </c>
      <c r="H1387">
        <f>IF(A1387="","",IFERROR(XLOOKUP(A1387,Tickets[TripKey],Tickets[VehClean]),""))</f>
        <v/>
      </c>
      <c r="I1387">
        <f>IF(A1387="","",IFERROR(XLOOKUP(A1387,Tickets[TripKey],Tickets[RouteLen]),0))</f>
        <v/>
      </c>
      <c r="J1387">
        <f>IF(A1387="","",IFERROR(XLOOKUP(A1387,Tickets[TripKey],Tickets[Capacity]),0))</f>
        <v/>
      </c>
      <c r="K1387">
        <f>IF(A1387="","",I1387*J1387)</f>
        <v/>
      </c>
      <c r="L1387">
        <f>IF(A1387="","",IFERROR(MINIFS(Tickets[Trip Start Time],Tickets[TripKey],A1387),""))</f>
        <v/>
      </c>
    </row>
    <row r="1388">
      <c r="B1388" s="8">
        <f>IF(A1388="","",IFERROR(DATEVALUE(TEXTBEFORE(A1388,"|")),--LEFT(A1388,10)))</f>
        <v/>
      </c>
      <c r="C1388">
        <f>IF(A1388="","",TEXTBEFORE(TEXTAFTER(A1388,"|"),"|"))</f>
        <v/>
      </c>
      <c r="D1388">
        <f>IF(A1388="","",TEXTAFTER(A1388,"|",2))</f>
        <v/>
      </c>
      <c r="E1388">
        <f>IF(A1388="","",SUMIF(Tickets[TripKey],A1388,Tickets[TP]))</f>
        <v/>
      </c>
      <c r="F1388">
        <f>IF(A1388="","",SUMIF(Tickets[TripKey],A1388,Tickets[Revenue]))</f>
        <v/>
      </c>
      <c r="G1388">
        <f>IF(A1388="","",SUMIF(Tickets[TripKey],A1388,Tickets[PK]))</f>
        <v/>
      </c>
      <c r="H1388">
        <f>IF(A1388="","",IFERROR(XLOOKUP(A1388,Tickets[TripKey],Tickets[VehClean]),""))</f>
        <v/>
      </c>
      <c r="I1388">
        <f>IF(A1388="","",IFERROR(XLOOKUP(A1388,Tickets[TripKey],Tickets[RouteLen]),0))</f>
        <v/>
      </c>
      <c r="J1388">
        <f>IF(A1388="","",IFERROR(XLOOKUP(A1388,Tickets[TripKey],Tickets[Capacity]),0))</f>
        <v/>
      </c>
      <c r="K1388">
        <f>IF(A1388="","",I1388*J1388)</f>
        <v/>
      </c>
      <c r="L1388">
        <f>IF(A1388="","",IFERROR(MINIFS(Tickets[Trip Start Time],Tickets[TripKey],A1388),""))</f>
        <v/>
      </c>
    </row>
    <row r="1389">
      <c r="B1389" s="8">
        <f>IF(A1389="","",IFERROR(DATEVALUE(TEXTBEFORE(A1389,"|")),--LEFT(A1389,10)))</f>
        <v/>
      </c>
      <c r="C1389">
        <f>IF(A1389="","",TEXTBEFORE(TEXTAFTER(A1389,"|"),"|"))</f>
        <v/>
      </c>
      <c r="D1389">
        <f>IF(A1389="","",TEXTAFTER(A1389,"|",2))</f>
        <v/>
      </c>
      <c r="E1389">
        <f>IF(A1389="","",SUMIF(Tickets[TripKey],A1389,Tickets[TP]))</f>
        <v/>
      </c>
      <c r="F1389">
        <f>IF(A1389="","",SUMIF(Tickets[TripKey],A1389,Tickets[Revenue]))</f>
        <v/>
      </c>
      <c r="G1389">
        <f>IF(A1389="","",SUMIF(Tickets[TripKey],A1389,Tickets[PK]))</f>
        <v/>
      </c>
      <c r="H1389">
        <f>IF(A1389="","",IFERROR(XLOOKUP(A1389,Tickets[TripKey],Tickets[VehClean]),""))</f>
        <v/>
      </c>
      <c r="I1389">
        <f>IF(A1389="","",IFERROR(XLOOKUP(A1389,Tickets[TripKey],Tickets[RouteLen]),0))</f>
        <v/>
      </c>
      <c r="J1389">
        <f>IF(A1389="","",IFERROR(XLOOKUP(A1389,Tickets[TripKey],Tickets[Capacity]),0))</f>
        <v/>
      </c>
      <c r="K1389">
        <f>IF(A1389="","",I1389*J1389)</f>
        <v/>
      </c>
      <c r="L1389">
        <f>IF(A1389="","",IFERROR(MINIFS(Tickets[Trip Start Time],Tickets[TripKey],A1389),""))</f>
        <v/>
      </c>
    </row>
    <row r="1390">
      <c r="B1390" s="8">
        <f>IF(A1390="","",IFERROR(DATEVALUE(TEXTBEFORE(A1390,"|")),--LEFT(A1390,10)))</f>
        <v/>
      </c>
      <c r="C1390">
        <f>IF(A1390="","",TEXTBEFORE(TEXTAFTER(A1390,"|"),"|"))</f>
        <v/>
      </c>
      <c r="D1390">
        <f>IF(A1390="","",TEXTAFTER(A1390,"|",2))</f>
        <v/>
      </c>
      <c r="E1390">
        <f>IF(A1390="","",SUMIF(Tickets[TripKey],A1390,Tickets[TP]))</f>
        <v/>
      </c>
      <c r="F1390">
        <f>IF(A1390="","",SUMIF(Tickets[TripKey],A1390,Tickets[Revenue]))</f>
        <v/>
      </c>
      <c r="G1390">
        <f>IF(A1390="","",SUMIF(Tickets[TripKey],A1390,Tickets[PK]))</f>
        <v/>
      </c>
      <c r="H1390">
        <f>IF(A1390="","",IFERROR(XLOOKUP(A1390,Tickets[TripKey],Tickets[VehClean]),""))</f>
        <v/>
      </c>
      <c r="I1390">
        <f>IF(A1390="","",IFERROR(XLOOKUP(A1390,Tickets[TripKey],Tickets[RouteLen]),0))</f>
        <v/>
      </c>
      <c r="J1390">
        <f>IF(A1390="","",IFERROR(XLOOKUP(A1390,Tickets[TripKey],Tickets[Capacity]),0))</f>
        <v/>
      </c>
      <c r="K1390">
        <f>IF(A1390="","",I1390*J1390)</f>
        <v/>
      </c>
      <c r="L1390">
        <f>IF(A1390="","",IFERROR(MINIFS(Tickets[Trip Start Time],Tickets[TripKey],A1390),""))</f>
        <v/>
      </c>
    </row>
    <row r="1391">
      <c r="B1391" s="8">
        <f>IF(A1391="","",IFERROR(DATEVALUE(TEXTBEFORE(A1391,"|")),--LEFT(A1391,10)))</f>
        <v/>
      </c>
      <c r="C1391">
        <f>IF(A1391="","",TEXTBEFORE(TEXTAFTER(A1391,"|"),"|"))</f>
        <v/>
      </c>
      <c r="D1391">
        <f>IF(A1391="","",TEXTAFTER(A1391,"|",2))</f>
        <v/>
      </c>
      <c r="E1391">
        <f>IF(A1391="","",SUMIF(Tickets[TripKey],A1391,Tickets[TP]))</f>
        <v/>
      </c>
      <c r="F1391">
        <f>IF(A1391="","",SUMIF(Tickets[TripKey],A1391,Tickets[Revenue]))</f>
        <v/>
      </c>
      <c r="G1391">
        <f>IF(A1391="","",SUMIF(Tickets[TripKey],A1391,Tickets[PK]))</f>
        <v/>
      </c>
      <c r="H1391">
        <f>IF(A1391="","",IFERROR(XLOOKUP(A1391,Tickets[TripKey],Tickets[VehClean]),""))</f>
        <v/>
      </c>
      <c r="I1391">
        <f>IF(A1391="","",IFERROR(XLOOKUP(A1391,Tickets[TripKey],Tickets[RouteLen]),0))</f>
        <v/>
      </c>
      <c r="J1391">
        <f>IF(A1391="","",IFERROR(XLOOKUP(A1391,Tickets[TripKey],Tickets[Capacity]),0))</f>
        <v/>
      </c>
      <c r="K1391">
        <f>IF(A1391="","",I1391*J1391)</f>
        <v/>
      </c>
      <c r="L1391">
        <f>IF(A1391="","",IFERROR(MINIFS(Tickets[Trip Start Time],Tickets[TripKey],A1391),""))</f>
        <v/>
      </c>
    </row>
    <row r="1392">
      <c r="B1392" s="8">
        <f>IF(A1392="","",IFERROR(DATEVALUE(TEXTBEFORE(A1392,"|")),--LEFT(A1392,10)))</f>
        <v/>
      </c>
      <c r="C1392">
        <f>IF(A1392="","",TEXTBEFORE(TEXTAFTER(A1392,"|"),"|"))</f>
        <v/>
      </c>
      <c r="D1392">
        <f>IF(A1392="","",TEXTAFTER(A1392,"|",2))</f>
        <v/>
      </c>
      <c r="E1392">
        <f>IF(A1392="","",SUMIF(Tickets[TripKey],A1392,Tickets[TP]))</f>
        <v/>
      </c>
      <c r="F1392">
        <f>IF(A1392="","",SUMIF(Tickets[TripKey],A1392,Tickets[Revenue]))</f>
        <v/>
      </c>
      <c r="G1392">
        <f>IF(A1392="","",SUMIF(Tickets[TripKey],A1392,Tickets[PK]))</f>
        <v/>
      </c>
      <c r="H1392">
        <f>IF(A1392="","",IFERROR(XLOOKUP(A1392,Tickets[TripKey],Tickets[VehClean]),""))</f>
        <v/>
      </c>
      <c r="I1392">
        <f>IF(A1392="","",IFERROR(XLOOKUP(A1392,Tickets[TripKey],Tickets[RouteLen]),0))</f>
        <v/>
      </c>
      <c r="J1392">
        <f>IF(A1392="","",IFERROR(XLOOKUP(A1392,Tickets[TripKey],Tickets[Capacity]),0))</f>
        <v/>
      </c>
      <c r="K1392">
        <f>IF(A1392="","",I1392*J1392)</f>
        <v/>
      </c>
      <c r="L1392">
        <f>IF(A1392="","",IFERROR(MINIFS(Tickets[Trip Start Time],Tickets[TripKey],A1392),""))</f>
        <v/>
      </c>
    </row>
    <row r="1393">
      <c r="B1393" s="8">
        <f>IF(A1393="","",IFERROR(DATEVALUE(TEXTBEFORE(A1393,"|")),--LEFT(A1393,10)))</f>
        <v/>
      </c>
      <c r="C1393">
        <f>IF(A1393="","",TEXTBEFORE(TEXTAFTER(A1393,"|"),"|"))</f>
        <v/>
      </c>
      <c r="D1393">
        <f>IF(A1393="","",TEXTAFTER(A1393,"|",2))</f>
        <v/>
      </c>
      <c r="E1393">
        <f>IF(A1393="","",SUMIF(Tickets[TripKey],A1393,Tickets[TP]))</f>
        <v/>
      </c>
      <c r="F1393">
        <f>IF(A1393="","",SUMIF(Tickets[TripKey],A1393,Tickets[Revenue]))</f>
        <v/>
      </c>
      <c r="G1393">
        <f>IF(A1393="","",SUMIF(Tickets[TripKey],A1393,Tickets[PK]))</f>
        <v/>
      </c>
      <c r="H1393">
        <f>IF(A1393="","",IFERROR(XLOOKUP(A1393,Tickets[TripKey],Tickets[VehClean]),""))</f>
        <v/>
      </c>
      <c r="I1393">
        <f>IF(A1393="","",IFERROR(XLOOKUP(A1393,Tickets[TripKey],Tickets[RouteLen]),0))</f>
        <v/>
      </c>
      <c r="J1393">
        <f>IF(A1393="","",IFERROR(XLOOKUP(A1393,Tickets[TripKey],Tickets[Capacity]),0))</f>
        <v/>
      </c>
      <c r="K1393">
        <f>IF(A1393="","",I1393*J1393)</f>
        <v/>
      </c>
      <c r="L1393">
        <f>IF(A1393="","",IFERROR(MINIFS(Tickets[Trip Start Time],Tickets[TripKey],A1393),""))</f>
        <v/>
      </c>
    </row>
    <row r="1394">
      <c r="B1394" s="8">
        <f>IF(A1394="","",IFERROR(DATEVALUE(TEXTBEFORE(A1394,"|")),--LEFT(A1394,10)))</f>
        <v/>
      </c>
      <c r="C1394">
        <f>IF(A1394="","",TEXTBEFORE(TEXTAFTER(A1394,"|"),"|"))</f>
        <v/>
      </c>
      <c r="D1394">
        <f>IF(A1394="","",TEXTAFTER(A1394,"|",2))</f>
        <v/>
      </c>
      <c r="E1394">
        <f>IF(A1394="","",SUMIF(Tickets[TripKey],A1394,Tickets[TP]))</f>
        <v/>
      </c>
      <c r="F1394">
        <f>IF(A1394="","",SUMIF(Tickets[TripKey],A1394,Tickets[Revenue]))</f>
        <v/>
      </c>
      <c r="G1394">
        <f>IF(A1394="","",SUMIF(Tickets[TripKey],A1394,Tickets[PK]))</f>
        <v/>
      </c>
      <c r="H1394">
        <f>IF(A1394="","",IFERROR(XLOOKUP(A1394,Tickets[TripKey],Tickets[VehClean]),""))</f>
        <v/>
      </c>
      <c r="I1394">
        <f>IF(A1394="","",IFERROR(XLOOKUP(A1394,Tickets[TripKey],Tickets[RouteLen]),0))</f>
        <v/>
      </c>
      <c r="J1394">
        <f>IF(A1394="","",IFERROR(XLOOKUP(A1394,Tickets[TripKey],Tickets[Capacity]),0))</f>
        <v/>
      </c>
      <c r="K1394">
        <f>IF(A1394="","",I1394*J1394)</f>
        <v/>
      </c>
      <c r="L1394">
        <f>IF(A1394="","",IFERROR(MINIFS(Tickets[Trip Start Time],Tickets[TripKey],A1394),""))</f>
        <v/>
      </c>
    </row>
    <row r="1395">
      <c r="B1395" s="8">
        <f>IF(A1395="","",IFERROR(DATEVALUE(TEXTBEFORE(A1395,"|")),--LEFT(A1395,10)))</f>
        <v/>
      </c>
      <c r="C1395">
        <f>IF(A1395="","",TEXTBEFORE(TEXTAFTER(A1395,"|"),"|"))</f>
        <v/>
      </c>
      <c r="D1395">
        <f>IF(A1395="","",TEXTAFTER(A1395,"|",2))</f>
        <v/>
      </c>
      <c r="E1395">
        <f>IF(A1395="","",SUMIF(Tickets[TripKey],A1395,Tickets[TP]))</f>
        <v/>
      </c>
      <c r="F1395">
        <f>IF(A1395="","",SUMIF(Tickets[TripKey],A1395,Tickets[Revenue]))</f>
        <v/>
      </c>
      <c r="G1395">
        <f>IF(A1395="","",SUMIF(Tickets[TripKey],A1395,Tickets[PK]))</f>
        <v/>
      </c>
      <c r="H1395">
        <f>IF(A1395="","",IFERROR(XLOOKUP(A1395,Tickets[TripKey],Tickets[VehClean]),""))</f>
        <v/>
      </c>
      <c r="I1395">
        <f>IF(A1395="","",IFERROR(XLOOKUP(A1395,Tickets[TripKey],Tickets[RouteLen]),0))</f>
        <v/>
      </c>
      <c r="J1395">
        <f>IF(A1395="","",IFERROR(XLOOKUP(A1395,Tickets[TripKey],Tickets[Capacity]),0))</f>
        <v/>
      </c>
      <c r="K1395">
        <f>IF(A1395="","",I1395*J1395)</f>
        <v/>
      </c>
      <c r="L1395">
        <f>IF(A1395="","",IFERROR(MINIFS(Tickets[Trip Start Time],Tickets[TripKey],A1395),""))</f>
        <v/>
      </c>
    </row>
    <row r="1396">
      <c r="B1396" s="8">
        <f>IF(A1396="","",IFERROR(DATEVALUE(TEXTBEFORE(A1396,"|")),--LEFT(A1396,10)))</f>
        <v/>
      </c>
      <c r="C1396">
        <f>IF(A1396="","",TEXTBEFORE(TEXTAFTER(A1396,"|"),"|"))</f>
        <v/>
      </c>
      <c r="D1396">
        <f>IF(A1396="","",TEXTAFTER(A1396,"|",2))</f>
        <v/>
      </c>
      <c r="E1396">
        <f>IF(A1396="","",SUMIF(Tickets[TripKey],A1396,Tickets[TP]))</f>
        <v/>
      </c>
      <c r="F1396">
        <f>IF(A1396="","",SUMIF(Tickets[TripKey],A1396,Tickets[Revenue]))</f>
        <v/>
      </c>
      <c r="G1396">
        <f>IF(A1396="","",SUMIF(Tickets[TripKey],A1396,Tickets[PK]))</f>
        <v/>
      </c>
      <c r="H1396">
        <f>IF(A1396="","",IFERROR(XLOOKUP(A1396,Tickets[TripKey],Tickets[VehClean]),""))</f>
        <v/>
      </c>
      <c r="I1396">
        <f>IF(A1396="","",IFERROR(XLOOKUP(A1396,Tickets[TripKey],Tickets[RouteLen]),0))</f>
        <v/>
      </c>
      <c r="J1396">
        <f>IF(A1396="","",IFERROR(XLOOKUP(A1396,Tickets[TripKey],Tickets[Capacity]),0))</f>
        <v/>
      </c>
      <c r="K1396">
        <f>IF(A1396="","",I1396*J1396)</f>
        <v/>
      </c>
      <c r="L1396">
        <f>IF(A1396="","",IFERROR(MINIFS(Tickets[Trip Start Time],Tickets[TripKey],A1396),""))</f>
        <v/>
      </c>
    </row>
    <row r="1397">
      <c r="B1397" s="8">
        <f>IF(A1397="","",IFERROR(DATEVALUE(TEXTBEFORE(A1397,"|")),--LEFT(A1397,10)))</f>
        <v/>
      </c>
      <c r="C1397">
        <f>IF(A1397="","",TEXTBEFORE(TEXTAFTER(A1397,"|"),"|"))</f>
        <v/>
      </c>
      <c r="D1397">
        <f>IF(A1397="","",TEXTAFTER(A1397,"|",2))</f>
        <v/>
      </c>
      <c r="E1397">
        <f>IF(A1397="","",SUMIF(Tickets[TripKey],A1397,Tickets[TP]))</f>
        <v/>
      </c>
      <c r="F1397">
        <f>IF(A1397="","",SUMIF(Tickets[TripKey],A1397,Tickets[Revenue]))</f>
        <v/>
      </c>
      <c r="G1397">
        <f>IF(A1397="","",SUMIF(Tickets[TripKey],A1397,Tickets[PK]))</f>
        <v/>
      </c>
      <c r="H1397">
        <f>IF(A1397="","",IFERROR(XLOOKUP(A1397,Tickets[TripKey],Tickets[VehClean]),""))</f>
        <v/>
      </c>
      <c r="I1397">
        <f>IF(A1397="","",IFERROR(XLOOKUP(A1397,Tickets[TripKey],Tickets[RouteLen]),0))</f>
        <v/>
      </c>
      <c r="J1397">
        <f>IF(A1397="","",IFERROR(XLOOKUP(A1397,Tickets[TripKey],Tickets[Capacity]),0))</f>
        <v/>
      </c>
      <c r="K1397">
        <f>IF(A1397="","",I1397*J1397)</f>
        <v/>
      </c>
      <c r="L1397">
        <f>IF(A1397="","",IFERROR(MINIFS(Tickets[Trip Start Time],Tickets[TripKey],A1397),""))</f>
        <v/>
      </c>
    </row>
    <row r="1398">
      <c r="B1398" s="8">
        <f>IF(A1398="","",IFERROR(DATEVALUE(TEXTBEFORE(A1398,"|")),--LEFT(A1398,10)))</f>
        <v/>
      </c>
      <c r="C1398">
        <f>IF(A1398="","",TEXTBEFORE(TEXTAFTER(A1398,"|"),"|"))</f>
        <v/>
      </c>
      <c r="D1398">
        <f>IF(A1398="","",TEXTAFTER(A1398,"|",2))</f>
        <v/>
      </c>
      <c r="E1398">
        <f>IF(A1398="","",SUMIF(Tickets[TripKey],A1398,Tickets[TP]))</f>
        <v/>
      </c>
      <c r="F1398">
        <f>IF(A1398="","",SUMIF(Tickets[TripKey],A1398,Tickets[Revenue]))</f>
        <v/>
      </c>
      <c r="G1398">
        <f>IF(A1398="","",SUMIF(Tickets[TripKey],A1398,Tickets[PK]))</f>
        <v/>
      </c>
      <c r="H1398">
        <f>IF(A1398="","",IFERROR(XLOOKUP(A1398,Tickets[TripKey],Tickets[VehClean]),""))</f>
        <v/>
      </c>
      <c r="I1398">
        <f>IF(A1398="","",IFERROR(XLOOKUP(A1398,Tickets[TripKey],Tickets[RouteLen]),0))</f>
        <v/>
      </c>
      <c r="J1398">
        <f>IF(A1398="","",IFERROR(XLOOKUP(A1398,Tickets[TripKey],Tickets[Capacity]),0))</f>
        <v/>
      </c>
      <c r="K1398">
        <f>IF(A1398="","",I1398*J1398)</f>
        <v/>
      </c>
      <c r="L1398">
        <f>IF(A1398="","",IFERROR(MINIFS(Tickets[Trip Start Time],Tickets[TripKey],A1398),""))</f>
        <v/>
      </c>
    </row>
    <row r="1399">
      <c r="B1399" s="8">
        <f>IF(A1399="","",IFERROR(DATEVALUE(TEXTBEFORE(A1399,"|")),--LEFT(A1399,10)))</f>
        <v/>
      </c>
      <c r="C1399">
        <f>IF(A1399="","",TEXTBEFORE(TEXTAFTER(A1399,"|"),"|"))</f>
        <v/>
      </c>
      <c r="D1399">
        <f>IF(A1399="","",TEXTAFTER(A1399,"|",2))</f>
        <v/>
      </c>
      <c r="E1399">
        <f>IF(A1399="","",SUMIF(Tickets[TripKey],A1399,Tickets[TP]))</f>
        <v/>
      </c>
      <c r="F1399">
        <f>IF(A1399="","",SUMIF(Tickets[TripKey],A1399,Tickets[Revenue]))</f>
        <v/>
      </c>
      <c r="G1399">
        <f>IF(A1399="","",SUMIF(Tickets[TripKey],A1399,Tickets[PK]))</f>
        <v/>
      </c>
      <c r="H1399">
        <f>IF(A1399="","",IFERROR(XLOOKUP(A1399,Tickets[TripKey],Tickets[VehClean]),""))</f>
        <v/>
      </c>
      <c r="I1399">
        <f>IF(A1399="","",IFERROR(XLOOKUP(A1399,Tickets[TripKey],Tickets[RouteLen]),0))</f>
        <v/>
      </c>
      <c r="J1399">
        <f>IF(A1399="","",IFERROR(XLOOKUP(A1399,Tickets[TripKey],Tickets[Capacity]),0))</f>
        <v/>
      </c>
      <c r="K1399">
        <f>IF(A1399="","",I1399*J1399)</f>
        <v/>
      </c>
      <c r="L1399">
        <f>IF(A1399="","",IFERROR(MINIFS(Tickets[Trip Start Time],Tickets[TripKey],A1399),""))</f>
        <v/>
      </c>
    </row>
    <row r="1400">
      <c r="B1400" s="8">
        <f>IF(A1400="","",IFERROR(DATEVALUE(TEXTBEFORE(A1400,"|")),--LEFT(A1400,10)))</f>
        <v/>
      </c>
      <c r="C1400">
        <f>IF(A1400="","",TEXTBEFORE(TEXTAFTER(A1400,"|"),"|"))</f>
        <v/>
      </c>
      <c r="D1400">
        <f>IF(A1400="","",TEXTAFTER(A1400,"|",2))</f>
        <v/>
      </c>
      <c r="E1400">
        <f>IF(A1400="","",SUMIF(Tickets[TripKey],A1400,Tickets[TP]))</f>
        <v/>
      </c>
      <c r="F1400">
        <f>IF(A1400="","",SUMIF(Tickets[TripKey],A1400,Tickets[Revenue]))</f>
        <v/>
      </c>
      <c r="G1400">
        <f>IF(A1400="","",SUMIF(Tickets[TripKey],A1400,Tickets[PK]))</f>
        <v/>
      </c>
      <c r="H1400">
        <f>IF(A1400="","",IFERROR(XLOOKUP(A1400,Tickets[TripKey],Tickets[VehClean]),""))</f>
        <v/>
      </c>
      <c r="I1400">
        <f>IF(A1400="","",IFERROR(XLOOKUP(A1400,Tickets[TripKey],Tickets[RouteLen]),0))</f>
        <v/>
      </c>
      <c r="J1400">
        <f>IF(A1400="","",IFERROR(XLOOKUP(A1400,Tickets[TripKey],Tickets[Capacity]),0))</f>
        <v/>
      </c>
      <c r="K1400">
        <f>IF(A1400="","",I1400*J1400)</f>
        <v/>
      </c>
      <c r="L1400">
        <f>IF(A1400="","",IFERROR(MINIFS(Tickets[Trip Start Time],Tickets[TripKey],A1400),""))</f>
        <v/>
      </c>
    </row>
    <row r="1401">
      <c r="B1401" s="8">
        <f>IF(A1401="","",IFERROR(DATEVALUE(TEXTBEFORE(A1401,"|")),--LEFT(A1401,10)))</f>
        <v/>
      </c>
      <c r="C1401">
        <f>IF(A1401="","",TEXTBEFORE(TEXTAFTER(A1401,"|"),"|"))</f>
        <v/>
      </c>
      <c r="D1401">
        <f>IF(A1401="","",TEXTAFTER(A1401,"|",2))</f>
        <v/>
      </c>
      <c r="E1401">
        <f>IF(A1401="","",SUMIF(Tickets[TripKey],A1401,Tickets[TP]))</f>
        <v/>
      </c>
      <c r="F1401">
        <f>IF(A1401="","",SUMIF(Tickets[TripKey],A1401,Tickets[Revenue]))</f>
        <v/>
      </c>
      <c r="G1401">
        <f>IF(A1401="","",SUMIF(Tickets[TripKey],A1401,Tickets[PK]))</f>
        <v/>
      </c>
      <c r="H1401">
        <f>IF(A1401="","",IFERROR(XLOOKUP(A1401,Tickets[TripKey],Tickets[VehClean]),""))</f>
        <v/>
      </c>
      <c r="I1401">
        <f>IF(A1401="","",IFERROR(XLOOKUP(A1401,Tickets[TripKey],Tickets[RouteLen]),0))</f>
        <v/>
      </c>
      <c r="J1401">
        <f>IF(A1401="","",IFERROR(XLOOKUP(A1401,Tickets[TripKey],Tickets[Capacity]),0))</f>
        <v/>
      </c>
      <c r="K1401">
        <f>IF(A1401="","",I1401*J1401)</f>
        <v/>
      </c>
      <c r="L1401">
        <f>IF(A1401="","",IFERROR(MINIFS(Tickets[Trip Start Time],Tickets[TripKey],A1401),""))</f>
        <v/>
      </c>
    </row>
    <row r="1402">
      <c r="B1402" s="8">
        <f>IF(A1402="","",IFERROR(DATEVALUE(TEXTBEFORE(A1402,"|")),--LEFT(A1402,10)))</f>
        <v/>
      </c>
      <c r="C1402">
        <f>IF(A1402="","",TEXTBEFORE(TEXTAFTER(A1402,"|"),"|"))</f>
        <v/>
      </c>
      <c r="D1402">
        <f>IF(A1402="","",TEXTAFTER(A1402,"|",2))</f>
        <v/>
      </c>
      <c r="E1402">
        <f>IF(A1402="","",SUMIF(Tickets[TripKey],A1402,Tickets[TP]))</f>
        <v/>
      </c>
      <c r="F1402">
        <f>IF(A1402="","",SUMIF(Tickets[TripKey],A1402,Tickets[Revenue]))</f>
        <v/>
      </c>
      <c r="G1402">
        <f>IF(A1402="","",SUMIF(Tickets[TripKey],A1402,Tickets[PK]))</f>
        <v/>
      </c>
      <c r="H1402">
        <f>IF(A1402="","",IFERROR(XLOOKUP(A1402,Tickets[TripKey],Tickets[VehClean]),""))</f>
        <v/>
      </c>
      <c r="I1402">
        <f>IF(A1402="","",IFERROR(XLOOKUP(A1402,Tickets[TripKey],Tickets[RouteLen]),0))</f>
        <v/>
      </c>
      <c r="J1402">
        <f>IF(A1402="","",IFERROR(XLOOKUP(A1402,Tickets[TripKey],Tickets[Capacity]),0))</f>
        <v/>
      </c>
      <c r="K1402">
        <f>IF(A1402="","",I1402*J1402)</f>
        <v/>
      </c>
      <c r="L1402">
        <f>IF(A1402="","",IFERROR(MINIFS(Tickets[Trip Start Time],Tickets[TripKey],A1402),""))</f>
        <v/>
      </c>
    </row>
    <row r="1403">
      <c r="B1403" s="8">
        <f>IF(A1403="","",IFERROR(DATEVALUE(TEXTBEFORE(A1403,"|")),--LEFT(A1403,10)))</f>
        <v/>
      </c>
      <c r="C1403">
        <f>IF(A1403="","",TEXTBEFORE(TEXTAFTER(A1403,"|"),"|"))</f>
        <v/>
      </c>
      <c r="D1403">
        <f>IF(A1403="","",TEXTAFTER(A1403,"|",2))</f>
        <v/>
      </c>
      <c r="E1403">
        <f>IF(A1403="","",SUMIF(Tickets[TripKey],A1403,Tickets[TP]))</f>
        <v/>
      </c>
      <c r="F1403">
        <f>IF(A1403="","",SUMIF(Tickets[TripKey],A1403,Tickets[Revenue]))</f>
        <v/>
      </c>
      <c r="G1403">
        <f>IF(A1403="","",SUMIF(Tickets[TripKey],A1403,Tickets[PK]))</f>
        <v/>
      </c>
      <c r="H1403">
        <f>IF(A1403="","",IFERROR(XLOOKUP(A1403,Tickets[TripKey],Tickets[VehClean]),""))</f>
        <v/>
      </c>
      <c r="I1403">
        <f>IF(A1403="","",IFERROR(XLOOKUP(A1403,Tickets[TripKey],Tickets[RouteLen]),0))</f>
        <v/>
      </c>
      <c r="J1403">
        <f>IF(A1403="","",IFERROR(XLOOKUP(A1403,Tickets[TripKey],Tickets[Capacity]),0))</f>
        <v/>
      </c>
      <c r="K1403">
        <f>IF(A1403="","",I1403*J1403)</f>
        <v/>
      </c>
      <c r="L1403">
        <f>IF(A1403="","",IFERROR(MINIFS(Tickets[Trip Start Time],Tickets[TripKey],A1403),""))</f>
        <v/>
      </c>
    </row>
    <row r="1404">
      <c r="B1404" s="8">
        <f>IF(A1404="","",IFERROR(DATEVALUE(TEXTBEFORE(A1404,"|")),--LEFT(A1404,10)))</f>
        <v/>
      </c>
      <c r="C1404">
        <f>IF(A1404="","",TEXTBEFORE(TEXTAFTER(A1404,"|"),"|"))</f>
        <v/>
      </c>
      <c r="D1404">
        <f>IF(A1404="","",TEXTAFTER(A1404,"|",2))</f>
        <v/>
      </c>
      <c r="E1404">
        <f>IF(A1404="","",SUMIF(Tickets[TripKey],A1404,Tickets[TP]))</f>
        <v/>
      </c>
      <c r="F1404">
        <f>IF(A1404="","",SUMIF(Tickets[TripKey],A1404,Tickets[Revenue]))</f>
        <v/>
      </c>
      <c r="G1404">
        <f>IF(A1404="","",SUMIF(Tickets[TripKey],A1404,Tickets[PK]))</f>
        <v/>
      </c>
      <c r="H1404">
        <f>IF(A1404="","",IFERROR(XLOOKUP(A1404,Tickets[TripKey],Tickets[VehClean]),""))</f>
        <v/>
      </c>
      <c r="I1404">
        <f>IF(A1404="","",IFERROR(XLOOKUP(A1404,Tickets[TripKey],Tickets[RouteLen]),0))</f>
        <v/>
      </c>
      <c r="J1404">
        <f>IF(A1404="","",IFERROR(XLOOKUP(A1404,Tickets[TripKey],Tickets[Capacity]),0))</f>
        <v/>
      </c>
      <c r="K1404">
        <f>IF(A1404="","",I1404*J1404)</f>
        <v/>
      </c>
      <c r="L1404">
        <f>IF(A1404="","",IFERROR(MINIFS(Tickets[Trip Start Time],Tickets[TripKey],A1404),""))</f>
        <v/>
      </c>
    </row>
    <row r="1405">
      <c r="B1405" s="8">
        <f>IF(A1405="","",IFERROR(DATEVALUE(TEXTBEFORE(A1405,"|")),--LEFT(A1405,10)))</f>
        <v/>
      </c>
      <c r="C1405">
        <f>IF(A1405="","",TEXTBEFORE(TEXTAFTER(A1405,"|"),"|"))</f>
        <v/>
      </c>
      <c r="D1405">
        <f>IF(A1405="","",TEXTAFTER(A1405,"|",2))</f>
        <v/>
      </c>
      <c r="E1405">
        <f>IF(A1405="","",SUMIF(Tickets[TripKey],A1405,Tickets[TP]))</f>
        <v/>
      </c>
      <c r="F1405">
        <f>IF(A1405="","",SUMIF(Tickets[TripKey],A1405,Tickets[Revenue]))</f>
        <v/>
      </c>
      <c r="G1405">
        <f>IF(A1405="","",SUMIF(Tickets[TripKey],A1405,Tickets[PK]))</f>
        <v/>
      </c>
      <c r="H1405">
        <f>IF(A1405="","",IFERROR(XLOOKUP(A1405,Tickets[TripKey],Tickets[VehClean]),""))</f>
        <v/>
      </c>
      <c r="I1405">
        <f>IF(A1405="","",IFERROR(XLOOKUP(A1405,Tickets[TripKey],Tickets[RouteLen]),0))</f>
        <v/>
      </c>
      <c r="J1405">
        <f>IF(A1405="","",IFERROR(XLOOKUP(A1405,Tickets[TripKey],Tickets[Capacity]),0))</f>
        <v/>
      </c>
      <c r="K1405">
        <f>IF(A1405="","",I1405*J1405)</f>
        <v/>
      </c>
      <c r="L1405">
        <f>IF(A1405="","",IFERROR(MINIFS(Tickets[Trip Start Time],Tickets[TripKey],A1405),""))</f>
        <v/>
      </c>
    </row>
    <row r="1406">
      <c r="B1406" s="8">
        <f>IF(A1406="","",IFERROR(DATEVALUE(TEXTBEFORE(A1406,"|")),--LEFT(A1406,10)))</f>
        <v/>
      </c>
      <c r="C1406">
        <f>IF(A1406="","",TEXTBEFORE(TEXTAFTER(A1406,"|"),"|"))</f>
        <v/>
      </c>
      <c r="D1406">
        <f>IF(A1406="","",TEXTAFTER(A1406,"|",2))</f>
        <v/>
      </c>
      <c r="E1406">
        <f>IF(A1406="","",SUMIF(Tickets[TripKey],A1406,Tickets[TP]))</f>
        <v/>
      </c>
      <c r="F1406">
        <f>IF(A1406="","",SUMIF(Tickets[TripKey],A1406,Tickets[Revenue]))</f>
        <v/>
      </c>
      <c r="G1406">
        <f>IF(A1406="","",SUMIF(Tickets[TripKey],A1406,Tickets[PK]))</f>
        <v/>
      </c>
      <c r="H1406">
        <f>IF(A1406="","",IFERROR(XLOOKUP(A1406,Tickets[TripKey],Tickets[VehClean]),""))</f>
        <v/>
      </c>
      <c r="I1406">
        <f>IF(A1406="","",IFERROR(XLOOKUP(A1406,Tickets[TripKey],Tickets[RouteLen]),0))</f>
        <v/>
      </c>
      <c r="J1406">
        <f>IF(A1406="","",IFERROR(XLOOKUP(A1406,Tickets[TripKey],Tickets[Capacity]),0))</f>
        <v/>
      </c>
      <c r="K1406">
        <f>IF(A1406="","",I1406*J1406)</f>
        <v/>
      </c>
      <c r="L1406">
        <f>IF(A1406="","",IFERROR(MINIFS(Tickets[Trip Start Time],Tickets[TripKey],A1406),""))</f>
        <v/>
      </c>
    </row>
    <row r="1407">
      <c r="B1407" s="8">
        <f>IF(A1407="","",IFERROR(DATEVALUE(TEXTBEFORE(A1407,"|")),--LEFT(A1407,10)))</f>
        <v/>
      </c>
      <c r="C1407">
        <f>IF(A1407="","",TEXTBEFORE(TEXTAFTER(A1407,"|"),"|"))</f>
        <v/>
      </c>
      <c r="D1407">
        <f>IF(A1407="","",TEXTAFTER(A1407,"|",2))</f>
        <v/>
      </c>
      <c r="E1407">
        <f>IF(A1407="","",SUMIF(Tickets[TripKey],A1407,Tickets[TP]))</f>
        <v/>
      </c>
      <c r="F1407">
        <f>IF(A1407="","",SUMIF(Tickets[TripKey],A1407,Tickets[Revenue]))</f>
        <v/>
      </c>
      <c r="G1407">
        <f>IF(A1407="","",SUMIF(Tickets[TripKey],A1407,Tickets[PK]))</f>
        <v/>
      </c>
      <c r="H1407">
        <f>IF(A1407="","",IFERROR(XLOOKUP(A1407,Tickets[TripKey],Tickets[VehClean]),""))</f>
        <v/>
      </c>
      <c r="I1407">
        <f>IF(A1407="","",IFERROR(XLOOKUP(A1407,Tickets[TripKey],Tickets[RouteLen]),0))</f>
        <v/>
      </c>
      <c r="J1407">
        <f>IF(A1407="","",IFERROR(XLOOKUP(A1407,Tickets[TripKey],Tickets[Capacity]),0))</f>
        <v/>
      </c>
      <c r="K1407">
        <f>IF(A1407="","",I1407*J1407)</f>
        <v/>
      </c>
      <c r="L1407">
        <f>IF(A1407="","",IFERROR(MINIFS(Tickets[Trip Start Time],Tickets[TripKey],A1407),""))</f>
        <v/>
      </c>
    </row>
    <row r="1408">
      <c r="B1408" s="8">
        <f>IF(A1408="","",IFERROR(DATEVALUE(TEXTBEFORE(A1408,"|")),--LEFT(A1408,10)))</f>
        <v/>
      </c>
      <c r="C1408">
        <f>IF(A1408="","",TEXTBEFORE(TEXTAFTER(A1408,"|"),"|"))</f>
        <v/>
      </c>
      <c r="D1408">
        <f>IF(A1408="","",TEXTAFTER(A1408,"|",2))</f>
        <v/>
      </c>
      <c r="E1408">
        <f>IF(A1408="","",SUMIF(Tickets[TripKey],A1408,Tickets[TP]))</f>
        <v/>
      </c>
      <c r="F1408">
        <f>IF(A1408="","",SUMIF(Tickets[TripKey],A1408,Tickets[Revenue]))</f>
        <v/>
      </c>
      <c r="G1408">
        <f>IF(A1408="","",SUMIF(Tickets[TripKey],A1408,Tickets[PK]))</f>
        <v/>
      </c>
      <c r="H1408">
        <f>IF(A1408="","",IFERROR(XLOOKUP(A1408,Tickets[TripKey],Tickets[VehClean]),""))</f>
        <v/>
      </c>
      <c r="I1408">
        <f>IF(A1408="","",IFERROR(XLOOKUP(A1408,Tickets[TripKey],Tickets[RouteLen]),0))</f>
        <v/>
      </c>
      <c r="J1408">
        <f>IF(A1408="","",IFERROR(XLOOKUP(A1408,Tickets[TripKey],Tickets[Capacity]),0))</f>
        <v/>
      </c>
      <c r="K1408">
        <f>IF(A1408="","",I1408*J1408)</f>
        <v/>
      </c>
      <c r="L1408">
        <f>IF(A1408="","",IFERROR(MINIFS(Tickets[Trip Start Time],Tickets[TripKey],A1408),""))</f>
        <v/>
      </c>
    </row>
    <row r="1409">
      <c r="B1409" s="8">
        <f>IF(A1409="","",IFERROR(DATEVALUE(TEXTBEFORE(A1409,"|")),--LEFT(A1409,10)))</f>
        <v/>
      </c>
      <c r="C1409">
        <f>IF(A1409="","",TEXTBEFORE(TEXTAFTER(A1409,"|"),"|"))</f>
        <v/>
      </c>
      <c r="D1409">
        <f>IF(A1409="","",TEXTAFTER(A1409,"|",2))</f>
        <v/>
      </c>
      <c r="E1409">
        <f>IF(A1409="","",SUMIF(Tickets[TripKey],A1409,Tickets[TP]))</f>
        <v/>
      </c>
      <c r="F1409">
        <f>IF(A1409="","",SUMIF(Tickets[TripKey],A1409,Tickets[Revenue]))</f>
        <v/>
      </c>
      <c r="G1409">
        <f>IF(A1409="","",SUMIF(Tickets[TripKey],A1409,Tickets[PK]))</f>
        <v/>
      </c>
      <c r="H1409">
        <f>IF(A1409="","",IFERROR(XLOOKUP(A1409,Tickets[TripKey],Tickets[VehClean]),""))</f>
        <v/>
      </c>
      <c r="I1409">
        <f>IF(A1409="","",IFERROR(XLOOKUP(A1409,Tickets[TripKey],Tickets[RouteLen]),0))</f>
        <v/>
      </c>
      <c r="J1409">
        <f>IF(A1409="","",IFERROR(XLOOKUP(A1409,Tickets[TripKey],Tickets[Capacity]),0))</f>
        <v/>
      </c>
      <c r="K1409">
        <f>IF(A1409="","",I1409*J1409)</f>
        <v/>
      </c>
      <c r="L1409">
        <f>IF(A1409="","",IFERROR(MINIFS(Tickets[Trip Start Time],Tickets[TripKey],A1409),""))</f>
        <v/>
      </c>
    </row>
    <row r="1410">
      <c r="B1410" s="8">
        <f>IF(A1410="","",IFERROR(DATEVALUE(TEXTBEFORE(A1410,"|")),--LEFT(A1410,10)))</f>
        <v/>
      </c>
      <c r="C1410">
        <f>IF(A1410="","",TEXTBEFORE(TEXTAFTER(A1410,"|"),"|"))</f>
        <v/>
      </c>
      <c r="D1410">
        <f>IF(A1410="","",TEXTAFTER(A1410,"|",2))</f>
        <v/>
      </c>
      <c r="E1410">
        <f>IF(A1410="","",SUMIF(Tickets[TripKey],A1410,Tickets[TP]))</f>
        <v/>
      </c>
      <c r="F1410">
        <f>IF(A1410="","",SUMIF(Tickets[TripKey],A1410,Tickets[Revenue]))</f>
        <v/>
      </c>
      <c r="G1410">
        <f>IF(A1410="","",SUMIF(Tickets[TripKey],A1410,Tickets[PK]))</f>
        <v/>
      </c>
      <c r="H1410">
        <f>IF(A1410="","",IFERROR(XLOOKUP(A1410,Tickets[TripKey],Tickets[VehClean]),""))</f>
        <v/>
      </c>
      <c r="I1410">
        <f>IF(A1410="","",IFERROR(XLOOKUP(A1410,Tickets[TripKey],Tickets[RouteLen]),0))</f>
        <v/>
      </c>
      <c r="J1410">
        <f>IF(A1410="","",IFERROR(XLOOKUP(A1410,Tickets[TripKey],Tickets[Capacity]),0))</f>
        <v/>
      </c>
      <c r="K1410">
        <f>IF(A1410="","",I1410*J1410)</f>
        <v/>
      </c>
      <c r="L1410">
        <f>IF(A1410="","",IFERROR(MINIFS(Tickets[Trip Start Time],Tickets[TripKey],A1410),""))</f>
        <v/>
      </c>
    </row>
    <row r="1411">
      <c r="B1411" s="8">
        <f>IF(A1411="","",IFERROR(DATEVALUE(TEXTBEFORE(A1411,"|")),--LEFT(A1411,10)))</f>
        <v/>
      </c>
      <c r="C1411">
        <f>IF(A1411="","",TEXTBEFORE(TEXTAFTER(A1411,"|"),"|"))</f>
        <v/>
      </c>
      <c r="D1411">
        <f>IF(A1411="","",TEXTAFTER(A1411,"|",2))</f>
        <v/>
      </c>
      <c r="E1411">
        <f>IF(A1411="","",SUMIF(Tickets[TripKey],A1411,Tickets[TP]))</f>
        <v/>
      </c>
      <c r="F1411">
        <f>IF(A1411="","",SUMIF(Tickets[TripKey],A1411,Tickets[Revenue]))</f>
        <v/>
      </c>
      <c r="G1411">
        <f>IF(A1411="","",SUMIF(Tickets[TripKey],A1411,Tickets[PK]))</f>
        <v/>
      </c>
      <c r="H1411">
        <f>IF(A1411="","",IFERROR(XLOOKUP(A1411,Tickets[TripKey],Tickets[VehClean]),""))</f>
        <v/>
      </c>
      <c r="I1411">
        <f>IF(A1411="","",IFERROR(XLOOKUP(A1411,Tickets[TripKey],Tickets[RouteLen]),0))</f>
        <v/>
      </c>
      <c r="J1411">
        <f>IF(A1411="","",IFERROR(XLOOKUP(A1411,Tickets[TripKey],Tickets[Capacity]),0))</f>
        <v/>
      </c>
      <c r="K1411">
        <f>IF(A1411="","",I1411*J1411)</f>
        <v/>
      </c>
      <c r="L1411">
        <f>IF(A1411="","",IFERROR(MINIFS(Tickets[Trip Start Time],Tickets[TripKey],A1411),""))</f>
        <v/>
      </c>
    </row>
    <row r="1412">
      <c r="B1412" s="8">
        <f>IF(A1412="","",IFERROR(DATEVALUE(TEXTBEFORE(A1412,"|")),--LEFT(A1412,10)))</f>
        <v/>
      </c>
      <c r="C1412">
        <f>IF(A1412="","",TEXTBEFORE(TEXTAFTER(A1412,"|"),"|"))</f>
        <v/>
      </c>
      <c r="D1412">
        <f>IF(A1412="","",TEXTAFTER(A1412,"|",2))</f>
        <v/>
      </c>
      <c r="E1412">
        <f>IF(A1412="","",SUMIF(Tickets[TripKey],A1412,Tickets[TP]))</f>
        <v/>
      </c>
      <c r="F1412">
        <f>IF(A1412="","",SUMIF(Tickets[TripKey],A1412,Tickets[Revenue]))</f>
        <v/>
      </c>
      <c r="G1412">
        <f>IF(A1412="","",SUMIF(Tickets[TripKey],A1412,Tickets[PK]))</f>
        <v/>
      </c>
      <c r="H1412">
        <f>IF(A1412="","",IFERROR(XLOOKUP(A1412,Tickets[TripKey],Tickets[VehClean]),""))</f>
        <v/>
      </c>
      <c r="I1412">
        <f>IF(A1412="","",IFERROR(XLOOKUP(A1412,Tickets[TripKey],Tickets[RouteLen]),0))</f>
        <v/>
      </c>
      <c r="J1412">
        <f>IF(A1412="","",IFERROR(XLOOKUP(A1412,Tickets[TripKey],Tickets[Capacity]),0))</f>
        <v/>
      </c>
      <c r="K1412">
        <f>IF(A1412="","",I1412*J1412)</f>
        <v/>
      </c>
      <c r="L1412">
        <f>IF(A1412="","",IFERROR(MINIFS(Tickets[Trip Start Time],Tickets[TripKey],A1412),""))</f>
        <v/>
      </c>
    </row>
    <row r="1413">
      <c r="B1413" s="8">
        <f>IF(A1413="","",IFERROR(DATEVALUE(TEXTBEFORE(A1413,"|")),--LEFT(A1413,10)))</f>
        <v/>
      </c>
      <c r="C1413">
        <f>IF(A1413="","",TEXTBEFORE(TEXTAFTER(A1413,"|"),"|"))</f>
        <v/>
      </c>
      <c r="D1413">
        <f>IF(A1413="","",TEXTAFTER(A1413,"|",2))</f>
        <v/>
      </c>
      <c r="E1413">
        <f>IF(A1413="","",SUMIF(Tickets[TripKey],A1413,Tickets[TP]))</f>
        <v/>
      </c>
      <c r="F1413">
        <f>IF(A1413="","",SUMIF(Tickets[TripKey],A1413,Tickets[Revenue]))</f>
        <v/>
      </c>
      <c r="G1413">
        <f>IF(A1413="","",SUMIF(Tickets[TripKey],A1413,Tickets[PK]))</f>
        <v/>
      </c>
      <c r="H1413">
        <f>IF(A1413="","",IFERROR(XLOOKUP(A1413,Tickets[TripKey],Tickets[VehClean]),""))</f>
        <v/>
      </c>
      <c r="I1413">
        <f>IF(A1413="","",IFERROR(XLOOKUP(A1413,Tickets[TripKey],Tickets[RouteLen]),0))</f>
        <v/>
      </c>
      <c r="J1413">
        <f>IF(A1413="","",IFERROR(XLOOKUP(A1413,Tickets[TripKey],Tickets[Capacity]),0))</f>
        <v/>
      </c>
      <c r="K1413">
        <f>IF(A1413="","",I1413*J1413)</f>
        <v/>
      </c>
      <c r="L1413">
        <f>IF(A1413="","",IFERROR(MINIFS(Tickets[Trip Start Time],Tickets[TripKey],A1413),""))</f>
        <v/>
      </c>
    </row>
    <row r="1414">
      <c r="B1414" s="8">
        <f>IF(A1414="","",IFERROR(DATEVALUE(TEXTBEFORE(A1414,"|")),--LEFT(A1414,10)))</f>
        <v/>
      </c>
      <c r="C1414">
        <f>IF(A1414="","",TEXTBEFORE(TEXTAFTER(A1414,"|"),"|"))</f>
        <v/>
      </c>
      <c r="D1414">
        <f>IF(A1414="","",TEXTAFTER(A1414,"|",2))</f>
        <v/>
      </c>
      <c r="E1414">
        <f>IF(A1414="","",SUMIF(Tickets[TripKey],A1414,Tickets[TP]))</f>
        <v/>
      </c>
      <c r="F1414">
        <f>IF(A1414="","",SUMIF(Tickets[TripKey],A1414,Tickets[Revenue]))</f>
        <v/>
      </c>
      <c r="G1414">
        <f>IF(A1414="","",SUMIF(Tickets[TripKey],A1414,Tickets[PK]))</f>
        <v/>
      </c>
      <c r="H1414">
        <f>IF(A1414="","",IFERROR(XLOOKUP(A1414,Tickets[TripKey],Tickets[VehClean]),""))</f>
        <v/>
      </c>
      <c r="I1414">
        <f>IF(A1414="","",IFERROR(XLOOKUP(A1414,Tickets[TripKey],Tickets[RouteLen]),0))</f>
        <v/>
      </c>
      <c r="J1414">
        <f>IF(A1414="","",IFERROR(XLOOKUP(A1414,Tickets[TripKey],Tickets[Capacity]),0))</f>
        <v/>
      </c>
      <c r="K1414">
        <f>IF(A1414="","",I1414*J1414)</f>
        <v/>
      </c>
      <c r="L1414">
        <f>IF(A1414="","",IFERROR(MINIFS(Tickets[Trip Start Time],Tickets[TripKey],A1414),""))</f>
        <v/>
      </c>
    </row>
    <row r="1415">
      <c r="B1415" s="8">
        <f>IF(A1415="","",IFERROR(DATEVALUE(TEXTBEFORE(A1415,"|")),--LEFT(A1415,10)))</f>
        <v/>
      </c>
      <c r="C1415">
        <f>IF(A1415="","",TEXTBEFORE(TEXTAFTER(A1415,"|"),"|"))</f>
        <v/>
      </c>
      <c r="D1415">
        <f>IF(A1415="","",TEXTAFTER(A1415,"|",2))</f>
        <v/>
      </c>
      <c r="E1415">
        <f>IF(A1415="","",SUMIF(Tickets[TripKey],A1415,Tickets[TP]))</f>
        <v/>
      </c>
      <c r="F1415">
        <f>IF(A1415="","",SUMIF(Tickets[TripKey],A1415,Tickets[Revenue]))</f>
        <v/>
      </c>
      <c r="G1415">
        <f>IF(A1415="","",SUMIF(Tickets[TripKey],A1415,Tickets[PK]))</f>
        <v/>
      </c>
      <c r="H1415">
        <f>IF(A1415="","",IFERROR(XLOOKUP(A1415,Tickets[TripKey],Tickets[VehClean]),""))</f>
        <v/>
      </c>
      <c r="I1415">
        <f>IF(A1415="","",IFERROR(XLOOKUP(A1415,Tickets[TripKey],Tickets[RouteLen]),0))</f>
        <v/>
      </c>
      <c r="J1415">
        <f>IF(A1415="","",IFERROR(XLOOKUP(A1415,Tickets[TripKey],Tickets[Capacity]),0))</f>
        <v/>
      </c>
      <c r="K1415">
        <f>IF(A1415="","",I1415*J1415)</f>
        <v/>
      </c>
      <c r="L1415">
        <f>IF(A1415="","",IFERROR(MINIFS(Tickets[Trip Start Time],Tickets[TripKey],A1415),""))</f>
        <v/>
      </c>
    </row>
    <row r="1416">
      <c r="B1416" s="8">
        <f>IF(A1416="","",IFERROR(DATEVALUE(TEXTBEFORE(A1416,"|")),--LEFT(A1416,10)))</f>
        <v/>
      </c>
      <c r="C1416">
        <f>IF(A1416="","",TEXTBEFORE(TEXTAFTER(A1416,"|"),"|"))</f>
        <v/>
      </c>
      <c r="D1416">
        <f>IF(A1416="","",TEXTAFTER(A1416,"|",2))</f>
        <v/>
      </c>
      <c r="E1416">
        <f>IF(A1416="","",SUMIF(Tickets[TripKey],A1416,Tickets[TP]))</f>
        <v/>
      </c>
      <c r="F1416">
        <f>IF(A1416="","",SUMIF(Tickets[TripKey],A1416,Tickets[Revenue]))</f>
        <v/>
      </c>
      <c r="G1416">
        <f>IF(A1416="","",SUMIF(Tickets[TripKey],A1416,Tickets[PK]))</f>
        <v/>
      </c>
      <c r="H1416">
        <f>IF(A1416="","",IFERROR(XLOOKUP(A1416,Tickets[TripKey],Tickets[VehClean]),""))</f>
        <v/>
      </c>
      <c r="I1416">
        <f>IF(A1416="","",IFERROR(XLOOKUP(A1416,Tickets[TripKey],Tickets[RouteLen]),0))</f>
        <v/>
      </c>
      <c r="J1416">
        <f>IF(A1416="","",IFERROR(XLOOKUP(A1416,Tickets[TripKey],Tickets[Capacity]),0))</f>
        <v/>
      </c>
      <c r="K1416">
        <f>IF(A1416="","",I1416*J1416)</f>
        <v/>
      </c>
      <c r="L1416">
        <f>IF(A1416="","",IFERROR(MINIFS(Tickets[Trip Start Time],Tickets[TripKey],A1416),""))</f>
        <v/>
      </c>
    </row>
    <row r="1417">
      <c r="B1417" s="8">
        <f>IF(A1417="","",IFERROR(DATEVALUE(TEXTBEFORE(A1417,"|")),--LEFT(A1417,10)))</f>
        <v/>
      </c>
      <c r="C1417">
        <f>IF(A1417="","",TEXTBEFORE(TEXTAFTER(A1417,"|"),"|"))</f>
        <v/>
      </c>
      <c r="D1417">
        <f>IF(A1417="","",TEXTAFTER(A1417,"|",2))</f>
        <v/>
      </c>
      <c r="E1417">
        <f>IF(A1417="","",SUMIF(Tickets[TripKey],A1417,Tickets[TP]))</f>
        <v/>
      </c>
      <c r="F1417">
        <f>IF(A1417="","",SUMIF(Tickets[TripKey],A1417,Tickets[Revenue]))</f>
        <v/>
      </c>
      <c r="G1417">
        <f>IF(A1417="","",SUMIF(Tickets[TripKey],A1417,Tickets[PK]))</f>
        <v/>
      </c>
      <c r="H1417">
        <f>IF(A1417="","",IFERROR(XLOOKUP(A1417,Tickets[TripKey],Tickets[VehClean]),""))</f>
        <v/>
      </c>
      <c r="I1417">
        <f>IF(A1417="","",IFERROR(XLOOKUP(A1417,Tickets[TripKey],Tickets[RouteLen]),0))</f>
        <v/>
      </c>
      <c r="J1417">
        <f>IF(A1417="","",IFERROR(XLOOKUP(A1417,Tickets[TripKey],Tickets[Capacity]),0))</f>
        <v/>
      </c>
      <c r="K1417">
        <f>IF(A1417="","",I1417*J1417)</f>
        <v/>
      </c>
      <c r="L1417">
        <f>IF(A1417="","",IFERROR(MINIFS(Tickets[Trip Start Time],Tickets[TripKey],A1417),""))</f>
        <v/>
      </c>
    </row>
    <row r="1418">
      <c r="B1418" s="8">
        <f>IF(A1418="","",IFERROR(DATEVALUE(TEXTBEFORE(A1418,"|")),--LEFT(A1418,10)))</f>
        <v/>
      </c>
      <c r="C1418">
        <f>IF(A1418="","",TEXTBEFORE(TEXTAFTER(A1418,"|"),"|"))</f>
        <v/>
      </c>
      <c r="D1418">
        <f>IF(A1418="","",TEXTAFTER(A1418,"|",2))</f>
        <v/>
      </c>
      <c r="E1418">
        <f>IF(A1418="","",SUMIF(Tickets[TripKey],A1418,Tickets[TP]))</f>
        <v/>
      </c>
      <c r="F1418">
        <f>IF(A1418="","",SUMIF(Tickets[TripKey],A1418,Tickets[Revenue]))</f>
        <v/>
      </c>
      <c r="G1418">
        <f>IF(A1418="","",SUMIF(Tickets[TripKey],A1418,Tickets[PK]))</f>
        <v/>
      </c>
      <c r="H1418">
        <f>IF(A1418="","",IFERROR(XLOOKUP(A1418,Tickets[TripKey],Tickets[VehClean]),""))</f>
        <v/>
      </c>
      <c r="I1418">
        <f>IF(A1418="","",IFERROR(XLOOKUP(A1418,Tickets[TripKey],Tickets[RouteLen]),0))</f>
        <v/>
      </c>
      <c r="J1418">
        <f>IF(A1418="","",IFERROR(XLOOKUP(A1418,Tickets[TripKey],Tickets[Capacity]),0))</f>
        <v/>
      </c>
      <c r="K1418">
        <f>IF(A1418="","",I1418*J1418)</f>
        <v/>
      </c>
      <c r="L1418">
        <f>IF(A1418="","",IFERROR(MINIFS(Tickets[Trip Start Time],Tickets[TripKey],A1418),""))</f>
        <v/>
      </c>
    </row>
    <row r="1419">
      <c r="B1419" s="8">
        <f>IF(A1419="","",IFERROR(DATEVALUE(TEXTBEFORE(A1419,"|")),--LEFT(A1419,10)))</f>
        <v/>
      </c>
      <c r="C1419">
        <f>IF(A1419="","",TEXTBEFORE(TEXTAFTER(A1419,"|"),"|"))</f>
        <v/>
      </c>
      <c r="D1419">
        <f>IF(A1419="","",TEXTAFTER(A1419,"|",2))</f>
        <v/>
      </c>
      <c r="E1419">
        <f>IF(A1419="","",SUMIF(Tickets[TripKey],A1419,Tickets[TP]))</f>
        <v/>
      </c>
      <c r="F1419">
        <f>IF(A1419="","",SUMIF(Tickets[TripKey],A1419,Tickets[Revenue]))</f>
        <v/>
      </c>
      <c r="G1419">
        <f>IF(A1419="","",SUMIF(Tickets[TripKey],A1419,Tickets[PK]))</f>
        <v/>
      </c>
      <c r="H1419">
        <f>IF(A1419="","",IFERROR(XLOOKUP(A1419,Tickets[TripKey],Tickets[VehClean]),""))</f>
        <v/>
      </c>
      <c r="I1419">
        <f>IF(A1419="","",IFERROR(XLOOKUP(A1419,Tickets[TripKey],Tickets[RouteLen]),0))</f>
        <v/>
      </c>
      <c r="J1419">
        <f>IF(A1419="","",IFERROR(XLOOKUP(A1419,Tickets[TripKey],Tickets[Capacity]),0))</f>
        <v/>
      </c>
      <c r="K1419">
        <f>IF(A1419="","",I1419*J1419)</f>
        <v/>
      </c>
      <c r="L1419">
        <f>IF(A1419="","",IFERROR(MINIFS(Tickets[Trip Start Time],Tickets[TripKey],A1419),""))</f>
        <v/>
      </c>
    </row>
    <row r="1420">
      <c r="B1420" s="8">
        <f>IF(A1420="","",IFERROR(DATEVALUE(TEXTBEFORE(A1420,"|")),--LEFT(A1420,10)))</f>
        <v/>
      </c>
      <c r="C1420">
        <f>IF(A1420="","",TEXTBEFORE(TEXTAFTER(A1420,"|"),"|"))</f>
        <v/>
      </c>
      <c r="D1420">
        <f>IF(A1420="","",TEXTAFTER(A1420,"|",2))</f>
        <v/>
      </c>
      <c r="E1420">
        <f>IF(A1420="","",SUMIF(Tickets[TripKey],A1420,Tickets[TP]))</f>
        <v/>
      </c>
      <c r="F1420">
        <f>IF(A1420="","",SUMIF(Tickets[TripKey],A1420,Tickets[Revenue]))</f>
        <v/>
      </c>
      <c r="G1420">
        <f>IF(A1420="","",SUMIF(Tickets[TripKey],A1420,Tickets[PK]))</f>
        <v/>
      </c>
      <c r="H1420">
        <f>IF(A1420="","",IFERROR(XLOOKUP(A1420,Tickets[TripKey],Tickets[VehClean]),""))</f>
        <v/>
      </c>
      <c r="I1420">
        <f>IF(A1420="","",IFERROR(XLOOKUP(A1420,Tickets[TripKey],Tickets[RouteLen]),0))</f>
        <v/>
      </c>
      <c r="J1420">
        <f>IF(A1420="","",IFERROR(XLOOKUP(A1420,Tickets[TripKey],Tickets[Capacity]),0))</f>
        <v/>
      </c>
      <c r="K1420">
        <f>IF(A1420="","",I1420*J1420)</f>
        <v/>
      </c>
      <c r="L1420">
        <f>IF(A1420="","",IFERROR(MINIFS(Tickets[Trip Start Time],Tickets[TripKey],A1420),""))</f>
        <v/>
      </c>
    </row>
    <row r="1421">
      <c r="B1421" s="8">
        <f>IF(A1421="","",IFERROR(DATEVALUE(TEXTBEFORE(A1421,"|")),--LEFT(A1421,10)))</f>
        <v/>
      </c>
      <c r="C1421">
        <f>IF(A1421="","",TEXTBEFORE(TEXTAFTER(A1421,"|"),"|"))</f>
        <v/>
      </c>
      <c r="D1421">
        <f>IF(A1421="","",TEXTAFTER(A1421,"|",2))</f>
        <v/>
      </c>
      <c r="E1421">
        <f>IF(A1421="","",SUMIF(Tickets[TripKey],A1421,Tickets[TP]))</f>
        <v/>
      </c>
      <c r="F1421">
        <f>IF(A1421="","",SUMIF(Tickets[TripKey],A1421,Tickets[Revenue]))</f>
        <v/>
      </c>
      <c r="G1421">
        <f>IF(A1421="","",SUMIF(Tickets[TripKey],A1421,Tickets[PK]))</f>
        <v/>
      </c>
      <c r="H1421">
        <f>IF(A1421="","",IFERROR(XLOOKUP(A1421,Tickets[TripKey],Tickets[VehClean]),""))</f>
        <v/>
      </c>
      <c r="I1421">
        <f>IF(A1421="","",IFERROR(XLOOKUP(A1421,Tickets[TripKey],Tickets[RouteLen]),0))</f>
        <v/>
      </c>
      <c r="J1421">
        <f>IF(A1421="","",IFERROR(XLOOKUP(A1421,Tickets[TripKey],Tickets[Capacity]),0))</f>
        <v/>
      </c>
      <c r="K1421">
        <f>IF(A1421="","",I1421*J1421)</f>
        <v/>
      </c>
      <c r="L1421">
        <f>IF(A1421="","",IFERROR(MINIFS(Tickets[Trip Start Time],Tickets[TripKey],A1421),""))</f>
        <v/>
      </c>
    </row>
    <row r="1422">
      <c r="B1422" s="8">
        <f>IF(A1422="","",IFERROR(DATEVALUE(TEXTBEFORE(A1422,"|")),--LEFT(A1422,10)))</f>
        <v/>
      </c>
      <c r="C1422">
        <f>IF(A1422="","",TEXTBEFORE(TEXTAFTER(A1422,"|"),"|"))</f>
        <v/>
      </c>
      <c r="D1422">
        <f>IF(A1422="","",TEXTAFTER(A1422,"|",2))</f>
        <v/>
      </c>
      <c r="E1422">
        <f>IF(A1422="","",SUMIF(Tickets[TripKey],A1422,Tickets[TP]))</f>
        <v/>
      </c>
      <c r="F1422">
        <f>IF(A1422="","",SUMIF(Tickets[TripKey],A1422,Tickets[Revenue]))</f>
        <v/>
      </c>
      <c r="G1422">
        <f>IF(A1422="","",SUMIF(Tickets[TripKey],A1422,Tickets[PK]))</f>
        <v/>
      </c>
      <c r="H1422">
        <f>IF(A1422="","",IFERROR(XLOOKUP(A1422,Tickets[TripKey],Tickets[VehClean]),""))</f>
        <v/>
      </c>
      <c r="I1422">
        <f>IF(A1422="","",IFERROR(XLOOKUP(A1422,Tickets[TripKey],Tickets[RouteLen]),0))</f>
        <v/>
      </c>
      <c r="J1422">
        <f>IF(A1422="","",IFERROR(XLOOKUP(A1422,Tickets[TripKey],Tickets[Capacity]),0))</f>
        <v/>
      </c>
      <c r="K1422">
        <f>IF(A1422="","",I1422*J1422)</f>
        <v/>
      </c>
      <c r="L1422">
        <f>IF(A1422="","",IFERROR(MINIFS(Tickets[Trip Start Time],Tickets[TripKey],A1422),""))</f>
        <v/>
      </c>
    </row>
    <row r="1423">
      <c r="B1423" s="8">
        <f>IF(A1423="","",IFERROR(DATEVALUE(TEXTBEFORE(A1423,"|")),--LEFT(A1423,10)))</f>
        <v/>
      </c>
      <c r="C1423">
        <f>IF(A1423="","",TEXTBEFORE(TEXTAFTER(A1423,"|"),"|"))</f>
        <v/>
      </c>
      <c r="D1423">
        <f>IF(A1423="","",TEXTAFTER(A1423,"|",2))</f>
        <v/>
      </c>
      <c r="E1423">
        <f>IF(A1423="","",SUMIF(Tickets[TripKey],A1423,Tickets[TP]))</f>
        <v/>
      </c>
      <c r="F1423">
        <f>IF(A1423="","",SUMIF(Tickets[TripKey],A1423,Tickets[Revenue]))</f>
        <v/>
      </c>
      <c r="G1423">
        <f>IF(A1423="","",SUMIF(Tickets[TripKey],A1423,Tickets[PK]))</f>
        <v/>
      </c>
      <c r="H1423">
        <f>IF(A1423="","",IFERROR(XLOOKUP(A1423,Tickets[TripKey],Tickets[VehClean]),""))</f>
        <v/>
      </c>
      <c r="I1423">
        <f>IF(A1423="","",IFERROR(XLOOKUP(A1423,Tickets[TripKey],Tickets[RouteLen]),0))</f>
        <v/>
      </c>
      <c r="J1423">
        <f>IF(A1423="","",IFERROR(XLOOKUP(A1423,Tickets[TripKey],Tickets[Capacity]),0))</f>
        <v/>
      </c>
      <c r="K1423">
        <f>IF(A1423="","",I1423*J1423)</f>
        <v/>
      </c>
      <c r="L1423">
        <f>IF(A1423="","",IFERROR(MINIFS(Tickets[Trip Start Time],Tickets[TripKey],A1423),""))</f>
        <v/>
      </c>
    </row>
    <row r="1424">
      <c r="B1424" s="8">
        <f>IF(A1424="","",IFERROR(DATEVALUE(TEXTBEFORE(A1424,"|")),--LEFT(A1424,10)))</f>
        <v/>
      </c>
      <c r="C1424">
        <f>IF(A1424="","",TEXTBEFORE(TEXTAFTER(A1424,"|"),"|"))</f>
        <v/>
      </c>
      <c r="D1424">
        <f>IF(A1424="","",TEXTAFTER(A1424,"|",2))</f>
        <v/>
      </c>
      <c r="E1424">
        <f>IF(A1424="","",SUMIF(Tickets[TripKey],A1424,Tickets[TP]))</f>
        <v/>
      </c>
      <c r="F1424">
        <f>IF(A1424="","",SUMIF(Tickets[TripKey],A1424,Tickets[Revenue]))</f>
        <v/>
      </c>
      <c r="G1424">
        <f>IF(A1424="","",SUMIF(Tickets[TripKey],A1424,Tickets[PK]))</f>
        <v/>
      </c>
      <c r="H1424">
        <f>IF(A1424="","",IFERROR(XLOOKUP(A1424,Tickets[TripKey],Tickets[VehClean]),""))</f>
        <v/>
      </c>
      <c r="I1424">
        <f>IF(A1424="","",IFERROR(XLOOKUP(A1424,Tickets[TripKey],Tickets[RouteLen]),0))</f>
        <v/>
      </c>
      <c r="J1424">
        <f>IF(A1424="","",IFERROR(XLOOKUP(A1424,Tickets[TripKey],Tickets[Capacity]),0))</f>
        <v/>
      </c>
      <c r="K1424">
        <f>IF(A1424="","",I1424*J1424)</f>
        <v/>
      </c>
      <c r="L1424">
        <f>IF(A1424="","",IFERROR(MINIFS(Tickets[Trip Start Time],Tickets[TripKey],A1424),""))</f>
        <v/>
      </c>
    </row>
    <row r="1425">
      <c r="B1425" s="8">
        <f>IF(A1425="","",IFERROR(DATEVALUE(TEXTBEFORE(A1425,"|")),--LEFT(A1425,10)))</f>
        <v/>
      </c>
      <c r="C1425">
        <f>IF(A1425="","",TEXTBEFORE(TEXTAFTER(A1425,"|"),"|"))</f>
        <v/>
      </c>
      <c r="D1425">
        <f>IF(A1425="","",TEXTAFTER(A1425,"|",2))</f>
        <v/>
      </c>
      <c r="E1425">
        <f>IF(A1425="","",SUMIF(Tickets[TripKey],A1425,Tickets[TP]))</f>
        <v/>
      </c>
      <c r="F1425">
        <f>IF(A1425="","",SUMIF(Tickets[TripKey],A1425,Tickets[Revenue]))</f>
        <v/>
      </c>
      <c r="G1425">
        <f>IF(A1425="","",SUMIF(Tickets[TripKey],A1425,Tickets[PK]))</f>
        <v/>
      </c>
      <c r="H1425">
        <f>IF(A1425="","",IFERROR(XLOOKUP(A1425,Tickets[TripKey],Tickets[VehClean]),""))</f>
        <v/>
      </c>
      <c r="I1425">
        <f>IF(A1425="","",IFERROR(XLOOKUP(A1425,Tickets[TripKey],Tickets[RouteLen]),0))</f>
        <v/>
      </c>
      <c r="J1425">
        <f>IF(A1425="","",IFERROR(XLOOKUP(A1425,Tickets[TripKey],Tickets[Capacity]),0))</f>
        <v/>
      </c>
      <c r="K1425">
        <f>IF(A1425="","",I1425*J1425)</f>
        <v/>
      </c>
      <c r="L1425">
        <f>IF(A1425="","",IFERROR(MINIFS(Tickets[Trip Start Time],Tickets[TripKey],A1425),""))</f>
        <v/>
      </c>
    </row>
    <row r="1426">
      <c r="B1426" s="8">
        <f>IF(A1426="","",IFERROR(DATEVALUE(TEXTBEFORE(A1426,"|")),--LEFT(A1426,10)))</f>
        <v/>
      </c>
      <c r="C1426">
        <f>IF(A1426="","",TEXTBEFORE(TEXTAFTER(A1426,"|"),"|"))</f>
        <v/>
      </c>
      <c r="D1426">
        <f>IF(A1426="","",TEXTAFTER(A1426,"|",2))</f>
        <v/>
      </c>
      <c r="E1426">
        <f>IF(A1426="","",SUMIF(Tickets[TripKey],A1426,Tickets[TP]))</f>
        <v/>
      </c>
      <c r="F1426">
        <f>IF(A1426="","",SUMIF(Tickets[TripKey],A1426,Tickets[Revenue]))</f>
        <v/>
      </c>
      <c r="G1426">
        <f>IF(A1426="","",SUMIF(Tickets[TripKey],A1426,Tickets[PK]))</f>
        <v/>
      </c>
      <c r="H1426">
        <f>IF(A1426="","",IFERROR(XLOOKUP(A1426,Tickets[TripKey],Tickets[VehClean]),""))</f>
        <v/>
      </c>
      <c r="I1426">
        <f>IF(A1426="","",IFERROR(XLOOKUP(A1426,Tickets[TripKey],Tickets[RouteLen]),0))</f>
        <v/>
      </c>
      <c r="J1426">
        <f>IF(A1426="","",IFERROR(XLOOKUP(A1426,Tickets[TripKey],Tickets[Capacity]),0))</f>
        <v/>
      </c>
      <c r="K1426">
        <f>IF(A1426="","",I1426*J1426)</f>
        <v/>
      </c>
      <c r="L1426">
        <f>IF(A1426="","",IFERROR(MINIFS(Tickets[Trip Start Time],Tickets[TripKey],A1426),""))</f>
        <v/>
      </c>
    </row>
    <row r="1427">
      <c r="B1427" s="8">
        <f>IF(A1427="","",IFERROR(DATEVALUE(TEXTBEFORE(A1427,"|")),--LEFT(A1427,10)))</f>
        <v/>
      </c>
      <c r="C1427">
        <f>IF(A1427="","",TEXTBEFORE(TEXTAFTER(A1427,"|"),"|"))</f>
        <v/>
      </c>
      <c r="D1427">
        <f>IF(A1427="","",TEXTAFTER(A1427,"|",2))</f>
        <v/>
      </c>
      <c r="E1427">
        <f>IF(A1427="","",SUMIF(Tickets[TripKey],A1427,Tickets[TP]))</f>
        <v/>
      </c>
      <c r="F1427">
        <f>IF(A1427="","",SUMIF(Tickets[TripKey],A1427,Tickets[Revenue]))</f>
        <v/>
      </c>
      <c r="G1427">
        <f>IF(A1427="","",SUMIF(Tickets[TripKey],A1427,Tickets[PK]))</f>
        <v/>
      </c>
      <c r="H1427">
        <f>IF(A1427="","",IFERROR(XLOOKUP(A1427,Tickets[TripKey],Tickets[VehClean]),""))</f>
        <v/>
      </c>
      <c r="I1427">
        <f>IF(A1427="","",IFERROR(XLOOKUP(A1427,Tickets[TripKey],Tickets[RouteLen]),0))</f>
        <v/>
      </c>
      <c r="J1427">
        <f>IF(A1427="","",IFERROR(XLOOKUP(A1427,Tickets[TripKey],Tickets[Capacity]),0))</f>
        <v/>
      </c>
      <c r="K1427">
        <f>IF(A1427="","",I1427*J1427)</f>
        <v/>
      </c>
      <c r="L1427">
        <f>IF(A1427="","",IFERROR(MINIFS(Tickets[Trip Start Time],Tickets[TripKey],A1427),""))</f>
        <v/>
      </c>
    </row>
    <row r="1428">
      <c r="B1428" s="8">
        <f>IF(A1428="","",IFERROR(DATEVALUE(TEXTBEFORE(A1428,"|")),--LEFT(A1428,10)))</f>
        <v/>
      </c>
      <c r="C1428">
        <f>IF(A1428="","",TEXTBEFORE(TEXTAFTER(A1428,"|"),"|"))</f>
        <v/>
      </c>
      <c r="D1428">
        <f>IF(A1428="","",TEXTAFTER(A1428,"|",2))</f>
        <v/>
      </c>
      <c r="E1428">
        <f>IF(A1428="","",SUMIF(Tickets[TripKey],A1428,Tickets[TP]))</f>
        <v/>
      </c>
      <c r="F1428">
        <f>IF(A1428="","",SUMIF(Tickets[TripKey],A1428,Tickets[Revenue]))</f>
        <v/>
      </c>
      <c r="G1428">
        <f>IF(A1428="","",SUMIF(Tickets[TripKey],A1428,Tickets[PK]))</f>
        <v/>
      </c>
      <c r="H1428">
        <f>IF(A1428="","",IFERROR(XLOOKUP(A1428,Tickets[TripKey],Tickets[VehClean]),""))</f>
        <v/>
      </c>
      <c r="I1428">
        <f>IF(A1428="","",IFERROR(XLOOKUP(A1428,Tickets[TripKey],Tickets[RouteLen]),0))</f>
        <v/>
      </c>
      <c r="J1428">
        <f>IF(A1428="","",IFERROR(XLOOKUP(A1428,Tickets[TripKey],Tickets[Capacity]),0))</f>
        <v/>
      </c>
      <c r="K1428">
        <f>IF(A1428="","",I1428*J1428)</f>
        <v/>
      </c>
      <c r="L1428">
        <f>IF(A1428="","",IFERROR(MINIFS(Tickets[Trip Start Time],Tickets[TripKey],A1428),""))</f>
        <v/>
      </c>
    </row>
    <row r="1429">
      <c r="B1429" s="8">
        <f>IF(A1429="","",IFERROR(DATEVALUE(TEXTBEFORE(A1429,"|")),--LEFT(A1429,10)))</f>
        <v/>
      </c>
      <c r="C1429">
        <f>IF(A1429="","",TEXTBEFORE(TEXTAFTER(A1429,"|"),"|"))</f>
        <v/>
      </c>
      <c r="D1429">
        <f>IF(A1429="","",TEXTAFTER(A1429,"|",2))</f>
        <v/>
      </c>
      <c r="E1429">
        <f>IF(A1429="","",SUMIF(Tickets[TripKey],A1429,Tickets[TP]))</f>
        <v/>
      </c>
      <c r="F1429">
        <f>IF(A1429="","",SUMIF(Tickets[TripKey],A1429,Tickets[Revenue]))</f>
        <v/>
      </c>
      <c r="G1429">
        <f>IF(A1429="","",SUMIF(Tickets[TripKey],A1429,Tickets[PK]))</f>
        <v/>
      </c>
      <c r="H1429">
        <f>IF(A1429="","",IFERROR(XLOOKUP(A1429,Tickets[TripKey],Tickets[VehClean]),""))</f>
        <v/>
      </c>
      <c r="I1429">
        <f>IF(A1429="","",IFERROR(XLOOKUP(A1429,Tickets[TripKey],Tickets[RouteLen]),0))</f>
        <v/>
      </c>
      <c r="J1429">
        <f>IF(A1429="","",IFERROR(XLOOKUP(A1429,Tickets[TripKey],Tickets[Capacity]),0))</f>
        <v/>
      </c>
      <c r="K1429">
        <f>IF(A1429="","",I1429*J1429)</f>
        <v/>
      </c>
      <c r="L1429">
        <f>IF(A1429="","",IFERROR(MINIFS(Tickets[Trip Start Time],Tickets[TripKey],A1429),""))</f>
        <v/>
      </c>
    </row>
    <row r="1430">
      <c r="B1430" s="8">
        <f>IF(A1430="","",IFERROR(DATEVALUE(TEXTBEFORE(A1430,"|")),--LEFT(A1430,10)))</f>
        <v/>
      </c>
      <c r="C1430">
        <f>IF(A1430="","",TEXTBEFORE(TEXTAFTER(A1430,"|"),"|"))</f>
        <v/>
      </c>
      <c r="D1430">
        <f>IF(A1430="","",TEXTAFTER(A1430,"|",2))</f>
        <v/>
      </c>
      <c r="E1430">
        <f>IF(A1430="","",SUMIF(Tickets[TripKey],A1430,Tickets[TP]))</f>
        <v/>
      </c>
      <c r="F1430">
        <f>IF(A1430="","",SUMIF(Tickets[TripKey],A1430,Tickets[Revenue]))</f>
        <v/>
      </c>
      <c r="G1430">
        <f>IF(A1430="","",SUMIF(Tickets[TripKey],A1430,Tickets[PK]))</f>
        <v/>
      </c>
      <c r="H1430">
        <f>IF(A1430="","",IFERROR(XLOOKUP(A1430,Tickets[TripKey],Tickets[VehClean]),""))</f>
        <v/>
      </c>
      <c r="I1430">
        <f>IF(A1430="","",IFERROR(XLOOKUP(A1430,Tickets[TripKey],Tickets[RouteLen]),0))</f>
        <v/>
      </c>
      <c r="J1430">
        <f>IF(A1430="","",IFERROR(XLOOKUP(A1430,Tickets[TripKey],Tickets[Capacity]),0))</f>
        <v/>
      </c>
      <c r="K1430">
        <f>IF(A1430="","",I1430*J1430)</f>
        <v/>
      </c>
      <c r="L1430">
        <f>IF(A1430="","",IFERROR(MINIFS(Tickets[Trip Start Time],Tickets[TripKey],A1430),""))</f>
        <v/>
      </c>
    </row>
    <row r="1431">
      <c r="B1431" s="8">
        <f>IF(A1431="","",IFERROR(DATEVALUE(TEXTBEFORE(A1431,"|")),--LEFT(A1431,10)))</f>
        <v/>
      </c>
      <c r="C1431">
        <f>IF(A1431="","",TEXTBEFORE(TEXTAFTER(A1431,"|"),"|"))</f>
        <v/>
      </c>
      <c r="D1431">
        <f>IF(A1431="","",TEXTAFTER(A1431,"|",2))</f>
        <v/>
      </c>
      <c r="E1431">
        <f>IF(A1431="","",SUMIF(Tickets[TripKey],A1431,Tickets[TP]))</f>
        <v/>
      </c>
      <c r="F1431">
        <f>IF(A1431="","",SUMIF(Tickets[TripKey],A1431,Tickets[Revenue]))</f>
        <v/>
      </c>
      <c r="G1431">
        <f>IF(A1431="","",SUMIF(Tickets[TripKey],A1431,Tickets[PK]))</f>
        <v/>
      </c>
      <c r="H1431">
        <f>IF(A1431="","",IFERROR(XLOOKUP(A1431,Tickets[TripKey],Tickets[VehClean]),""))</f>
        <v/>
      </c>
      <c r="I1431">
        <f>IF(A1431="","",IFERROR(XLOOKUP(A1431,Tickets[TripKey],Tickets[RouteLen]),0))</f>
        <v/>
      </c>
      <c r="J1431">
        <f>IF(A1431="","",IFERROR(XLOOKUP(A1431,Tickets[TripKey],Tickets[Capacity]),0))</f>
        <v/>
      </c>
      <c r="K1431">
        <f>IF(A1431="","",I1431*J1431)</f>
        <v/>
      </c>
      <c r="L1431">
        <f>IF(A1431="","",IFERROR(MINIFS(Tickets[Trip Start Time],Tickets[TripKey],A1431),""))</f>
        <v/>
      </c>
    </row>
    <row r="1432">
      <c r="B1432" s="8">
        <f>IF(A1432="","",IFERROR(DATEVALUE(TEXTBEFORE(A1432,"|")),--LEFT(A1432,10)))</f>
        <v/>
      </c>
      <c r="C1432">
        <f>IF(A1432="","",TEXTBEFORE(TEXTAFTER(A1432,"|"),"|"))</f>
        <v/>
      </c>
      <c r="D1432">
        <f>IF(A1432="","",TEXTAFTER(A1432,"|",2))</f>
        <v/>
      </c>
      <c r="E1432">
        <f>IF(A1432="","",SUMIF(Tickets[TripKey],A1432,Tickets[TP]))</f>
        <v/>
      </c>
      <c r="F1432">
        <f>IF(A1432="","",SUMIF(Tickets[TripKey],A1432,Tickets[Revenue]))</f>
        <v/>
      </c>
      <c r="G1432">
        <f>IF(A1432="","",SUMIF(Tickets[TripKey],A1432,Tickets[PK]))</f>
        <v/>
      </c>
      <c r="H1432">
        <f>IF(A1432="","",IFERROR(XLOOKUP(A1432,Tickets[TripKey],Tickets[VehClean]),""))</f>
        <v/>
      </c>
      <c r="I1432">
        <f>IF(A1432="","",IFERROR(XLOOKUP(A1432,Tickets[TripKey],Tickets[RouteLen]),0))</f>
        <v/>
      </c>
      <c r="J1432">
        <f>IF(A1432="","",IFERROR(XLOOKUP(A1432,Tickets[TripKey],Tickets[Capacity]),0))</f>
        <v/>
      </c>
      <c r="K1432">
        <f>IF(A1432="","",I1432*J1432)</f>
        <v/>
      </c>
      <c r="L1432">
        <f>IF(A1432="","",IFERROR(MINIFS(Tickets[Trip Start Time],Tickets[TripKey],A1432),""))</f>
        <v/>
      </c>
    </row>
    <row r="1433">
      <c r="B1433" s="8">
        <f>IF(A1433="","",IFERROR(DATEVALUE(TEXTBEFORE(A1433,"|")),--LEFT(A1433,10)))</f>
        <v/>
      </c>
      <c r="C1433">
        <f>IF(A1433="","",TEXTBEFORE(TEXTAFTER(A1433,"|"),"|"))</f>
        <v/>
      </c>
      <c r="D1433">
        <f>IF(A1433="","",TEXTAFTER(A1433,"|",2))</f>
        <v/>
      </c>
      <c r="E1433">
        <f>IF(A1433="","",SUMIF(Tickets[TripKey],A1433,Tickets[TP]))</f>
        <v/>
      </c>
      <c r="F1433">
        <f>IF(A1433="","",SUMIF(Tickets[TripKey],A1433,Tickets[Revenue]))</f>
        <v/>
      </c>
      <c r="G1433">
        <f>IF(A1433="","",SUMIF(Tickets[TripKey],A1433,Tickets[PK]))</f>
        <v/>
      </c>
      <c r="H1433">
        <f>IF(A1433="","",IFERROR(XLOOKUP(A1433,Tickets[TripKey],Tickets[VehClean]),""))</f>
        <v/>
      </c>
      <c r="I1433">
        <f>IF(A1433="","",IFERROR(XLOOKUP(A1433,Tickets[TripKey],Tickets[RouteLen]),0))</f>
        <v/>
      </c>
      <c r="J1433">
        <f>IF(A1433="","",IFERROR(XLOOKUP(A1433,Tickets[TripKey],Tickets[Capacity]),0))</f>
        <v/>
      </c>
      <c r="K1433">
        <f>IF(A1433="","",I1433*J1433)</f>
        <v/>
      </c>
      <c r="L1433">
        <f>IF(A1433="","",IFERROR(MINIFS(Tickets[Trip Start Time],Tickets[TripKey],A1433),""))</f>
        <v/>
      </c>
    </row>
    <row r="1434">
      <c r="B1434" s="8">
        <f>IF(A1434="","",IFERROR(DATEVALUE(TEXTBEFORE(A1434,"|")),--LEFT(A1434,10)))</f>
        <v/>
      </c>
      <c r="C1434">
        <f>IF(A1434="","",TEXTBEFORE(TEXTAFTER(A1434,"|"),"|"))</f>
        <v/>
      </c>
      <c r="D1434">
        <f>IF(A1434="","",TEXTAFTER(A1434,"|",2))</f>
        <v/>
      </c>
      <c r="E1434">
        <f>IF(A1434="","",SUMIF(Tickets[TripKey],A1434,Tickets[TP]))</f>
        <v/>
      </c>
      <c r="F1434">
        <f>IF(A1434="","",SUMIF(Tickets[TripKey],A1434,Tickets[Revenue]))</f>
        <v/>
      </c>
      <c r="G1434">
        <f>IF(A1434="","",SUMIF(Tickets[TripKey],A1434,Tickets[PK]))</f>
        <v/>
      </c>
      <c r="H1434">
        <f>IF(A1434="","",IFERROR(XLOOKUP(A1434,Tickets[TripKey],Tickets[VehClean]),""))</f>
        <v/>
      </c>
      <c r="I1434">
        <f>IF(A1434="","",IFERROR(XLOOKUP(A1434,Tickets[TripKey],Tickets[RouteLen]),0))</f>
        <v/>
      </c>
      <c r="J1434">
        <f>IF(A1434="","",IFERROR(XLOOKUP(A1434,Tickets[TripKey],Tickets[Capacity]),0))</f>
        <v/>
      </c>
      <c r="K1434">
        <f>IF(A1434="","",I1434*J1434)</f>
        <v/>
      </c>
      <c r="L1434">
        <f>IF(A1434="","",IFERROR(MINIFS(Tickets[Trip Start Time],Tickets[TripKey],A1434),""))</f>
        <v/>
      </c>
    </row>
    <row r="1435">
      <c r="B1435" s="8">
        <f>IF(A1435="","",IFERROR(DATEVALUE(TEXTBEFORE(A1435,"|")),--LEFT(A1435,10)))</f>
        <v/>
      </c>
      <c r="C1435">
        <f>IF(A1435="","",TEXTBEFORE(TEXTAFTER(A1435,"|"),"|"))</f>
        <v/>
      </c>
      <c r="D1435">
        <f>IF(A1435="","",TEXTAFTER(A1435,"|",2))</f>
        <v/>
      </c>
      <c r="E1435">
        <f>IF(A1435="","",SUMIF(Tickets[TripKey],A1435,Tickets[TP]))</f>
        <v/>
      </c>
      <c r="F1435">
        <f>IF(A1435="","",SUMIF(Tickets[TripKey],A1435,Tickets[Revenue]))</f>
        <v/>
      </c>
      <c r="G1435">
        <f>IF(A1435="","",SUMIF(Tickets[TripKey],A1435,Tickets[PK]))</f>
        <v/>
      </c>
      <c r="H1435">
        <f>IF(A1435="","",IFERROR(XLOOKUP(A1435,Tickets[TripKey],Tickets[VehClean]),""))</f>
        <v/>
      </c>
      <c r="I1435">
        <f>IF(A1435="","",IFERROR(XLOOKUP(A1435,Tickets[TripKey],Tickets[RouteLen]),0))</f>
        <v/>
      </c>
      <c r="J1435">
        <f>IF(A1435="","",IFERROR(XLOOKUP(A1435,Tickets[TripKey],Tickets[Capacity]),0))</f>
        <v/>
      </c>
      <c r="K1435">
        <f>IF(A1435="","",I1435*J1435)</f>
        <v/>
      </c>
      <c r="L1435">
        <f>IF(A1435="","",IFERROR(MINIFS(Tickets[Trip Start Time],Tickets[TripKey],A1435),""))</f>
        <v/>
      </c>
    </row>
    <row r="1436">
      <c r="B1436" s="8">
        <f>IF(A1436="","",IFERROR(DATEVALUE(TEXTBEFORE(A1436,"|")),--LEFT(A1436,10)))</f>
        <v/>
      </c>
      <c r="C1436">
        <f>IF(A1436="","",TEXTBEFORE(TEXTAFTER(A1436,"|"),"|"))</f>
        <v/>
      </c>
      <c r="D1436">
        <f>IF(A1436="","",TEXTAFTER(A1436,"|",2))</f>
        <v/>
      </c>
      <c r="E1436">
        <f>IF(A1436="","",SUMIF(Tickets[TripKey],A1436,Tickets[TP]))</f>
        <v/>
      </c>
      <c r="F1436">
        <f>IF(A1436="","",SUMIF(Tickets[TripKey],A1436,Tickets[Revenue]))</f>
        <v/>
      </c>
      <c r="G1436">
        <f>IF(A1436="","",SUMIF(Tickets[TripKey],A1436,Tickets[PK]))</f>
        <v/>
      </c>
      <c r="H1436">
        <f>IF(A1436="","",IFERROR(XLOOKUP(A1436,Tickets[TripKey],Tickets[VehClean]),""))</f>
        <v/>
      </c>
      <c r="I1436">
        <f>IF(A1436="","",IFERROR(XLOOKUP(A1436,Tickets[TripKey],Tickets[RouteLen]),0))</f>
        <v/>
      </c>
      <c r="J1436">
        <f>IF(A1436="","",IFERROR(XLOOKUP(A1436,Tickets[TripKey],Tickets[Capacity]),0))</f>
        <v/>
      </c>
      <c r="K1436">
        <f>IF(A1436="","",I1436*J1436)</f>
        <v/>
      </c>
      <c r="L1436">
        <f>IF(A1436="","",IFERROR(MINIFS(Tickets[Trip Start Time],Tickets[TripKey],A1436),""))</f>
        <v/>
      </c>
    </row>
    <row r="1437">
      <c r="B1437" s="8">
        <f>IF(A1437="","",IFERROR(DATEVALUE(TEXTBEFORE(A1437,"|")),--LEFT(A1437,10)))</f>
        <v/>
      </c>
      <c r="C1437">
        <f>IF(A1437="","",TEXTBEFORE(TEXTAFTER(A1437,"|"),"|"))</f>
        <v/>
      </c>
      <c r="D1437">
        <f>IF(A1437="","",TEXTAFTER(A1437,"|",2))</f>
        <v/>
      </c>
      <c r="E1437">
        <f>IF(A1437="","",SUMIF(Tickets[TripKey],A1437,Tickets[TP]))</f>
        <v/>
      </c>
      <c r="F1437">
        <f>IF(A1437="","",SUMIF(Tickets[TripKey],A1437,Tickets[Revenue]))</f>
        <v/>
      </c>
      <c r="G1437">
        <f>IF(A1437="","",SUMIF(Tickets[TripKey],A1437,Tickets[PK]))</f>
        <v/>
      </c>
      <c r="H1437">
        <f>IF(A1437="","",IFERROR(XLOOKUP(A1437,Tickets[TripKey],Tickets[VehClean]),""))</f>
        <v/>
      </c>
      <c r="I1437">
        <f>IF(A1437="","",IFERROR(XLOOKUP(A1437,Tickets[TripKey],Tickets[RouteLen]),0))</f>
        <v/>
      </c>
      <c r="J1437">
        <f>IF(A1437="","",IFERROR(XLOOKUP(A1437,Tickets[TripKey],Tickets[Capacity]),0))</f>
        <v/>
      </c>
      <c r="K1437">
        <f>IF(A1437="","",I1437*J1437)</f>
        <v/>
      </c>
      <c r="L1437">
        <f>IF(A1437="","",IFERROR(MINIFS(Tickets[Trip Start Time],Tickets[TripKey],A1437),""))</f>
        <v/>
      </c>
    </row>
    <row r="1438">
      <c r="B1438" s="8">
        <f>IF(A1438="","",IFERROR(DATEVALUE(TEXTBEFORE(A1438,"|")),--LEFT(A1438,10)))</f>
        <v/>
      </c>
      <c r="C1438">
        <f>IF(A1438="","",TEXTBEFORE(TEXTAFTER(A1438,"|"),"|"))</f>
        <v/>
      </c>
      <c r="D1438">
        <f>IF(A1438="","",TEXTAFTER(A1438,"|",2))</f>
        <v/>
      </c>
      <c r="E1438">
        <f>IF(A1438="","",SUMIF(Tickets[TripKey],A1438,Tickets[TP]))</f>
        <v/>
      </c>
      <c r="F1438">
        <f>IF(A1438="","",SUMIF(Tickets[TripKey],A1438,Tickets[Revenue]))</f>
        <v/>
      </c>
      <c r="G1438">
        <f>IF(A1438="","",SUMIF(Tickets[TripKey],A1438,Tickets[PK]))</f>
        <v/>
      </c>
      <c r="H1438">
        <f>IF(A1438="","",IFERROR(XLOOKUP(A1438,Tickets[TripKey],Tickets[VehClean]),""))</f>
        <v/>
      </c>
      <c r="I1438">
        <f>IF(A1438="","",IFERROR(XLOOKUP(A1438,Tickets[TripKey],Tickets[RouteLen]),0))</f>
        <v/>
      </c>
      <c r="J1438">
        <f>IF(A1438="","",IFERROR(XLOOKUP(A1438,Tickets[TripKey],Tickets[Capacity]),0))</f>
        <v/>
      </c>
      <c r="K1438">
        <f>IF(A1438="","",I1438*J1438)</f>
        <v/>
      </c>
      <c r="L1438">
        <f>IF(A1438="","",IFERROR(MINIFS(Tickets[Trip Start Time],Tickets[TripKey],A1438),""))</f>
        <v/>
      </c>
    </row>
    <row r="1439">
      <c r="B1439" s="8">
        <f>IF(A1439="","",IFERROR(DATEVALUE(TEXTBEFORE(A1439,"|")),--LEFT(A1439,10)))</f>
        <v/>
      </c>
      <c r="C1439">
        <f>IF(A1439="","",TEXTBEFORE(TEXTAFTER(A1439,"|"),"|"))</f>
        <v/>
      </c>
      <c r="D1439">
        <f>IF(A1439="","",TEXTAFTER(A1439,"|",2))</f>
        <v/>
      </c>
      <c r="E1439">
        <f>IF(A1439="","",SUMIF(Tickets[TripKey],A1439,Tickets[TP]))</f>
        <v/>
      </c>
      <c r="F1439">
        <f>IF(A1439="","",SUMIF(Tickets[TripKey],A1439,Tickets[Revenue]))</f>
        <v/>
      </c>
      <c r="G1439">
        <f>IF(A1439="","",SUMIF(Tickets[TripKey],A1439,Tickets[PK]))</f>
        <v/>
      </c>
      <c r="H1439">
        <f>IF(A1439="","",IFERROR(XLOOKUP(A1439,Tickets[TripKey],Tickets[VehClean]),""))</f>
        <v/>
      </c>
      <c r="I1439">
        <f>IF(A1439="","",IFERROR(XLOOKUP(A1439,Tickets[TripKey],Tickets[RouteLen]),0))</f>
        <v/>
      </c>
      <c r="J1439">
        <f>IF(A1439="","",IFERROR(XLOOKUP(A1439,Tickets[TripKey],Tickets[Capacity]),0))</f>
        <v/>
      </c>
      <c r="K1439">
        <f>IF(A1439="","",I1439*J1439)</f>
        <v/>
      </c>
      <c r="L1439">
        <f>IF(A1439="","",IFERROR(MINIFS(Tickets[Trip Start Time],Tickets[TripKey],A1439),""))</f>
        <v/>
      </c>
    </row>
    <row r="1440">
      <c r="B1440" s="8">
        <f>IF(A1440="","",IFERROR(DATEVALUE(TEXTBEFORE(A1440,"|")),--LEFT(A1440,10)))</f>
        <v/>
      </c>
      <c r="C1440">
        <f>IF(A1440="","",TEXTBEFORE(TEXTAFTER(A1440,"|"),"|"))</f>
        <v/>
      </c>
      <c r="D1440">
        <f>IF(A1440="","",TEXTAFTER(A1440,"|",2))</f>
        <v/>
      </c>
      <c r="E1440">
        <f>IF(A1440="","",SUMIF(Tickets[TripKey],A1440,Tickets[TP]))</f>
        <v/>
      </c>
      <c r="F1440">
        <f>IF(A1440="","",SUMIF(Tickets[TripKey],A1440,Tickets[Revenue]))</f>
        <v/>
      </c>
      <c r="G1440">
        <f>IF(A1440="","",SUMIF(Tickets[TripKey],A1440,Tickets[PK]))</f>
        <v/>
      </c>
      <c r="H1440">
        <f>IF(A1440="","",IFERROR(XLOOKUP(A1440,Tickets[TripKey],Tickets[VehClean]),""))</f>
        <v/>
      </c>
      <c r="I1440">
        <f>IF(A1440="","",IFERROR(XLOOKUP(A1440,Tickets[TripKey],Tickets[RouteLen]),0))</f>
        <v/>
      </c>
      <c r="J1440">
        <f>IF(A1440="","",IFERROR(XLOOKUP(A1440,Tickets[TripKey],Tickets[Capacity]),0))</f>
        <v/>
      </c>
      <c r="K1440">
        <f>IF(A1440="","",I1440*J1440)</f>
        <v/>
      </c>
      <c r="L1440">
        <f>IF(A1440="","",IFERROR(MINIFS(Tickets[Trip Start Time],Tickets[TripKey],A1440),""))</f>
        <v/>
      </c>
    </row>
    <row r="1441">
      <c r="B1441" s="8">
        <f>IF(A1441="","",IFERROR(DATEVALUE(TEXTBEFORE(A1441,"|")),--LEFT(A1441,10)))</f>
        <v/>
      </c>
      <c r="C1441">
        <f>IF(A1441="","",TEXTBEFORE(TEXTAFTER(A1441,"|"),"|"))</f>
        <v/>
      </c>
      <c r="D1441">
        <f>IF(A1441="","",TEXTAFTER(A1441,"|",2))</f>
        <v/>
      </c>
      <c r="E1441">
        <f>IF(A1441="","",SUMIF(Tickets[TripKey],A1441,Tickets[TP]))</f>
        <v/>
      </c>
      <c r="F1441">
        <f>IF(A1441="","",SUMIF(Tickets[TripKey],A1441,Tickets[Revenue]))</f>
        <v/>
      </c>
      <c r="G1441">
        <f>IF(A1441="","",SUMIF(Tickets[TripKey],A1441,Tickets[PK]))</f>
        <v/>
      </c>
      <c r="H1441">
        <f>IF(A1441="","",IFERROR(XLOOKUP(A1441,Tickets[TripKey],Tickets[VehClean]),""))</f>
        <v/>
      </c>
      <c r="I1441">
        <f>IF(A1441="","",IFERROR(XLOOKUP(A1441,Tickets[TripKey],Tickets[RouteLen]),0))</f>
        <v/>
      </c>
      <c r="J1441">
        <f>IF(A1441="","",IFERROR(XLOOKUP(A1441,Tickets[TripKey],Tickets[Capacity]),0))</f>
        <v/>
      </c>
      <c r="K1441">
        <f>IF(A1441="","",I1441*J1441)</f>
        <v/>
      </c>
      <c r="L1441">
        <f>IF(A1441="","",IFERROR(MINIFS(Tickets[Trip Start Time],Tickets[TripKey],A1441),""))</f>
        <v/>
      </c>
    </row>
    <row r="1442">
      <c r="B1442" s="8">
        <f>IF(A1442="","",IFERROR(DATEVALUE(TEXTBEFORE(A1442,"|")),--LEFT(A1442,10)))</f>
        <v/>
      </c>
      <c r="C1442">
        <f>IF(A1442="","",TEXTBEFORE(TEXTAFTER(A1442,"|"),"|"))</f>
        <v/>
      </c>
      <c r="D1442">
        <f>IF(A1442="","",TEXTAFTER(A1442,"|",2))</f>
        <v/>
      </c>
      <c r="E1442">
        <f>IF(A1442="","",SUMIF(Tickets[TripKey],A1442,Tickets[TP]))</f>
        <v/>
      </c>
      <c r="F1442">
        <f>IF(A1442="","",SUMIF(Tickets[TripKey],A1442,Tickets[Revenue]))</f>
        <v/>
      </c>
      <c r="G1442">
        <f>IF(A1442="","",SUMIF(Tickets[TripKey],A1442,Tickets[PK]))</f>
        <v/>
      </c>
      <c r="H1442">
        <f>IF(A1442="","",IFERROR(XLOOKUP(A1442,Tickets[TripKey],Tickets[VehClean]),""))</f>
        <v/>
      </c>
      <c r="I1442">
        <f>IF(A1442="","",IFERROR(XLOOKUP(A1442,Tickets[TripKey],Tickets[RouteLen]),0))</f>
        <v/>
      </c>
      <c r="J1442">
        <f>IF(A1442="","",IFERROR(XLOOKUP(A1442,Tickets[TripKey],Tickets[Capacity]),0))</f>
        <v/>
      </c>
      <c r="K1442">
        <f>IF(A1442="","",I1442*J1442)</f>
        <v/>
      </c>
      <c r="L1442">
        <f>IF(A1442="","",IFERROR(MINIFS(Tickets[Trip Start Time],Tickets[TripKey],A1442),""))</f>
        <v/>
      </c>
    </row>
    <row r="1443">
      <c r="B1443" s="8">
        <f>IF(A1443="","",IFERROR(DATEVALUE(TEXTBEFORE(A1443,"|")),--LEFT(A1443,10)))</f>
        <v/>
      </c>
      <c r="C1443">
        <f>IF(A1443="","",TEXTBEFORE(TEXTAFTER(A1443,"|"),"|"))</f>
        <v/>
      </c>
      <c r="D1443">
        <f>IF(A1443="","",TEXTAFTER(A1443,"|",2))</f>
        <v/>
      </c>
      <c r="E1443">
        <f>IF(A1443="","",SUMIF(Tickets[TripKey],A1443,Tickets[TP]))</f>
        <v/>
      </c>
      <c r="F1443">
        <f>IF(A1443="","",SUMIF(Tickets[TripKey],A1443,Tickets[Revenue]))</f>
        <v/>
      </c>
      <c r="G1443">
        <f>IF(A1443="","",SUMIF(Tickets[TripKey],A1443,Tickets[PK]))</f>
        <v/>
      </c>
      <c r="H1443">
        <f>IF(A1443="","",IFERROR(XLOOKUP(A1443,Tickets[TripKey],Tickets[VehClean]),""))</f>
        <v/>
      </c>
      <c r="I1443">
        <f>IF(A1443="","",IFERROR(XLOOKUP(A1443,Tickets[TripKey],Tickets[RouteLen]),0))</f>
        <v/>
      </c>
      <c r="J1443">
        <f>IF(A1443="","",IFERROR(XLOOKUP(A1443,Tickets[TripKey],Tickets[Capacity]),0))</f>
        <v/>
      </c>
      <c r="K1443">
        <f>IF(A1443="","",I1443*J1443)</f>
        <v/>
      </c>
      <c r="L1443">
        <f>IF(A1443="","",IFERROR(MINIFS(Tickets[Trip Start Time],Tickets[TripKey],A1443),""))</f>
        <v/>
      </c>
    </row>
    <row r="1444">
      <c r="B1444" s="8">
        <f>IF(A1444="","",IFERROR(DATEVALUE(TEXTBEFORE(A1444,"|")),--LEFT(A1444,10)))</f>
        <v/>
      </c>
      <c r="C1444">
        <f>IF(A1444="","",TEXTBEFORE(TEXTAFTER(A1444,"|"),"|"))</f>
        <v/>
      </c>
      <c r="D1444">
        <f>IF(A1444="","",TEXTAFTER(A1444,"|",2))</f>
        <v/>
      </c>
      <c r="E1444">
        <f>IF(A1444="","",SUMIF(Tickets[TripKey],A1444,Tickets[TP]))</f>
        <v/>
      </c>
      <c r="F1444">
        <f>IF(A1444="","",SUMIF(Tickets[TripKey],A1444,Tickets[Revenue]))</f>
        <v/>
      </c>
      <c r="G1444">
        <f>IF(A1444="","",SUMIF(Tickets[TripKey],A1444,Tickets[PK]))</f>
        <v/>
      </c>
      <c r="H1444">
        <f>IF(A1444="","",IFERROR(XLOOKUP(A1444,Tickets[TripKey],Tickets[VehClean]),""))</f>
        <v/>
      </c>
      <c r="I1444">
        <f>IF(A1444="","",IFERROR(XLOOKUP(A1444,Tickets[TripKey],Tickets[RouteLen]),0))</f>
        <v/>
      </c>
      <c r="J1444">
        <f>IF(A1444="","",IFERROR(XLOOKUP(A1444,Tickets[TripKey],Tickets[Capacity]),0))</f>
        <v/>
      </c>
      <c r="K1444">
        <f>IF(A1444="","",I1444*J1444)</f>
        <v/>
      </c>
      <c r="L1444">
        <f>IF(A1444="","",IFERROR(MINIFS(Tickets[Trip Start Time],Tickets[TripKey],A1444),""))</f>
        <v/>
      </c>
    </row>
    <row r="1445">
      <c r="B1445" s="8">
        <f>IF(A1445="","",IFERROR(DATEVALUE(TEXTBEFORE(A1445,"|")),--LEFT(A1445,10)))</f>
        <v/>
      </c>
      <c r="C1445">
        <f>IF(A1445="","",TEXTBEFORE(TEXTAFTER(A1445,"|"),"|"))</f>
        <v/>
      </c>
      <c r="D1445">
        <f>IF(A1445="","",TEXTAFTER(A1445,"|",2))</f>
        <v/>
      </c>
      <c r="E1445">
        <f>IF(A1445="","",SUMIF(Tickets[TripKey],A1445,Tickets[TP]))</f>
        <v/>
      </c>
      <c r="F1445">
        <f>IF(A1445="","",SUMIF(Tickets[TripKey],A1445,Tickets[Revenue]))</f>
        <v/>
      </c>
      <c r="G1445">
        <f>IF(A1445="","",SUMIF(Tickets[TripKey],A1445,Tickets[PK]))</f>
        <v/>
      </c>
      <c r="H1445">
        <f>IF(A1445="","",IFERROR(XLOOKUP(A1445,Tickets[TripKey],Tickets[VehClean]),""))</f>
        <v/>
      </c>
      <c r="I1445">
        <f>IF(A1445="","",IFERROR(XLOOKUP(A1445,Tickets[TripKey],Tickets[RouteLen]),0))</f>
        <v/>
      </c>
      <c r="J1445">
        <f>IF(A1445="","",IFERROR(XLOOKUP(A1445,Tickets[TripKey],Tickets[Capacity]),0))</f>
        <v/>
      </c>
      <c r="K1445">
        <f>IF(A1445="","",I1445*J1445)</f>
        <v/>
      </c>
      <c r="L1445">
        <f>IF(A1445="","",IFERROR(MINIFS(Tickets[Trip Start Time],Tickets[TripKey],A1445),""))</f>
        <v/>
      </c>
    </row>
    <row r="1446">
      <c r="B1446" s="8">
        <f>IF(A1446="","",IFERROR(DATEVALUE(TEXTBEFORE(A1446,"|")),--LEFT(A1446,10)))</f>
        <v/>
      </c>
      <c r="C1446">
        <f>IF(A1446="","",TEXTBEFORE(TEXTAFTER(A1446,"|"),"|"))</f>
        <v/>
      </c>
      <c r="D1446">
        <f>IF(A1446="","",TEXTAFTER(A1446,"|",2))</f>
        <v/>
      </c>
      <c r="E1446">
        <f>IF(A1446="","",SUMIF(Tickets[TripKey],A1446,Tickets[TP]))</f>
        <v/>
      </c>
      <c r="F1446">
        <f>IF(A1446="","",SUMIF(Tickets[TripKey],A1446,Tickets[Revenue]))</f>
        <v/>
      </c>
      <c r="G1446">
        <f>IF(A1446="","",SUMIF(Tickets[TripKey],A1446,Tickets[PK]))</f>
        <v/>
      </c>
      <c r="H1446">
        <f>IF(A1446="","",IFERROR(XLOOKUP(A1446,Tickets[TripKey],Tickets[VehClean]),""))</f>
        <v/>
      </c>
      <c r="I1446">
        <f>IF(A1446="","",IFERROR(XLOOKUP(A1446,Tickets[TripKey],Tickets[RouteLen]),0))</f>
        <v/>
      </c>
      <c r="J1446">
        <f>IF(A1446="","",IFERROR(XLOOKUP(A1446,Tickets[TripKey],Tickets[Capacity]),0))</f>
        <v/>
      </c>
      <c r="K1446">
        <f>IF(A1446="","",I1446*J1446)</f>
        <v/>
      </c>
      <c r="L1446">
        <f>IF(A1446="","",IFERROR(MINIFS(Tickets[Trip Start Time],Tickets[TripKey],A1446),""))</f>
        <v/>
      </c>
    </row>
    <row r="1447">
      <c r="B1447" s="8">
        <f>IF(A1447="","",IFERROR(DATEVALUE(TEXTBEFORE(A1447,"|")),--LEFT(A1447,10)))</f>
        <v/>
      </c>
      <c r="C1447">
        <f>IF(A1447="","",TEXTBEFORE(TEXTAFTER(A1447,"|"),"|"))</f>
        <v/>
      </c>
      <c r="D1447">
        <f>IF(A1447="","",TEXTAFTER(A1447,"|",2))</f>
        <v/>
      </c>
      <c r="E1447">
        <f>IF(A1447="","",SUMIF(Tickets[TripKey],A1447,Tickets[TP]))</f>
        <v/>
      </c>
      <c r="F1447">
        <f>IF(A1447="","",SUMIF(Tickets[TripKey],A1447,Tickets[Revenue]))</f>
        <v/>
      </c>
      <c r="G1447">
        <f>IF(A1447="","",SUMIF(Tickets[TripKey],A1447,Tickets[PK]))</f>
        <v/>
      </c>
      <c r="H1447">
        <f>IF(A1447="","",IFERROR(XLOOKUP(A1447,Tickets[TripKey],Tickets[VehClean]),""))</f>
        <v/>
      </c>
      <c r="I1447">
        <f>IF(A1447="","",IFERROR(XLOOKUP(A1447,Tickets[TripKey],Tickets[RouteLen]),0))</f>
        <v/>
      </c>
      <c r="J1447">
        <f>IF(A1447="","",IFERROR(XLOOKUP(A1447,Tickets[TripKey],Tickets[Capacity]),0))</f>
        <v/>
      </c>
      <c r="K1447">
        <f>IF(A1447="","",I1447*J1447)</f>
        <v/>
      </c>
      <c r="L1447">
        <f>IF(A1447="","",IFERROR(MINIFS(Tickets[Trip Start Time],Tickets[TripKey],A1447),""))</f>
        <v/>
      </c>
    </row>
    <row r="1448">
      <c r="B1448" s="8">
        <f>IF(A1448="","",IFERROR(DATEVALUE(TEXTBEFORE(A1448,"|")),--LEFT(A1448,10)))</f>
        <v/>
      </c>
      <c r="C1448">
        <f>IF(A1448="","",TEXTBEFORE(TEXTAFTER(A1448,"|"),"|"))</f>
        <v/>
      </c>
      <c r="D1448">
        <f>IF(A1448="","",TEXTAFTER(A1448,"|",2))</f>
        <v/>
      </c>
      <c r="E1448">
        <f>IF(A1448="","",SUMIF(Tickets[TripKey],A1448,Tickets[TP]))</f>
        <v/>
      </c>
      <c r="F1448">
        <f>IF(A1448="","",SUMIF(Tickets[TripKey],A1448,Tickets[Revenue]))</f>
        <v/>
      </c>
      <c r="G1448">
        <f>IF(A1448="","",SUMIF(Tickets[TripKey],A1448,Tickets[PK]))</f>
        <v/>
      </c>
      <c r="H1448">
        <f>IF(A1448="","",IFERROR(XLOOKUP(A1448,Tickets[TripKey],Tickets[VehClean]),""))</f>
        <v/>
      </c>
      <c r="I1448">
        <f>IF(A1448="","",IFERROR(XLOOKUP(A1448,Tickets[TripKey],Tickets[RouteLen]),0))</f>
        <v/>
      </c>
      <c r="J1448">
        <f>IF(A1448="","",IFERROR(XLOOKUP(A1448,Tickets[TripKey],Tickets[Capacity]),0))</f>
        <v/>
      </c>
      <c r="K1448">
        <f>IF(A1448="","",I1448*J1448)</f>
        <v/>
      </c>
      <c r="L1448">
        <f>IF(A1448="","",IFERROR(MINIFS(Tickets[Trip Start Time],Tickets[TripKey],A1448),""))</f>
        <v/>
      </c>
    </row>
    <row r="1449">
      <c r="B1449" s="8">
        <f>IF(A1449="","",IFERROR(DATEVALUE(TEXTBEFORE(A1449,"|")),--LEFT(A1449,10)))</f>
        <v/>
      </c>
      <c r="C1449">
        <f>IF(A1449="","",TEXTBEFORE(TEXTAFTER(A1449,"|"),"|"))</f>
        <v/>
      </c>
      <c r="D1449">
        <f>IF(A1449="","",TEXTAFTER(A1449,"|",2))</f>
        <v/>
      </c>
      <c r="E1449">
        <f>IF(A1449="","",SUMIF(Tickets[TripKey],A1449,Tickets[TP]))</f>
        <v/>
      </c>
      <c r="F1449">
        <f>IF(A1449="","",SUMIF(Tickets[TripKey],A1449,Tickets[Revenue]))</f>
        <v/>
      </c>
      <c r="G1449">
        <f>IF(A1449="","",SUMIF(Tickets[TripKey],A1449,Tickets[PK]))</f>
        <v/>
      </c>
      <c r="H1449">
        <f>IF(A1449="","",IFERROR(XLOOKUP(A1449,Tickets[TripKey],Tickets[VehClean]),""))</f>
        <v/>
      </c>
      <c r="I1449">
        <f>IF(A1449="","",IFERROR(XLOOKUP(A1449,Tickets[TripKey],Tickets[RouteLen]),0))</f>
        <v/>
      </c>
      <c r="J1449">
        <f>IF(A1449="","",IFERROR(XLOOKUP(A1449,Tickets[TripKey],Tickets[Capacity]),0))</f>
        <v/>
      </c>
      <c r="K1449">
        <f>IF(A1449="","",I1449*J1449)</f>
        <v/>
      </c>
      <c r="L1449">
        <f>IF(A1449="","",IFERROR(MINIFS(Tickets[Trip Start Time],Tickets[TripKey],A1449),""))</f>
        <v/>
      </c>
    </row>
    <row r="1450">
      <c r="B1450" s="8">
        <f>IF(A1450="","",IFERROR(DATEVALUE(TEXTBEFORE(A1450,"|")),--LEFT(A1450,10)))</f>
        <v/>
      </c>
      <c r="C1450">
        <f>IF(A1450="","",TEXTBEFORE(TEXTAFTER(A1450,"|"),"|"))</f>
        <v/>
      </c>
      <c r="D1450">
        <f>IF(A1450="","",TEXTAFTER(A1450,"|",2))</f>
        <v/>
      </c>
      <c r="E1450">
        <f>IF(A1450="","",SUMIF(Tickets[TripKey],A1450,Tickets[TP]))</f>
        <v/>
      </c>
      <c r="F1450">
        <f>IF(A1450="","",SUMIF(Tickets[TripKey],A1450,Tickets[Revenue]))</f>
        <v/>
      </c>
      <c r="G1450">
        <f>IF(A1450="","",SUMIF(Tickets[TripKey],A1450,Tickets[PK]))</f>
        <v/>
      </c>
      <c r="H1450">
        <f>IF(A1450="","",IFERROR(XLOOKUP(A1450,Tickets[TripKey],Tickets[VehClean]),""))</f>
        <v/>
      </c>
      <c r="I1450">
        <f>IF(A1450="","",IFERROR(XLOOKUP(A1450,Tickets[TripKey],Tickets[RouteLen]),0))</f>
        <v/>
      </c>
      <c r="J1450">
        <f>IF(A1450="","",IFERROR(XLOOKUP(A1450,Tickets[TripKey],Tickets[Capacity]),0))</f>
        <v/>
      </c>
      <c r="K1450">
        <f>IF(A1450="","",I1450*J1450)</f>
        <v/>
      </c>
      <c r="L1450">
        <f>IF(A1450="","",IFERROR(MINIFS(Tickets[Trip Start Time],Tickets[TripKey],A1450),""))</f>
        <v/>
      </c>
    </row>
    <row r="1451">
      <c r="B1451" s="8">
        <f>IF(A1451="","",IFERROR(DATEVALUE(TEXTBEFORE(A1451,"|")),--LEFT(A1451,10)))</f>
        <v/>
      </c>
      <c r="C1451">
        <f>IF(A1451="","",TEXTBEFORE(TEXTAFTER(A1451,"|"),"|"))</f>
        <v/>
      </c>
      <c r="D1451">
        <f>IF(A1451="","",TEXTAFTER(A1451,"|",2))</f>
        <v/>
      </c>
      <c r="E1451">
        <f>IF(A1451="","",SUMIF(Tickets[TripKey],A1451,Tickets[TP]))</f>
        <v/>
      </c>
      <c r="F1451">
        <f>IF(A1451="","",SUMIF(Tickets[TripKey],A1451,Tickets[Revenue]))</f>
        <v/>
      </c>
      <c r="G1451">
        <f>IF(A1451="","",SUMIF(Tickets[TripKey],A1451,Tickets[PK]))</f>
        <v/>
      </c>
      <c r="H1451">
        <f>IF(A1451="","",IFERROR(XLOOKUP(A1451,Tickets[TripKey],Tickets[VehClean]),""))</f>
        <v/>
      </c>
      <c r="I1451">
        <f>IF(A1451="","",IFERROR(XLOOKUP(A1451,Tickets[TripKey],Tickets[RouteLen]),0))</f>
        <v/>
      </c>
      <c r="J1451">
        <f>IF(A1451="","",IFERROR(XLOOKUP(A1451,Tickets[TripKey],Tickets[Capacity]),0))</f>
        <v/>
      </c>
      <c r="K1451">
        <f>IF(A1451="","",I1451*J1451)</f>
        <v/>
      </c>
      <c r="L1451">
        <f>IF(A1451="","",IFERROR(MINIFS(Tickets[Trip Start Time],Tickets[TripKey],A1451),""))</f>
        <v/>
      </c>
    </row>
    <row r="1452">
      <c r="B1452" s="8">
        <f>IF(A1452="","",IFERROR(DATEVALUE(TEXTBEFORE(A1452,"|")),--LEFT(A1452,10)))</f>
        <v/>
      </c>
      <c r="C1452">
        <f>IF(A1452="","",TEXTBEFORE(TEXTAFTER(A1452,"|"),"|"))</f>
        <v/>
      </c>
      <c r="D1452">
        <f>IF(A1452="","",TEXTAFTER(A1452,"|",2))</f>
        <v/>
      </c>
      <c r="E1452">
        <f>IF(A1452="","",SUMIF(Tickets[TripKey],A1452,Tickets[TP]))</f>
        <v/>
      </c>
      <c r="F1452">
        <f>IF(A1452="","",SUMIF(Tickets[TripKey],A1452,Tickets[Revenue]))</f>
        <v/>
      </c>
      <c r="G1452">
        <f>IF(A1452="","",SUMIF(Tickets[TripKey],A1452,Tickets[PK]))</f>
        <v/>
      </c>
      <c r="H1452">
        <f>IF(A1452="","",IFERROR(XLOOKUP(A1452,Tickets[TripKey],Tickets[VehClean]),""))</f>
        <v/>
      </c>
      <c r="I1452">
        <f>IF(A1452="","",IFERROR(XLOOKUP(A1452,Tickets[TripKey],Tickets[RouteLen]),0))</f>
        <v/>
      </c>
      <c r="J1452">
        <f>IF(A1452="","",IFERROR(XLOOKUP(A1452,Tickets[TripKey],Tickets[Capacity]),0))</f>
        <v/>
      </c>
      <c r="K1452">
        <f>IF(A1452="","",I1452*J1452)</f>
        <v/>
      </c>
      <c r="L1452">
        <f>IF(A1452="","",IFERROR(MINIFS(Tickets[Trip Start Time],Tickets[TripKey],A1452),""))</f>
        <v/>
      </c>
    </row>
    <row r="1453">
      <c r="B1453" s="8">
        <f>IF(A1453="","",IFERROR(DATEVALUE(TEXTBEFORE(A1453,"|")),--LEFT(A1453,10)))</f>
        <v/>
      </c>
      <c r="C1453">
        <f>IF(A1453="","",TEXTBEFORE(TEXTAFTER(A1453,"|"),"|"))</f>
        <v/>
      </c>
      <c r="D1453">
        <f>IF(A1453="","",TEXTAFTER(A1453,"|",2))</f>
        <v/>
      </c>
      <c r="E1453">
        <f>IF(A1453="","",SUMIF(Tickets[TripKey],A1453,Tickets[TP]))</f>
        <v/>
      </c>
      <c r="F1453">
        <f>IF(A1453="","",SUMIF(Tickets[TripKey],A1453,Tickets[Revenue]))</f>
        <v/>
      </c>
      <c r="G1453">
        <f>IF(A1453="","",SUMIF(Tickets[TripKey],A1453,Tickets[PK]))</f>
        <v/>
      </c>
      <c r="H1453">
        <f>IF(A1453="","",IFERROR(XLOOKUP(A1453,Tickets[TripKey],Tickets[VehClean]),""))</f>
        <v/>
      </c>
      <c r="I1453">
        <f>IF(A1453="","",IFERROR(XLOOKUP(A1453,Tickets[TripKey],Tickets[RouteLen]),0))</f>
        <v/>
      </c>
      <c r="J1453">
        <f>IF(A1453="","",IFERROR(XLOOKUP(A1453,Tickets[TripKey],Tickets[Capacity]),0))</f>
        <v/>
      </c>
      <c r="K1453">
        <f>IF(A1453="","",I1453*J1453)</f>
        <v/>
      </c>
      <c r="L1453">
        <f>IF(A1453="","",IFERROR(MINIFS(Tickets[Trip Start Time],Tickets[TripKey],A1453),""))</f>
        <v/>
      </c>
    </row>
    <row r="1454">
      <c r="B1454" s="8">
        <f>IF(A1454="","",IFERROR(DATEVALUE(TEXTBEFORE(A1454,"|")),--LEFT(A1454,10)))</f>
        <v/>
      </c>
      <c r="C1454">
        <f>IF(A1454="","",TEXTBEFORE(TEXTAFTER(A1454,"|"),"|"))</f>
        <v/>
      </c>
      <c r="D1454">
        <f>IF(A1454="","",TEXTAFTER(A1454,"|",2))</f>
        <v/>
      </c>
      <c r="E1454">
        <f>IF(A1454="","",SUMIF(Tickets[TripKey],A1454,Tickets[TP]))</f>
        <v/>
      </c>
      <c r="F1454">
        <f>IF(A1454="","",SUMIF(Tickets[TripKey],A1454,Tickets[Revenue]))</f>
        <v/>
      </c>
      <c r="G1454">
        <f>IF(A1454="","",SUMIF(Tickets[TripKey],A1454,Tickets[PK]))</f>
        <v/>
      </c>
      <c r="H1454">
        <f>IF(A1454="","",IFERROR(XLOOKUP(A1454,Tickets[TripKey],Tickets[VehClean]),""))</f>
        <v/>
      </c>
      <c r="I1454">
        <f>IF(A1454="","",IFERROR(XLOOKUP(A1454,Tickets[TripKey],Tickets[RouteLen]),0))</f>
        <v/>
      </c>
      <c r="J1454">
        <f>IF(A1454="","",IFERROR(XLOOKUP(A1454,Tickets[TripKey],Tickets[Capacity]),0))</f>
        <v/>
      </c>
      <c r="K1454">
        <f>IF(A1454="","",I1454*J1454)</f>
        <v/>
      </c>
      <c r="L1454">
        <f>IF(A1454="","",IFERROR(MINIFS(Tickets[Trip Start Time],Tickets[TripKey],A1454),""))</f>
        <v/>
      </c>
    </row>
    <row r="1455">
      <c r="B1455" s="8">
        <f>IF(A1455="","",IFERROR(DATEVALUE(TEXTBEFORE(A1455,"|")),--LEFT(A1455,10)))</f>
        <v/>
      </c>
      <c r="C1455">
        <f>IF(A1455="","",TEXTBEFORE(TEXTAFTER(A1455,"|"),"|"))</f>
        <v/>
      </c>
      <c r="D1455">
        <f>IF(A1455="","",TEXTAFTER(A1455,"|",2))</f>
        <v/>
      </c>
      <c r="E1455">
        <f>IF(A1455="","",SUMIF(Tickets[TripKey],A1455,Tickets[TP]))</f>
        <v/>
      </c>
      <c r="F1455">
        <f>IF(A1455="","",SUMIF(Tickets[TripKey],A1455,Tickets[Revenue]))</f>
        <v/>
      </c>
      <c r="G1455">
        <f>IF(A1455="","",SUMIF(Tickets[TripKey],A1455,Tickets[PK]))</f>
        <v/>
      </c>
      <c r="H1455">
        <f>IF(A1455="","",IFERROR(XLOOKUP(A1455,Tickets[TripKey],Tickets[VehClean]),""))</f>
        <v/>
      </c>
      <c r="I1455">
        <f>IF(A1455="","",IFERROR(XLOOKUP(A1455,Tickets[TripKey],Tickets[RouteLen]),0))</f>
        <v/>
      </c>
      <c r="J1455">
        <f>IF(A1455="","",IFERROR(XLOOKUP(A1455,Tickets[TripKey],Tickets[Capacity]),0))</f>
        <v/>
      </c>
      <c r="K1455">
        <f>IF(A1455="","",I1455*J1455)</f>
        <v/>
      </c>
      <c r="L1455">
        <f>IF(A1455="","",IFERROR(MINIFS(Tickets[Trip Start Time],Tickets[TripKey],A1455),""))</f>
        <v/>
      </c>
    </row>
    <row r="1456">
      <c r="B1456" s="8">
        <f>IF(A1456="","",IFERROR(DATEVALUE(TEXTBEFORE(A1456,"|")),--LEFT(A1456,10)))</f>
        <v/>
      </c>
      <c r="C1456">
        <f>IF(A1456="","",TEXTBEFORE(TEXTAFTER(A1456,"|"),"|"))</f>
        <v/>
      </c>
      <c r="D1456">
        <f>IF(A1456="","",TEXTAFTER(A1456,"|",2))</f>
        <v/>
      </c>
      <c r="E1456">
        <f>IF(A1456="","",SUMIF(Tickets[TripKey],A1456,Tickets[TP]))</f>
        <v/>
      </c>
      <c r="F1456">
        <f>IF(A1456="","",SUMIF(Tickets[TripKey],A1456,Tickets[Revenue]))</f>
        <v/>
      </c>
      <c r="G1456">
        <f>IF(A1456="","",SUMIF(Tickets[TripKey],A1456,Tickets[PK]))</f>
        <v/>
      </c>
      <c r="H1456">
        <f>IF(A1456="","",IFERROR(XLOOKUP(A1456,Tickets[TripKey],Tickets[VehClean]),""))</f>
        <v/>
      </c>
      <c r="I1456">
        <f>IF(A1456="","",IFERROR(XLOOKUP(A1456,Tickets[TripKey],Tickets[RouteLen]),0))</f>
        <v/>
      </c>
      <c r="J1456">
        <f>IF(A1456="","",IFERROR(XLOOKUP(A1456,Tickets[TripKey],Tickets[Capacity]),0))</f>
        <v/>
      </c>
      <c r="K1456">
        <f>IF(A1456="","",I1456*J1456)</f>
        <v/>
      </c>
      <c r="L1456">
        <f>IF(A1456="","",IFERROR(MINIFS(Tickets[Trip Start Time],Tickets[TripKey],A1456),""))</f>
        <v/>
      </c>
    </row>
    <row r="1457">
      <c r="B1457" s="8">
        <f>IF(A1457="","",IFERROR(DATEVALUE(TEXTBEFORE(A1457,"|")),--LEFT(A1457,10)))</f>
        <v/>
      </c>
      <c r="C1457">
        <f>IF(A1457="","",TEXTBEFORE(TEXTAFTER(A1457,"|"),"|"))</f>
        <v/>
      </c>
      <c r="D1457">
        <f>IF(A1457="","",TEXTAFTER(A1457,"|",2))</f>
        <v/>
      </c>
      <c r="E1457">
        <f>IF(A1457="","",SUMIF(Tickets[TripKey],A1457,Tickets[TP]))</f>
        <v/>
      </c>
      <c r="F1457">
        <f>IF(A1457="","",SUMIF(Tickets[TripKey],A1457,Tickets[Revenue]))</f>
        <v/>
      </c>
      <c r="G1457">
        <f>IF(A1457="","",SUMIF(Tickets[TripKey],A1457,Tickets[PK]))</f>
        <v/>
      </c>
      <c r="H1457">
        <f>IF(A1457="","",IFERROR(XLOOKUP(A1457,Tickets[TripKey],Tickets[VehClean]),""))</f>
        <v/>
      </c>
      <c r="I1457">
        <f>IF(A1457="","",IFERROR(XLOOKUP(A1457,Tickets[TripKey],Tickets[RouteLen]),0))</f>
        <v/>
      </c>
      <c r="J1457">
        <f>IF(A1457="","",IFERROR(XLOOKUP(A1457,Tickets[TripKey],Tickets[Capacity]),0))</f>
        <v/>
      </c>
      <c r="K1457">
        <f>IF(A1457="","",I1457*J1457)</f>
        <v/>
      </c>
      <c r="L1457">
        <f>IF(A1457="","",IFERROR(MINIFS(Tickets[Trip Start Time],Tickets[TripKey],A1457),""))</f>
        <v/>
      </c>
    </row>
    <row r="1458">
      <c r="B1458" s="8">
        <f>IF(A1458="","",IFERROR(DATEVALUE(TEXTBEFORE(A1458,"|")),--LEFT(A1458,10)))</f>
        <v/>
      </c>
      <c r="C1458">
        <f>IF(A1458="","",TEXTBEFORE(TEXTAFTER(A1458,"|"),"|"))</f>
        <v/>
      </c>
      <c r="D1458">
        <f>IF(A1458="","",TEXTAFTER(A1458,"|",2))</f>
        <v/>
      </c>
      <c r="E1458">
        <f>IF(A1458="","",SUMIF(Tickets[TripKey],A1458,Tickets[TP]))</f>
        <v/>
      </c>
      <c r="F1458">
        <f>IF(A1458="","",SUMIF(Tickets[TripKey],A1458,Tickets[Revenue]))</f>
        <v/>
      </c>
      <c r="G1458">
        <f>IF(A1458="","",SUMIF(Tickets[TripKey],A1458,Tickets[PK]))</f>
        <v/>
      </c>
      <c r="H1458">
        <f>IF(A1458="","",IFERROR(XLOOKUP(A1458,Tickets[TripKey],Tickets[VehClean]),""))</f>
        <v/>
      </c>
      <c r="I1458">
        <f>IF(A1458="","",IFERROR(XLOOKUP(A1458,Tickets[TripKey],Tickets[RouteLen]),0))</f>
        <v/>
      </c>
      <c r="J1458">
        <f>IF(A1458="","",IFERROR(XLOOKUP(A1458,Tickets[TripKey],Tickets[Capacity]),0))</f>
        <v/>
      </c>
      <c r="K1458">
        <f>IF(A1458="","",I1458*J1458)</f>
        <v/>
      </c>
      <c r="L1458">
        <f>IF(A1458="","",IFERROR(MINIFS(Tickets[Trip Start Time],Tickets[TripKey],A1458),""))</f>
        <v/>
      </c>
    </row>
    <row r="1459">
      <c r="B1459" s="8">
        <f>IF(A1459="","",IFERROR(DATEVALUE(TEXTBEFORE(A1459,"|")),--LEFT(A1459,10)))</f>
        <v/>
      </c>
      <c r="C1459">
        <f>IF(A1459="","",TEXTBEFORE(TEXTAFTER(A1459,"|"),"|"))</f>
        <v/>
      </c>
      <c r="D1459">
        <f>IF(A1459="","",TEXTAFTER(A1459,"|",2))</f>
        <v/>
      </c>
      <c r="E1459">
        <f>IF(A1459="","",SUMIF(Tickets[TripKey],A1459,Tickets[TP]))</f>
        <v/>
      </c>
      <c r="F1459">
        <f>IF(A1459="","",SUMIF(Tickets[TripKey],A1459,Tickets[Revenue]))</f>
        <v/>
      </c>
      <c r="G1459">
        <f>IF(A1459="","",SUMIF(Tickets[TripKey],A1459,Tickets[PK]))</f>
        <v/>
      </c>
      <c r="H1459">
        <f>IF(A1459="","",IFERROR(XLOOKUP(A1459,Tickets[TripKey],Tickets[VehClean]),""))</f>
        <v/>
      </c>
      <c r="I1459">
        <f>IF(A1459="","",IFERROR(XLOOKUP(A1459,Tickets[TripKey],Tickets[RouteLen]),0))</f>
        <v/>
      </c>
      <c r="J1459">
        <f>IF(A1459="","",IFERROR(XLOOKUP(A1459,Tickets[TripKey],Tickets[Capacity]),0))</f>
        <v/>
      </c>
      <c r="K1459">
        <f>IF(A1459="","",I1459*J1459)</f>
        <v/>
      </c>
      <c r="L1459">
        <f>IF(A1459="","",IFERROR(MINIFS(Tickets[Trip Start Time],Tickets[TripKey],A1459),""))</f>
        <v/>
      </c>
    </row>
    <row r="1460">
      <c r="B1460" s="8">
        <f>IF(A1460="","",IFERROR(DATEVALUE(TEXTBEFORE(A1460,"|")),--LEFT(A1460,10)))</f>
        <v/>
      </c>
      <c r="C1460">
        <f>IF(A1460="","",TEXTBEFORE(TEXTAFTER(A1460,"|"),"|"))</f>
        <v/>
      </c>
      <c r="D1460">
        <f>IF(A1460="","",TEXTAFTER(A1460,"|",2))</f>
        <v/>
      </c>
      <c r="E1460">
        <f>IF(A1460="","",SUMIF(Tickets[TripKey],A1460,Tickets[TP]))</f>
        <v/>
      </c>
      <c r="F1460">
        <f>IF(A1460="","",SUMIF(Tickets[TripKey],A1460,Tickets[Revenue]))</f>
        <v/>
      </c>
      <c r="G1460">
        <f>IF(A1460="","",SUMIF(Tickets[TripKey],A1460,Tickets[PK]))</f>
        <v/>
      </c>
      <c r="H1460">
        <f>IF(A1460="","",IFERROR(XLOOKUP(A1460,Tickets[TripKey],Tickets[VehClean]),""))</f>
        <v/>
      </c>
      <c r="I1460">
        <f>IF(A1460="","",IFERROR(XLOOKUP(A1460,Tickets[TripKey],Tickets[RouteLen]),0))</f>
        <v/>
      </c>
      <c r="J1460">
        <f>IF(A1460="","",IFERROR(XLOOKUP(A1460,Tickets[TripKey],Tickets[Capacity]),0))</f>
        <v/>
      </c>
      <c r="K1460">
        <f>IF(A1460="","",I1460*J1460)</f>
        <v/>
      </c>
      <c r="L1460">
        <f>IF(A1460="","",IFERROR(MINIFS(Tickets[Trip Start Time],Tickets[TripKey],A1460),""))</f>
        <v/>
      </c>
    </row>
    <row r="1461">
      <c r="B1461" s="8">
        <f>IF(A1461="","",IFERROR(DATEVALUE(TEXTBEFORE(A1461,"|")),--LEFT(A1461,10)))</f>
        <v/>
      </c>
      <c r="C1461">
        <f>IF(A1461="","",TEXTBEFORE(TEXTAFTER(A1461,"|"),"|"))</f>
        <v/>
      </c>
      <c r="D1461">
        <f>IF(A1461="","",TEXTAFTER(A1461,"|",2))</f>
        <v/>
      </c>
      <c r="E1461">
        <f>IF(A1461="","",SUMIF(Tickets[TripKey],A1461,Tickets[TP]))</f>
        <v/>
      </c>
      <c r="F1461">
        <f>IF(A1461="","",SUMIF(Tickets[TripKey],A1461,Tickets[Revenue]))</f>
        <v/>
      </c>
      <c r="G1461">
        <f>IF(A1461="","",SUMIF(Tickets[TripKey],A1461,Tickets[PK]))</f>
        <v/>
      </c>
      <c r="H1461">
        <f>IF(A1461="","",IFERROR(XLOOKUP(A1461,Tickets[TripKey],Tickets[VehClean]),""))</f>
        <v/>
      </c>
      <c r="I1461">
        <f>IF(A1461="","",IFERROR(XLOOKUP(A1461,Tickets[TripKey],Tickets[RouteLen]),0))</f>
        <v/>
      </c>
      <c r="J1461">
        <f>IF(A1461="","",IFERROR(XLOOKUP(A1461,Tickets[TripKey],Tickets[Capacity]),0))</f>
        <v/>
      </c>
      <c r="K1461">
        <f>IF(A1461="","",I1461*J1461)</f>
        <v/>
      </c>
      <c r="L1461">
        <f>IF(A1461="","",IFERROR(MINIFS(Tickets[Trip Start Time],Tickets[TripKey],A1461),""))</f>
        <v/>
      </c>
    </row>
    <row r="1462">
      <c r="B1462" s="8">
        <f>IF(A1462="","",IFERROR(DATEVALUE(TEXTBEFORE(A1462,"|")),--LEFT(A1462,10)))</f>
        <v/>
      </c>
      <c r="C1462">
        <f>IF(A1462="","",TEXTBEFORE(TEXTAFTER(A1462,"|"),"|"))</f>
        <v/>
      </c>
      <c r="D1462">
        <f>IF(A1462="","",TEXTAFTER(A1462,"|",2))</f>
        <v/>
      </c>
      <c r="E1462">
        <f>IF(A1462="","",SUMIF(Tickets[TripKey],A1462,Tickets[TP]))</f>
        <v/>
      </c>
      <c r="F1462">
        <f>IF(A1462="","",SUMIF(Tickets[TripKey],A1462,Tickets[Revenue]))</f>
        <v/>
      </c>
      <c r="G1462">
        <f>IF(A1462="","",SUMIF(Tickets[TripKey],A1462,Tickets[PK]))</f>
        <v/>
      </c>
      <c r="H1462">
        <f>IF(A1462="","",IFERROR(XLOOKUP(A1462,Tickets[TripKey],Tickets[VehClean]),""))</f>
        <v/>
      </c>
      <c r="I1462">
        <f>IF(A1462="","",IFERROR(XLOOKUP(A1462,Tickets[TripKey],Tickets[RouteLen]),0))</f>
        <v/>
      </c>
      <c r="J1462">
        <f>IF(A1462="","",IFERROR(XLOOKUP(A1462,Tickets[TripKey],Tickets[Capacity]),0))</f>
        <v/>
      </c>
      <c r="K1462">
        <f>IF(A1462="","",I1462*J1462)</f>
        <v/>
      </c>
      <c r="L1462">
        <f>IF(A1462="","",IFERROR(MINIFS(Tickets[Trip Start Time],Tickets[TripKey],A1462),""))</f>
        <v/>
      </c>
    </row>
    <row r="1463">
      <c r="B1463" s="8">
        <f>IF(A1463="","",IFERROR(DATEVALUE(TEXTBEFORE(A1463,"|")),--LEFT(A1463,10)))</f>
        <v/>
      </c>
      <c r="C1463">
        <f>IF(A1463="","",TEXTBEFORE(TEXTAFTER(A1463,"|"),"|"))</f>
        <v/>
      </c>
      <c r="D1463">
        <f>IF(A1463="","",TEXTAFTER(A1463,"|",2))</f>
        <v/>
      </c>
      <c r="E1463">
        <f>IF(A1463="","",SUMIF(Tickets[TripKey],A1463,Tickets[TP]))</f>
        <v/>
      </c>
      <c r="F1463">
        <f>IF(A1463="","",SUMIF(Tickets[TripKey],A1463,Tickets[Revenue]))</f>
        <v/>
      </c>
      <c r="G1463">
        <f>IF(A1463="","",SUMIF(Tickets[TripKey],A1463,Tickets[PK]))</f>
        <v/>
      </c>
      <c r="H1463">
        <f>IF(A1463="","",IFERROR(XLOOKUP(A1463,Tickets[TripKey],Tickets[VehClean]),""))</f>
        <v/>
      </c>
      <c r="I1463">
        <f>IF(A1463="","",IFERROR(XLOOKUP(A1463,Tickets[TripKey],Tickets[RouteLen]),0))</f>
        <v/>
      </c>
      <c r="J1463">
        <f>IF(A1463="","",IFERROR(XLOOKUP(A1463,Tickets[TripKey],Tickets[Capacity]),0))</f>
        <v/>
      </c>
      <c r="K1463">
        <f>IF(A1463="","",I1463*J1463)</f>
        <v/>
      </c>
      <c r="L1463">
        <f>IF(A1463="","",IFERROR(MINIFS(Tickets[Trip Start Time],Tickets[TripKey],A1463),""))</f>
        <v/>
      </c>
    </row>
    <row r="1464">
      <c r="B1464" s="8">
        <f>IF(A1464="","",IFERROR(DATEVALUE(TEXTBEFORE(A1464,"|")),--LEFT(A1464,10)))</f>
        <v/>
      </c>
      <c r="C1464">
        <f>IF(A1464="","",TEXTBEFORE(TEXTAFTER(A1464,"|"),"|"))</f>
        <v/>
      </c>
      <c r="D1464">
        <f>IF(A1464="","",TEXTAFTER(A1464,"|",2))</f>
        <v/>
      </c>
      <c r="E1464">
        <f>IF(A1464="","",SUMIF(Tickets[TripKey],A1464,Tickets[TP]))</f>
        <v/>
      </c>
      <c r="F1464">
        <f>IF(A1464="","",SUMIF(Tickets[TripKey],A1464,Tickets[Revenue]))</f>
        <v/>
      </c>
      <c r="G1464">
        <f>IF(A1464="","",SUMIF(Tickets[TripKey],A1464,Tickets[PK]))</f>
        <v/>
      </c>
      <c r="H1464">
        <f>IF(A1464="","",IFERROR(XLOOKUP(A1464,Tickets[TripKey],Tickets[VehClean]),""))</f>
        <v/>
      </c>
      <c r="I1464">
        <f>IF(A1464="","",IFERROR(XLOOKUP(A1464,Tickets[TripKey],Tickets[RouteLen]),0))</f>
        <v/>
      </c>
      <c r="J1464">
        <f>IF(A1464="","",IFERROR(XLOOKUP(A1464,Tickets[TripKey],Tickets[Capacity]),0))</f>
        <v/>
      </c>
      <c r="K1464">
        <f>IF(A1464="","",I1464*J1464)</f>
        <v/>
      </c>
      <c r="L1464">
        <f>IF(A1464="","",IFERROR(MINIFS(Tickets[Trip Start Time],Tickets[TripKey],A1464),""))</f>
        <v/>
      </c>
    </row>
    <row r="1465">
      <c r="B1465" s="8">
        <f>IF(A1465="","",IFERROR(DATEVALUE(TEXTBEFORE(A1465,"|")),--LEFT(A1465,10)))</f>
        <v/>
      </c>
      <c r="C1465">
        <f>IF(A1465="","",TEXTBEFORE(TEXTAFTER(A1465,"|"),"|"))</f>
        <v/>
      </c>
      <c r="D1465">
        <f>IF(A1465="","",TEXTAFTER(A1465,"|",2))</f>
        <v/>
      </c>
      <c r="E1465">
        <f>IF(A1465="","",SUMIF(Tickets[TripKey],A1465,Tickets[TP]))</f>
        <v/>
      </c>
      <c r="F1465">
        <f>IF(A1465="","",SUMIF(Tickets[TripKey],A1465,Tickets[Revenue]))</f>
        <v/>
      </c>
      <c r="G1465">
        <f>IF(A1465="","",SUMIF(Tickets[TripKey],A1465,Tickets[PK]))</f>
        <v/>
      </c>
      <c r="H1465">
        <f>IF(A1465="","",IFERROR(XLOOKUP(A1465,Tickets[TripKey],Tickets[VehClean]),""))</f>
        <v/>
      </c>
      <c r="I1465">
        <f>IF(A1465="","",IFERROR(XLOOKUP(A1465,Tickets[TripKey],Tickets[RouteLen]),0))</f>
        <v/>
      </c>
      <c r="J1465">
        <f>IF(A1465="","",IFERROR(XLOOKUP(A1465,Tickets[TripKey],Tickets[Capacity]),0))</f>
        <v/>
      </c>
      <c r="K1465">
        <f>IF(A1465="","",I1465*J1465)</f>
        <v/>
      </c>
      <c r="L1465">
        <f>IF(A1465="","",IFERROR(MINIFS(Tickets[Trip Start Time],Tickets[TripKey],A1465),""))</f>
        <v/>
      </c>
    </row>
    <row r="1466">
      <c r="B1466" s="8">
        <f>IF(A1466="","",IFERROR(DATEVALUE(TEXTBEFORE(A1466,"|")),--LEFT(A1466,10)))</f>
        <v/>
      </c>
      <c r="C1466">
        <f>IF(A1466="","",TEXTBEFORE(TEXTAFTER(A1466,"|"),"|"))</f>
        <v/>
      </c>
      <c r="D1466">
        <f>IF(A1466="","",TEXTAFTER(A1466,"|",2))</f>
        <v/>
      </c>
      <c r="E1466">
        <f>IF(A1466="","",SUMIF(Tickets[TripKey],A1466,Tickets[TP]))</f>
        <v/>
      </c>
      <c r="F1466">
        <f>IF(A1466="","",SUMIF(Tickets[TripKey],A1466,Tickets[Revenue]))</f>
        <v/>
      </c>
      <c r="G1466">
        <f>IF(A1466="","",SUMIF(Tickets[TripKey],A1466,Tickets[PK]))</f>
        <v/>
      </c>
      <c r="H1466">
        <f>IF(A1466="","",IFERROR(XLOOKUP(A1466,Tickets[TripKey],Tickets[VehClean]),""))</f>
        <v/>
      </c>
      <c r="I1466">
        <f>IF(A1466="","",IFERROR(XLOOKUP(A1466,Tickets[TripKey],Tickets[RouteLen]),0))</f>
        <v/>
      </c>
      <c r="J1466">
        <f>IF(A1466="","",IFERROR(XLOOKUP(A1466,Tickets[TripKey],Tickets[Capacity]),0))</f>
        <v/>
      </c>
      <c r="K1466">
        <f>IF(A1466="","",I1466*J1466)</f>
        <v/>
      </c>
      <c r="L1466">
        <f>IF(A1466="","",IFERROR(MINIFS(Tickets[Trip Start Time],Tickets[TripKey],A1466),""))</f>
        <v/>
      </c>
    </row>
    <row r="1467">
      <c r="B1467" s="8">
        <f>IF(A1467="","",IFERROR(DATEVALUE(TEXTBEFORE(A1467,"|")),--LEFT(A1467,10)))</f>
        <v/>
      </c>
      <c r="C1467">
        <f>IF(A1467="","",TEXTBEFORE(TEXTAFTER(A1467,"|"),"|"))</f>
        <v/>
      </c>
      <c r="D1467">
        <f>IF(A1467="","",TEXTAFTER(A1467,"|",2))</f>
        <v/>
      </c>
      <c r="E1467">
        <f>IF(A1467="","",SUMIF(Tickets[TripKey],A1467,Tickets[TP]))</f>
        <v/>
      </c>
      <c r="F1467">
        <f>IF(A1467="","",SUMIF(Tickets[TripKey],A1467,Tickets[Revenue]))</f>
        <v/>
      </c>
      <c r="G1467">
        <f>IF(A1467="","",SUMIF(Tickets[TripKey],A1467,Tickets[PK]))</f>
        <v/>
      </c>
      <c r="H1467">
        <f>IF(A1467="","",IFERROR(XLOOKUP(A1467,Tickets[TripKey],Tickets[VehClean]),""))</f>
        <v/>
      </c>
      <c r="I1467">
        <f>IF(A1467="","",IFERROR(XLOOKUP(A1467,Tickets[TripKey],Tickets[RouteLen]),0))</f>
        <v/>
      </c>
      <c r="J1467">
        <f>IF(A1467="","",IFERROR(XLOOKUP(A1467,Tickets[TripKey],Tickets[Capacity]),0))</f>
        <v/>
      </c>
      <c r="K1467">
        <f>IF(A1467="","",I1467*J1467)</f>
        <v/>
      </c>
      <c r="L1467">
        <f>IF(A1467="","",IFERROR(MINIFS(Tickets[Trip Start Time],Tickets[TripKey],A1467),""))</f>
        <v/>
      </c>
    </row>
    <row r="1468">
      <c r="B1468" s="8">
        <f>IF(A1468="","",IFERROR(DATEVALUE(TEXTBEFORE(A1468,"|")),--LEFT(A1468,10)))</f>
        <v/>
      </c>
      <c r="C1468">
        <f>IF(A1468="","",TEXTBEFORE(TEXTAFTER(A1468,"|"),"|"))</f>
        <v/>
      </c>
      <c r="D1468">
        <f>IF(A1468="","",TEXTAFTER(A1468,"|",2))</f>
        <v/>
      </c>
      <c r="E1468">
        <f>IF(A1468="","",SUMIF(Tickets[TripKey],A1468,Tickets[TP]))</f>
        <v/>
      </c>
      <c r="F1468">
        <f>IF(A1468="","",SUMIF(Tickets[TripKey],A1468,Tickets[Revenue]))</f>
        <v/>
      </c>
      <c r="G1468">
        <f>IF(A1468="","",SUMIF(Tickets[TripKey],A1468,Tickets[PK]))</f>
        <v/>
      </c>
      <c r="H1468">
        <f>IF(A1468="","",IFERROR(XLOOKUP(A1468,Tickets[TripKey],Tickets[VehClean]),""))</f>
        <v/>
      </c>
      <c r="I1468">
        <f>IF(A1468="","",IFERROR(XLOOKUP(A1468,Tickets[TripKey],Tickets[RouteLen]),0))</f>
        <v/>
      </c>
      <c r="J1468">
        <f>IF(A1468="","",IFERROR(XLOOKUP(A1468,Tickets[TripKey],Tickets[Capacity]),0))</f>
        <v/>
      </c>
      <c r="K1468">
        <f>IF(A1468="","",I1468*J1468)</f>
        <v/>
      </c>
      <c r="L1468">
        <f>IF(A1468="","",IFERROR(MINIFS(Tickets[Trip Start Time],Tickets[TripKey],A1468),""))</f>
        <v/>
      </c>
    </row>
    <row r="1469">
      <c r="B1469" s="8">
        <f>IF(A1469="","",IFERROR(DATEVALUE(TEXTBEFORE(A1469,"|")),--LEFT(A1469,10)))</f>
        <v/>
      </c>
      <c r="C1469">
        <f>IF(A1469="","",TEXTBEFORE(TEXTAFTER(A1469,"|"),"|"))</f>
        <v/>
      </c>
      <c r="D1469">
        <f>IF(A1469="","",TEXTAFTER(A1469,"|",2))</f>
        <v/>
      </c>
      <c r="E1469">
        <f>IF(A1469="","",SUMIF(Tickets[TripKey],A1469,Tickets[TP]))</f>
        <v/>
      </c>
      <c r="F1469">
        <f>IF(A1469="","",SUMIF(Tickets[TripKey],A1469,Tickets[Revenue]))</f>
        <v/>
      </c>
      <c r="G1469">
        <f>IF(A1469="","",SUMIF(Tickets[TripKey],A1469,Tickets[PK]))</f>
        <v/>
      </c>
      <c r="H1469">
        <f>IF(A1469="","",IFERROR(XLOOKUP(A1469,Tickets[TripKey],Tickets[VehClean]),""))</f>
        <v/>
      </c>
      <c r="I1469">
        <f>IF(A1469="","",IFERROR(XLOOKUP(A1469,Tickets[TripKey],Tickets[RouteLen]),0))</f>
        <v/>
      </c>
      <c r="J1469">
        <f>IF(A1469="","",IFERROR(XLOOKUP(A1469,Tickets[TripKey],Tickets[Capacity]),0))</f>
        <v/>
      </c>
      <c r="K1469">
        <f>IF(A1469="","",I1469*J1469)</f>
        <v/>
      </c>
      <c r="L1469">
        <f>IF(A1469="","",IFERROR(MINIFS(Tickets[Trip Start Time],Tickets[TripKey],A1469),""))</f>
        <v/>
      </c>
    </row>
    <row r="1470">
      <c r="B1470" s="8">
        <f>IF(A1470="","",IFERROR(DATEVALUE(TEXTBEFORE(A1470,"|")),--LEFT(A1470,10)))</f>
        <v/>
      </c>
      <c r="C1470">
        <f>IF(A1470="","",TEXTBEFORE(TEXTAFTER(A1470,"|"),"|"))</f>
        <v/>
      </c>
      <c r="D1470">
        <f>IF(A1470="","",TEXTAFTER(A1470,"|",2))</f>
        <v/>
      </c>
      <c r="E1470">
        <f>IF(A1470="","",SUMIF(Tickets[TripKey],A1470,Tickets[TP]))</f>
        <v/>
      </c>
      <c r="F1470">
        <f>IF(A1470="","",SUMIF(Tickets[TripKey],A1470,Tickets[Revenue]))</f>
        <v/>
      </c>
      <c r="G1470">
        <f>IF(A1470="","",SUMIF(Tickets[TripKey],A1470,Tickets[PK]))</f>
        <v/>
      </c>
      <c r="H1470">
        <f>IF(A1470="","",IFERROR(XLOOKUP(A1470,Tickets[TripKey],Tickets[VehClean]),""))</f>
        <v/>
      </c>
      <c r="I1470">
        <f>IF(A1470="","",IFERROR(XLOOKUP(A1470,Tickets[TripKey],Tickets[RouteLen]),0))</f>
        <v/>
      </c>
      <c r="J1470">
        <f>IF(A1470="","",IFERROR(XLOOKUP(A1470,Tickets[TripKey],Tickets[Capacity]),0))</f>
        <v/>
      </c>
      <c r="K1470">
        <f>IF(A1470="","",I1470*J1470)</f>
        <v/>
      </c>
      <c r="L1470">
        <f>IF(A1470="","",IFERROR(MINIFS(Tickets[Trip Start Time],Tickets[TripKey],A1470),""))</f>
        <v/>
      </c>
    </row>
    <row r="1471">
      <c r="B1471" s="8">
        <f>IF(A1471="","",IFERROR(DATEVALUE(TEXTBEFORE(A1471,"|")),--LEFT(A1471,10)))</f>
        <v/>
      </c>
      <c r="C1471">
        <f>IF(A1471="","",TEXTBEFORE(TEXTAFTER(A1471,"|"),"|"))</f>
        <v/>
      </c>
      <c r="D1471">
        <f>IF(A1471="","",TEXTAFTER(A1471,"|",2))</f>
        <v/>
      </c>
      <c r="E1471">
        <f>IF(A1471="","",SUMIF(Tickets[TripKey],A1471,Tickets[TP]))</f>
        <v/>
      </c>
      <c r="F1471">
        <f>IF(A1471="","",SUMIF(Tickets[TripKey],A1471,Tickets[Revenue]))</f>
        <v/>
      </c>
      <c r="G1471">
        <f>IF(A1471="","",SUMIF(Tickets[TripKey],A1471,Tickets[PK]))</f>
        <v/>
      </c>
      <c r="H1471">
        <f>IF(A1471="","",IFERROR(XLOOKUP(A1471,Tickets[TripKey],Tickets[VehClean]),""))</f>
        <v/>
      </c>
      <c r="I1471">
        <f>IF(A1471="","",IFERROR(XLOOKUP(A1471,Tickets[TripKey],Tickets[RouteLen]),0))</f>
        <v/>
      </c>
      <c r="J1471">
        <f>IF(A1471="","",IFERROR(XLOOKUP(A1471,Tickets[TripKey],Tickets[Capacity]),0))</f>
        <v/>
      </c>
      <c r="K1471">
        <f>IF(A1471="","",I1471*J1471)</f>
        <v/>
      </c>
      <c r="L1471">
        <f>IF(A1471="","",IFERROR(MINIFS(Tickets[Trip Start Time],Tickets[TripKey],A1471),""))</f>
        <v/>
      </c>
    </row>
    <row r="1472">
      <c r="B1472" s="8">
        <f>IF(A1472="","",IFERROR(DATEVALUE(TEXTBEFORE(A1472,"|")),--LEFT(A1472,10)))</f>
        <v/>
      </c>
      <c r="C1472">
        <f>IF(A1472="","",TEXTBEFORE(TEXTAFTER(A1472,"|"),"|"))</f>
        <v/>
      </c>
      <c r="D1472">
        <f>IF(A1472="","",TEXTAFTER(A1472,"|",2))</f>
        <v/>
      </c>
      <c r="E1472">
        <f>IF(A1472="","",SUMIF(Tickets[TripKey],A1472,Tickets[TP]))</f>
        <v/>
      </c>
      <c r="F1472">
        <f>IF(A1472="","",SUMIF(Tickets[TripKey],A1472,Tickets[Revenue]))</f>
        <v/>
      </c>
      <c r="G1472">
        <f>IF(A1472="","",SUMIF(Tickets[TripKey],A1472,Tickets[PK]))</f>
        <v/>
      </c>
      <c r="H1472">
        <f>IF(A1472="","",IFERROR(XLOOKUP(A1472,Tickets[TripKey],Tickets[VehClean]),""))</f>
        <v/>
      </c>
      <c r="I1472">
        <f>IF(A1472="","",IFERROR(XLOOKUP(A1472,Tickets[TripKey],Tickets[RouteLen]),0))</f>
        <v/>
      </c>
      <c r="J1472">
        <f>IF(A1472="","",IFERROR(XLOOKUP(A1472,Tickets[TripKey],Tickets[Capacity]),0))</f>
        <v/>
      </c>
      <c r="K1472">
        <f>IF(A1472="","",I1472*J1472)</f>
        <v/>
      </c>
      <c r="L1472">
        <f>IF(A1472="","",IFERROR(MINIFS(Tickets[Trip Start Time],Tickets[TripKey],A1472),""))</f>
        <v/>
      </c>
    </row>
    <row r="1473">
      <c r="B1473" s="8">
        <f>IF(A1473="","",IFERROR(DATEVALUE(TEXTBEFORE(A1473,"|")),--LEFT(A1473,10)))</f>
        <v/>
      </c>
      <c r="C1473">
        <f>IF(A1473="","",TEXTBEFORE(TEXTAFTER(A1473,"|"),"|"))</f>
        <v/>
      </c>
      <c r="D1473">
        <f>IF(A1473="","",TEXTAFTER(A1473,"|",2))</f>
        <v/>
      </c>
      <c r="E1473">
        <f>IF(A1473="","",SUMIF(Tickets[TripKey],A1473,Tickets[TP]))</f>
        <v/>
      </c>
      <c r="F1473">
        <f>IF(A1473="","",SUMIF(Tickets[TripKey],A1473,Tickets[Revenue]))</f>
        <v/>
      </c>
      <c r="G1473">
        <f>IF(A1473="","",SUMIF(Tickets[TripKey],A1473,Tickets[PK]))</f>
        <v/>
      </c>
      <c r="H1473">
        <f>IF(A1473="","",IFERROR(XLOOKUP(A1473,Tickets[TripKey],Tickets[VehClean]),""))</f>
        <v/>
      </c>
      <c r="I1473">
        <f>IF(A1473="","",IFERROR(XLOOKUP(A1473,Tickets[TripKey],Tickets[RouteLen]),0))</f>
        <v/>
      </c>
      <c r="J1473">
        <f>IF(A1473="","",IFERROR(XLOOKUP(A1473,Tickets[TripKey],Tickets[Capacity]),0))</f>
        <v/>
      </c>
      <c r="K1473">
        <f>IF(A1473="","",I1473*J1473)</f>
        <v/>
      </c>
      <c r="L1473">
        <f>IF(A1473="","",IFERROR(MINIFS(Tickets[Trip Start Time],Tickets[TripKey],A1473),""))</f>
        <v/>
      </c>
    </row>
    <row r="1474">
      <c r="B1474" s="8">
        <f>IF(A1474="","",IFERROR(DATEVALUE(TEXTBEFORE(A1474,"|")),--LEFT(A1474,10)))</f>
        <v/>
      </c>
      <c r="C1474">
        <f>IF(A1474="","",TEXTBEFORE(TEXTAFTER(A1474,"|"),"|"))</f>
        <v/>
      </c>
      <c r="D1474">
        <f>IF(A1474="","",TEXTAFTER(A1474,"|",2))</f>
        <v/>
      </c>
      <c r="E1474">
        <f>IF(A1474="","",SUMIF(Tickets[TripKey],A1474,Tickets[TP]))</f>
        <v/>
      </c>
      <c r="F1474">
        <f>IF(A1474="","",SUMIF(Tickets[TripKey],A1474,Tickets[Revenue]))</f>
        <v/>
      </c>
      <c r="G1474">
        <f>IF(A1474="","",SUMIF(Tickets[TripKey],A1474,Tickets[PK]))</f>
        <v/>
      </c>
      <c r="H1474">
        <f>IF(A1474="","",IFERROR(XLOOKUP(A1474,Tickets[TripKey],Tickets[VehClean]),""))</f>
        <v/>
      </c>
      <c r="I1474">
        <f>IF(A1474="","",IFERROR(XLOOKUP(A1474,Tickets[TripKey],Tickets[RouteLen]),0))</f>
        <v/>
      </c>
      <c r="J1474">
        <f>IF(A1474="","",IFERROR(XLOOKUP(A1474,Tickets[TripKey],Tickets[Capacity]),0))</f>
        <v/>
      </c>
      <c r="K1474">
        <f>IF(A1474="","",I1474*J1474)</f>
        <v/>
      </c>
      <c r="L1474">
        <f>IF(A1474="","",IFERROR(MINIFS(Tickets[Trip Start Time],Tickets[TripKey],A1474),""))</f>
        <v/>
      </c>
    </row>
    <row r="1475">
      <c r="B1475" s="8">
        <f>IF(A1475="","",IFERROR(DATEVALUE(TEXTBEFORE(A1475,"|")),--LEFT(A1475,10)))</f>
        <v/>
      </c>
      <c r="C1475">
        <f>IF(A1475="","",TEXTBEFORE(TEXTAFTER(A1475,"|"),"|"))</f>
        <v/>
      </c>
      <c r="D1475">
        <f>IF(A1475="","",TEXTAFTER(A1475,"|",2))</f>
        <v/>
      </c>
      <c r="E1475">
        <f>IF(A1475="","",SUMIF(Tickets[TripKey],A1475,Tickets[TP]))</f>
        <v/>
      </c>
      <c r="F1475">
        <f>IF(A1475="","",SUMIF(Tickets[TripKey],A1475,Tickets[Revenue]))</f>
        <v/>
      </c>
      <c r="G1475">
        <f>IF(A1475="","",SUMIF(Tickets[TripKey],A1475,Tickets[PK]))</f>
        <v/>
      </c>
      <c r="H1475">
        <f>IF(A1475="","",IFERROR(XLOOKUP(A1475,Tickets[TripKey],Tickets[VehClean]),""))</f>
        <v/>
      </c>
      <c r="I1475">
        <f>IF(A1475="","",IFERROR(XLOOKUP(A1475,Tickets[TripKey],Tickets[RouteLen]),0))</f>
        <v/>
      </c>
      <c r="J1475">
        <f>IF(A1475="","",IFERROR(XLOOKUP(A1475,Tickets[TripKey],Tickets[Capacity]),0))</f>
        <v/>
      </c>
      <c r="K1475">
        <f>IF(A1475="","",I1475*J1475)</f>
        <v/>
      </c>
      <c r="L1475">
        <f>IF(A1475="","",IFERROR(MINIFS(Tickets[Trip Start Time],Tickets[TripKey],A1475),""))</f>
        <v/>
      </c>
    </row>
    <row r="1476">
      <c r="B1476" s="8">
        <f>IF(A1476="","",IFERROR(DATEVALUE(TEXTBEFORE(A1476,"|")),--LEFT(A1476,10)))</f>
        <v/>
      </c>
      <c r="C1476">
        <f>IF(A1476="","",TEXTBEFORE(TEXTAFTER(A1476,"|"),"|"))</f>
        <v/>
      </c>
      <c r="D1476">
        <f>IF(A1476="","",TEXTAFTER(A1476,"|",2))</f>
        <v/>
      </c>
      <c r="E1476">
        <f>IF(A1476="","",SUMIF(Tickets[TripKey],A1476,Tickets[TP]))</f>
        <v/>
      </c>
      <c r="F1476">
        <f>IF(A1476="","",SUMIF(Tickets[TripKey],A1476,Tickets[Revenue]))</f>
        <v/>
      </c>
      <c r="G1476">
        <f>IF(A1476="","",SUMIF(Tickets[TripKey],A1476,Tickets[PK]))</f>
        <v/>
      </c>
      <c r="H1476">
        <f>IF(A1476="","",IFERROR(XLOOKUP(A1476,Tickets[TripKey],Tickets[VehClean]),""))</f>
        <v/>
      </c>
      <c r="I1476">
        <f>IF(A1476="","",IFERROR(XLOOKUP(A1476,Tickets[TripKey],Tickets[RouteLen]),0))</f>
        <v/>
      </c>
      <c r="J1476">
        <f>IF(A1476="","",IFERROR(XLOOKUP(A1476,Tickets[TripKey],Tickets[Capacity]),0))</f>
        <v/>
      </c>
      <c r="K1476">
        <f>IF(A1476="","",I1476*J1476)</f>
        <v/>
      </c>
      <c r="L1476">
        <f>IF(A1476="","",IFERROR(MINIFS(Tickets[Trip Start Time],Tickets[TripKey],A1476),""))</f>
        <v/>
      </c>
    </row>
    <row r="1477">
      <c r="B1477" s="8">
        <f>IF(A1477="","",IFERROR(DATEVALUE(TEXTBEFORE(A1477,"|")),--LEFT(A1477,10)))</f>
        <v/>
      </c>
      <c r="C1477">
        <f>IF(A1477="","",TEXTBEFORE(TEXTAFTER(A1477,"|"),"|"))</f>
        <v/>
      </c>
      <c r="D1477">
        <f>IF(A1477="","",TEXTAFTER(A1477,"|",2))</f>
        <v/>
      </c>
      <c r="E1477">
        <f>IF(A1477="","",SUMIF(Tickets[TripKey],A1477,Tickets[TP]))</f>
        <v/>
      </c>
      <c r="F1477">
        <f>IF(A1477="","",SUMIF(Tickets[TripKey],A1477,Tickets[Revenue]))</f>
        <v/>
      </c>
      <c r="G1477">
        <f>IF(A1477="","",SUMIF(Tickets[TripKey],A1477,Tickets[PK]))</f>
        <v/>
      </c>
      <c r="H1477">
        <f>IF(A1477="","",IFERROR(XLOOKUP(A1477,Tickets[TripKey],Tickets[VehClean]),""))</f>
        <v/>
      </c>
      <c r="I1477">
        <f>IF(A1477="","",IFERROR(XLOOKUP(A1477,Tickets[TripKey],Tickets[RouteLen]),0))</f>
        <v/>
      </c>
      <c r="J1477">
        <f>IF(A1477="","",IFERROR(XLOOKUP(A1477,Tickets[TripKey],Tickets[Capacity]),0))</f>
        <v/>
      </c>
      <c r="K1477">
        <f>IF(A1477="","",I1477*J1477)</f>
        <v/>
      </c>
      <c r="L1477">
        <f>IF(A1477="","",IFERROR(MINIFS(Tickets[Trip Start Time],Tickets[TripKey],A1477),""))</f>
        <v/>
      </c>
    </row>
    <row r="1478">
      <c r="B1478" s="8">
        <f>IF(A1478="","",IFERROR(DATEVALUE(TEXTBEFORE(A1478,"|")),--LEFT(A1478,10)))</f>
        <v/>
      </c>
      <c r="C1478">
        <f>IF(A1478="","",TEXTBEFORE(TEXTAFTER(A1478,"|"),"|"))</f>
        <v/>
      </c>
      <c r="D1478">
        <f>IF(A1478="","",TEXTAFTER(A1478,"|",2))</f>
        <v/>
      </c>
      <c r="E1478">
        <f>IF(A1478="","",SUMIF(Tickets[TripKey],A1478,Tickets[TP]))</f>
        <v/>
      </c>
      <c r="F1478">
        <f>IF(A1478="","",SUMIF(Tickets[TripKey],A1478,Tickets[Revenue]))</f>
        <v/>
      </c>
      <c r="G1478">
        <f>IF(A1478="","",SUMIF(Tickets[TripKey],A1478,Tickets[PK]))</f>
        <v/>
      </c>
      <c r="H1478">
        <f>IF(A1478="","",IFERROR(XLOOKUP(A1478,Tickets[TripKey],Tickets[VehClean]),""))</f>
        <v/>
      </c>
      <c r="I1478">
        <f>IF(A1478="","",IFERROR(XLOOKUP(A1478,Tickets[TripKey],Tickets[RouteLen]),0))</f>
        <v/>
      </c>
      <c r="J1478">
        <f>IF(A1478="","",IFERROR(XLOOKUP(A1478,Tickets[TripKey],Tickets[Capacity]),0))</f>
        <v/>
      </c>
      <c r="K1478">
        <f>IF(A1478="","",I1478*J1478)</f>
        <v/>
      </c>
      <c r="L1478">
        <f>IF(A1478="","",IFERROR(MINIFS(Tickets[Trip Start Time],Tickets[TripKey],A1478),""))</f>
        <v/>
      </c>
    </row>
    <row r="1479">
      <c r="B1479" s="8">
        <f>IF(A1479="","",IFERROR(DATEVALUE(TEXTBEFORE(A1479,"|")),--LEFT(A1479,10)))</f>
        <v/>
      </c>
      <c r="C1479">
        <f>IF(A1479="","",TEXTBEFORE(TEXTAFTER(A1479,"|"),"|"))</f>
        <v/>
      </c>
      <c r="D1479">
        <f>IF(A1479="","",TEXTAFTER(A1479,"|",2))</f>
        <v/>
      </c>
      <c r="E1479">
        <f>IF(A1479="","",SUMIF(Tickets[TripKey],A1479,Tickets[TP]))</f>
        <v/>
      </c>
      <c r="F1479">
        <f>IF(A1479="","",SUMIF(Tickets[TripKey],A1479,Tickets[Revenue]))</f>
        <v/>
      </c>
      <c r="G1479">
        <f>IF(A1479="","",SUMIF(Tickets[TripKey],A1479,Tickets[PK]))</f>
        <v/>
      </c>
      <c r="H1479">
        <f>IF(A1479="","",IFERROR(XLOOKUP(A1479,Tickets[TripKey],Tickets[VehClean]),""))</f>
        <v/>
      </c>
      <c r="I1479">
        <f>IF(A1479="","",IFERROR(XLOOKUP(A1479,Tickets[TripKey],Tickets[RouteLen]),0))</f>
        <v/>
      </c>
      <c r="J1479">
        <f>IF(A1479="","",IFERROR(XLOOKUP(A1479,Tickets[TripKey],Tickets[Capacity]),0))</f>
        <v/>
      </c>
      <c r="K1479">
        <f>IF(A1479="","",I1479*J1479)</f>
        <v/>
      </c>
      <c r="L1479">
        <f>IF(A1479="","",IFERROR(MINIFS(Tickets[Trip Start Time],Tickets[TripKey],A1479),""))</f>
        <v/>
      </c>
    </row>
    <row r="1480">
      <c r="B1480" s="8">
        <f>IF(A1480="","",IFERROR(DATEVALUE(TEXTBEFORE(A1480,"|")),--LEFT(A1480,10)))</f>
        <v/>
      </c>
      <c r="C1480">
        <f>IF(A1480="","",TEXTBEFORE(TEXTAFTER(A1480,"|"),"|"))</f>
        <v/>
      </c>
      <c r="D1480">
        <f>IF(A1480="","",TEXTAFTER(A1480,"|",2))</f>
        <v/>
      </c>
      <c r="E1480">
        <f>IF(A1480="","",SUMIF(Tickets[TripKey],A1480,Tickets[TP]))</f>
        <v/>
      </c>
      <c r="F1480">
        <f>IF(A1480="","",SUMIF(Tickets[TripKey],A1480,Tickets[Revenue]))</f>
        <v/>
      </c>
      <c r="G1480">
        <f>IF(A1480="","",SUMIF(Tickets[TripKey],A1480,Tickets[PK]))</f>
        <v/>
      </c>
      <c r="H1480">
        <f>IF(A1480="","",IFERROR(XLOOKUP(A1480,Tickets[TripKey],Tickets[VehClean]),""))</f>
        <v/>
      </c>
      <c r="I1480">
        <f>IF(A1480="","",IFERROR(XLOOKUP(A1480,Tickets[TripKey],Tickets[RouteLen]),0))</f>
        <v/>
      </c>
      <c r="J1480">
        <f>IF(A1480="","",IFERROR(XLOOKUP(A1480,Tickets[TripKey],Tickets[Capacity]),0))</f>
        <v/>
      </c>
      <c r="K1480">
        <f>IF(A1480="","",I1480*J1480)</f>
        <v/>
      </c>
      <c r="L1480">
        <f>IF(A1480="","",IFERROR(MINIFS(Tickets[Trip Start Time],Tickets[TripKey],A1480),""))</f>
        <v/>
      </c>
    </row>
    <row r="1481">
      <c r="B1481" s="8">
        <f>IF(A1481="","",IFERROR(DATEVALUE(TEXTBEFORE(A1481,"|")),--LEFT(A1481,10)))</f>
        <v/>
      </c>
      <c r="C1481">
        <f>IF(A1481="","",TEXTBEFORE(TEXTAFTER(A1481,"|"),"|"))</f>
        <v/>
      </c>
      <c r="D1481">
        <f>IF(A1481="","",TEXTAFTER(A1481,"|",2))</f>
        <v/>
      </c>
      <c r="E1481">
        <f>IF(A1481="","",SUMIF(Tickets[TripKey],A1481,Tickets[TP]))</f>
        <v/>
      </c>
      <c r="F1481">
        <f>IF(A1481="","",SUMIF(Tickets[TripKey],A1481,Tickets[Revenue]))</f>
        <v/>
      </c>
      <c r="G1481">
        <f>IF(A1481="","",SUMIF(Tickets[TripKey],A1481,Tickets[PK]))</f>
        <v/>
      </c>
      <c r="H1481">
        <f>IF(A1481="","",IFERROR(XLOOKUP(A1481,Tickets[TripKey],Tickets[VehClean]),""))</f>
        <v/>
      </c>
      <c r="I1481">
        <f>IF(A1481="","",IFERROR(XLOOKUP(A1481,Tickets[TripKey],Tickets[RouteLen]),0))</f>
        <v/>
      </c>
      <c r="J1481">
        <f>IF(A1481="","",IFERROR(XLOOKUP(A1481,Tickets[TripKey],Tickets[Capacity]),0))</f>
        <v/>
      </c>
      <c r="K1481">
        <f>IF(A1481="","",I1481*J1481)</f>
        <v/>
      </c>
      <c r="L1481">
        <f>IF(A1481="","",IFERROR(MINIFS(Tickets[Trip Start Time],Tickets[TripKey],A1481),""))</f>
        <v/>
      </c>
    </row>
    <row r="1482">
      <c r="B1482" s="8">
        <f>IF(A1482="","",IFERROR(DATEVALUE(TEXTBEFORE(A1482,"|")),--LEFT(A1482,10)))</f>
        <v/>
      </c>
      <c r="C1482">
        <f>IF(A1482="","",TEXTBEFORE(TEXTAFTER(A1482,"|"),"|"))</f>
        <v/>
      </c>
      <c r="D1482">
        <f>IF(A1482="","",TEXTAFTER(A1482,"|",2))</f>
        <v/>
      </c>
      <c r="E1482">
        <f>IF(A1482="","",SUMIF(Tickets[TripKey],A1482,Tickets[TP]))</f>
        <v/>
      </c>
      <c r="F1482">
        <f>IF(A1482="","",SUMIF(Tickets[TripKey],A1482,Tickets[Revenue]))</f>
        <v/>
      </c>
      <c r="G1482">
        <f>IF(A1482="","",SUMIF(Tickets[TripKey],A1482,Tickets[PK]))</f>
        <v/>
      </c>
      <c r="H1482">
        <f>IF(A1482="","",IFERROR(XLOOKUP(A1482,Tickets[TripKey],Tickets[VehClean]),""))</f>
        <v/>
      </c>
      <c r="I1482">
        <f>IF(A1482="","",IFERROR(XLOOKUP(A1482,Tickets[TripKey],Tickets[RouteLen]),0))</f>
        <v/>
      </c>
      <c r="J1482">
        <f>IF(A1482="","",IFERROR(XLOOKUP(A1482,Tickets[TripKey],Tickets[Capacity]),0))</f>
        <v/>
      </c>
      <c r="K1482">
        <f>IF(A1482="","",I1482*J1482)</f>
        <v/>
      </c>
      <c r="L1482">
        <f>IF(A1482="","",IFERROR(MINIFS(Tickets[Trip Start Time],Tickets[TripKey],A1482),""))</f>
        <v/>
      </c>
    </row>
    <row r="1483">
      <c r="B1483" s="8">
        <f>IF(A1483="","",IFERROR(DATEVALUE(TEXTBEFORE(A1483,"|")),--LEFT(A1483,10)))</f>
        <v/>
      </c>
      <c r="C1483">
        <f>IF(A1483="","",TEXTBEFORE(TEXTAFTER(A1483,"|"),"|"))</f>
        <v/>
      </c>
      <c r="D1483">
        <f>IF(A1483="","",TEXTAFTER(A1483,"|",2))</f>
        <v/>
      </c>
      <c r="E1483">
        <f>IF(A1483="","",SUMIF(Tickets[TripKey],A1483,Tickets[TP]))</f>
        <v/>
      </c>
      <c r="F1483">
        <f>IF(A1483="","",SUMIF(Tickets[TripKey],A1483,Tickets[Revenue]))</f>
        <v/>
      </c>
      <c r="G1483">
        <f>IF(A1483="","",SUMIF(Tickets[TripKey],A1483,Tickets[PK]))</f>
        <v/>
      </c>
      <c r="H1483">
        <f>IF(A1483="","",IFERROR(XLOOKUP(A1483,Tickets[TripKey],Tickets[VehClean]),""))</f>
        <v/>
      </c>
      <c r="I1483">
        <f>IF(A1483="","",IFERROR(XLOOKUP(A1483,Tickets[TripKey],Tickets[RouteLen]),0))</f>
        <v/>
      </c>
      <c r="J1483">
        <f>IF(A1483="","",IFERROR(XLOOKUP(A1483,Tickets[TripKey],Tickets[Capacity]),0))</f>
        <v/>
      </c>
      <c r="K1483">
        <f>IF(A1483="","",I1483*J1483)</f>
        <v/>
      </c>
      <c r="L1483">
        <f>IF(A1483="","",IFERROR(MINIFS(Tickets[Trip Start Time],Tickets[TripKey],A1483),""))</f>
        <v/>
      </c>
    </row>
    <row r="1484">
      <c r="B1484" s="8">
        <f>IF(A1484="","",IFERROR(DATEVALUE(TEXTBEFORE(A1484,"|")),--LEFT(A1484,10)))</f>
        <v/>
      </c>
      <c r="C1484">
        <f>IF(A1484="","",TEXTBEFORE(TEXTAFTER(A1484,"|"),"|"))</f>
        <v/>
      </c>
      <c r="D1484">
        <f>IF(A1484="","",TEXTAFTER(A1484,"|",2))</f>
        <v/>
      </c>
      <c r="E1484">
        <f>IF(A1484="","",SUMIF(Tickets[TripKey],A1484,Tickets[TP]))</f>
        <v/>
      </c>
      <c r="F1484">
        <f>IF(A1484="","",SUMIF(Tickets[TripKey],A1484,Tickets[Revenue]))</f>
        <v/>
      </c>
      <c r="G1484">
        <f>IF(A1484="","",SUMIF(Tickets[TripKey],A1484,Tickets[PK]))</f>
        <v/>
      </c>
      <c r="H1484">
        <f>IF(A1484="","",IFERROR(XLOOKUP(A1484,Tickets[TripKey],Tickets[VehClean]),""))</f>
        <v/>
      </c>
      <c r="I1484">
        <f>IF(A1484="","",IFERROR(XLOOKUP(A1484,Tickets[TripKey],Tickets[RouteLen]),0))</f>
        <v/>
      </c>
      <c r="J1484">
        <f>IF(A1484="","",IFERROR(XLOOKUP(A1484,Tickets[TripKey],Tickets[Capacity]),0))</f>
        <v/>
      </c>
      <c r="K1484">
        <f>IF(A1484="","",I1484*J1484)</f>
        <v/>
      </c>
      <c r="L1484">
        <f>IF(A1484="","",IFERROR(MINIFS(Tickets[Trip Start Time],Tickets[TripKey],A1484),""))</f>
        <v/>
      </c>
    </row>
    <row r="1485">
      <c r="B1485" s="8">
        <f>IF(A1485="","",IFERROR(DATEVALUE(TEXTBEFORE(A1485,"|")),--LEFT(A1485,10)))</f>
        <v/>
      </c>
      <c r="C1485">
        <f>IF(A1485="","",TEXTBEFORE(TEXTAFTER(A1485,"|"),"|"))</f>
        <v/>
      </c>
      <c r="D1485">
        <f>IF(A1485="","",TEXTAFTER(A1485,"|",2))</f>
        <v/>
      </c>
      <c r="E1485">
        <f>IF(A1485="","",SUMIF(Tickets[TripKey],A1485,Tickets[TP]))</f>
        <v/>
      </c>
      <c r="F1485">
        <f>IF(A1485="","",SUMIF(Tickets[TripKey],A1485,Tickets[Revenue]))</f>
        <v/>
      </c>
      <c r="G1485">
        <f>IF(A1485="","",SUMIF(Tickets[TripKey],A1485,Tickets[PK]))</f>
        <v/>
      </c>
      <c r="H1485">
        <f>IF(A1485="","",IFERROR(XLOOKUP(A1485,Tickets[TripKey],Tickets[VehClean]),""))</f>
        <v/>
      </c>
      <c r="I1485">
        <f>IF(A1485="","",IFERROR(XLOOKUP(A1485,Tickets[TripKey],Tickets[RouteLen]),0))</f>
        <v/>
      </c>
      <c r="J1485">
        <f>IF(A1485="","",IFERROR(XLOOKUP(A1485,Tickets[TripKey],Tickets[Capacity]),0))</f>
        <v/>
      </c>
      <c r="K1485">
        <f>IF(A1485="","",I1485*J1485)</f>
        <v/>
      </c>
      <c r="L1485">
        <f>IF(A1485="","",IFERROR(MINIFS(Tickets[Trip Start Time],Tickets[TripKey],A1485),""))</f>
        <v/>
      </c>
    </row>
    <row r="1486">
      <c r="B1486" s="8">
        <f>IF(A1486="","",IFERROR(DATEVALUE(TEXTBEFORE(A1486,"|")),--LEFT(A1486,10)))</f>
        <v/>
      </c>
      <c r="C1486">
        <f>IF(A1486="","",TEXTBEFORE(TEXTAFTER(A1486,"|"),"|"))</f>
        <v/>
      </c>
      <c r="D1486">
        <f>IF(A1486="","",TEXTAFTER(A1486,"|",2))</f>
        <v/>
      </c>
      <c r="E1486">
        <f>IF(A1486="","",SUMIF(Tickets[TripKey],A1486,Tickets[TP]))</f>
        <v/>
      </c>
      <c r="F1486">
        <f>IF(A1486="","",SUMIF(Tickets[TripKey],A1486,Tickets[Revenue]))</f>
        <v/>
      </c>
      <c r="G1486">
        <f>IF(A1486="","",SUMIF(Tickets[TripKey],A1486,Tickets[PK]))</f>
        <v/>
      </c>
      <c r="H1486">
        <f>IF(A1486="","",IFERROR(XLOOKUP(A1486,Tickets[TripKey],Tickets[VehClean]),""))</f>
        <v/>
      </c>
      <c r="I1486">
        <f>IF(A1486="","",IFERROR(XLOOKUP(A1486,Tickets[TripKey],Tickets[RouteLen]),0))</f>
        <v/>
      </c>
      <c r="J1486">
        <f>IF(A1486="","",IFERROR(XLOOKUP(A1486,Tickets[TripKey],Tickets[Capacity]),0))</f>
        <v/>
      </c>
      <c r="K1486">
        <f>IF(A1486="","",I1486*J1486)</f>
        <v/>
      </c>
      <c r="L1486">
        <f>IF(A1486="","",IFERROR(MINIFS(Tickets[Trip Start Time],Tickets[TripKey],A1486),""))</f>
        <v/>
      </c>
    </row>
    <row r="1487">
      <c r="B1487" s="8">
        <f>IF(A1487="","",IFERROR(DATEVALUE(TEXTBEFORE(A1487,"|")),--LEFT(A1487,10)))</f>
        <v/>
      </c>
      <c r="C1487">
        <f>IF(A1487="","",TEXTBEFORE(TEXTAFTER(A1487,"|"),"|"))</f>
        <v/>
      </c>
      <c r="D1487">
        <f>IF(A1487="","",TEXTAFTER(A1487,"|",2))</f>
        <v/>
      </c>
      <c r="E1487">
        <f>IF(A1487="","",SUMIF(Tickets[TripKey],A1487,Tickets[TP]))</f>
        <v/>
      </c>
      <c r="F1487">
        <f>IF(A1487="","",SUMIF(Tickets[TripKey],A1487,Tickets[Revenue]))</f>
        <v/>
      </c>
      <c r="G1487">
        <f>IF(A1487="","",SUMIF(Tickets[TripKey],A1487,Tickets[PK]))</f>
        <v/>
      </c>
      <c r="H1487">
        <f>IF(A1487="","",IFERROR(XLOOKUP(A1487,Tickets[TripKey],Tickets[VehClean]),""))</f>
        <v/>
      </c>
      <c r="I1487">
        <f>IF(A1487="","",IFERROR(XLOOKUP(A1487,Tickets[TripKey],Tickets[RouteLen]),0))</f>
        <v/>
      </c>
      <c r="J1487">
        <f>IF(A1487="","",IFERROR(XLOOKUP(A1487,Tickets[TripKey],Tickets[Capacity]),0))</f>
        <v/>
      </c>
      <c r="K1487">
        <f>IF(A1487="","",I1487*J1487)</f>
        <v/>
      </c>
      <c r="L1487">
        <f>IF(A1487="","",IFERROR(MINIFS(Tickets[Trip Start Time],Tickets[TripKey],A1487),""))</f>
        <v/>
      </c>
    </row>
    <row r="1488">
      <c r="B1488" s="8">
        <f>IF(A1488="","",IFERROR(DATEVALUE(TEXTBEFORE(A1488,"|")),--LEFT(A1488,10)))</f>
        <v/>
      </c>
      <c r="C1488">
        <f>IF(A1488="","",TEXTBEFORE(TEXTAFTER(A1488,"|"),"|"))</f>
        <v/>
      </c>
      <c r="D1488">
        <f>IF(A1488="","",TEXTAFTER(A1488,"|",2))</f>
        <v/>
      </c>
      <c r="E1488">
        <f>IF(A1488="","",SUMIF(Tickets[TripKey],A1488,Tickets[TP]))</f>
        <v/>
      </c>
      <c r="F1488">
        <f>IF(A1488="","",SUMIF(Tickets[TripKey],A1488,Tickets[Revenue]))</f>
        <v/>
      </c>
      <c r="G1488">
        <f>IF(A1488="","",SUMIF(Tickets[TripKey],A1488,Tickets[PK]))</f>
        <v/>
      </c>
      <c r="H1488">
        <f>IF(A1488="","",IFERROR(XLOOKUP(A1488,Tickets[TripKey],Tickets[VehClean]),""))</f>
        <v/>
      </c>
      <c r="I1488">
        <f>IF(A1488="","",IFERROR(XLOOKUP(A1488,Tickets[TripKey],Tickets[RouteLen]),0))</f>
        <v/>
      </c>
      <c r="J1488">
        <f>IF(A1488="","",IFERROR(XLOOKUP(A1488,Tickets[TripKey],Tickets[Capacity]),0))</f>
        <v/>
      </c>
      <c r="K1488">
        <f>IF(A1488="","",I1488*J1488)</f>
        <v/>
      </c>
      <c r="L1488">
        <f>IF(A1488="","",IFERROR(MINIFS(Tickets[Trip Start Time],Tickets[TripKey],A1488),""))</f>
        <v/>
      </c>
    </row>
    <row r="1489">
      <c r="B1489" s="8">
        <f>IF(A1489="","",IFERROR(DATEVALUE(TEXTBEFORE(A1489,"|")),--LEFT(A1489,10)))</f>
        <v/>
      </c>
      <c r="C1489">
        <f>IF(A1489="","",TEXTBEFORE(TEXTAFTER(A1489,"|"),"|"))</f>
        <v/>
      </c>
      <c r="D1489">
        <f>IF(A1489="","",TEXTAFTER(A1489,"|",2))</f>
        <v/>
      </c>
      <c r="E1489">
        <f>IF(A1489="","",SUMIF(Tickets[TripKey],A1489,Tickets[TP]))</f>
        <v/>
      </c>
      <c r="F1489">
        <f>IF(A1489="","",SUMIF(Tickets[TripKey],A1489,Tickets[Revenue]))</f>
        <v/>
      </c>
      <c r="G1489">
        <f>IF(A1489="","",SUMIF(Tickets[TripKey],A1489,Tickets[PK]))</f>
        <v/>
      </c>
      <c r="H1489">
        <f>IF(A1489="","",IFERROR(XLOOKUP(A1489,Tickets[TripKey],Tickets[VehClean]),""))</f>
        <v/>
      </c>
      <c r="I1489">
        <f>IF(A1489="","",IFERROR(XLOOKUP(A1489,Tickets[TripKey],Tickets[RouteLen]),0))</f>
        <v/>
      </c>
      <c r="J1489">
        <f>IF(A1489="","",IFERROR(XLOOKUP(A1489,Tickets[TripKey],Tickets[Capacity]),0))</f>
        <v/>
      </c>
      <c r="K1489">
        <f>IF(A1489="","",I1489*J1489)</f>
        <v/>
      </c>
      <c r="L1489">
        <f>IF(A1489="","",IFERROR(MINIFS(Tickets[Trip Start Time],Tickets[TripKey],A1489),""))</f>
        <v/>
      </c>
    </row>
    <row r="1490">
      <c r="B1490" s="8">
        <f>IF(A1490="","",IFERROR(DATEVALUE(TEXTBEFORE(A1490,"|")),--LEFT(A1490,10)))</f>
        <v/>
      </c>
      <c r="C1490">
        <f>IF(A1490="","",TEXTBEFORE(TEXTAFTER(A1490,"|"),"|"))</f>
        <v/>
      </c>
      <c r="D1490">
        <f>IF(A1490="","",TEXTAFTER(A1490,"|",2))</f>
        <v/>
      </c>
      <c r="E1490">
        <f>IF(A1490="","",SUMIF(Tickets[TripKey],A1490,Tickets[TP]))</f>
        <v/>
      </c>
      <c r="F1490">
        <f>IF(A1490="","",SUMIF(Tickets[TripKey],A1490,Tickets[Revenue]))</f>
        <v/>
      </c>
      <c r="G1490">
        <f>IF(A1490="","",SUMIF(Tickets[TripKey],A1490,Tickets[PK]))</f>
        <v/>
      </c>
      <c r="H1490">
        <f>IF(A1490="","",IFERROR(XLOOKUP(A1490,Tickets[TripKey],Tickets[VehClean]),""))</f>
        <v/>
      </c>
      <c r="I1490">
        <f>IF(A1490="","",IFERROR(XLOOKUP(A1490,Tickets[TripKey],Tickets[RouteLen]),0))</f>
        <v/>
      </c>
      <c r="J1490">
        <f>IF(A1490="","",IFERROR(XLOOKUP(A1490,Tickets[TripKey],Tickets[Capacity]),0))</f>
        <v/>
      </c>
      <c r="K1490">
        <f>IF(A1490="","",I1490*J1490)</f>
        <v/>
      </c>
      <c r="L1490">
        <f>IF(A1490="","",IFERROR(MINIFS(Tickets[Trip Start Time],Tickets[TripKey],A1490),""))</f>
        <v/>
      </c>
    </row>
    <row r="1491">
      <c r="B1491" s="8">
        <f>IF(A1491="","",IFERROR(DATEVALUE(TEXTBEFORE(A1491,"|")),--LEFT(A1491,10)))</f>
        <v/>
      </c>
      <c r="C1491">
        <f>IF(A1491="","",TEXTBEFORE(TEXTAFTER(A1491,"|"),"|"))</f>
        <v/>
      </c>
      <c r="D1491">
        <f>IF(A1491="","",TEXTAFTER(A1491,"|",2))</f>
        <v/>
      </c>
      <c r="E1491">
        <f>IF(A1491="","",SUMIF(Tickets[TripKey],A1491,Tickets[TP]))</f>
        <v/>
      </c>
      <c r="F1491">
        <f>IF(A1491="","",SUMIF(Tickets[TripKey],A1491,Tickets[Revenue]))</f>
        <v/>
      </c>
      <c r="G1491">
        <f>IF(A1491="","",SUMIF(Tickets[TripKey],A1491,Tickets[PK]))</f>
        <v/>
      </c>
      <c r="H1491">
        <f>IF(A1491="","",IFERROR(XLOOKUP(A1491,Tickets[TripKey],Tickets[VehClean]),""))</f>
        <v/>
      </c>
      <c r="I1491">
        <f>IF(A1491="","",IFERROR(XLOOKUP(A1491,Tickets[TripKey],Tickets[RouteLen]),0))</f>
        <v/>
      </c>
      <c r="J1491">
        <f>IF(A1491="","",IFERROR(XLOOKUP(A1491,Tickets[TripKey],Tickets[Capacity]),0))</f>
        <v/>
      </c>
      <c r="K1491">
        <f>IF(A1491="","",I1491*J1491)</f>
        <v/>
      </c>
      <c r="L1491">
        <f>IF(A1491="","",IFERROR(MINIFS(Tickets[Trip Start Time],Tickets[TripKey],A1491),""))</f>
        <v/>
      </c>
    </row>
    <row r="1492">
      <c r="B1492" s="8">
        <f>IF(A1492="","",IFERROR(DATEVALUE(TEXTBEFORE(A1492,"|")),--LEFT(A1492,10)))</f>
        <v/>
      </c>
      <c r="C1492">
        <f>IF(A1492="","",TEXTBEFORE(TEXTAFTER(A1492,"|"),"|"))</f>
        <v/>
      </c>
      <c r="D1492">
        <f>IF(A1492="","",TEXTAFTER(A1492,"|",2))</f>
        <v/>
      </c>
      <c r="E1492">
        <f>IF(A1492="","",SUMIF(Tickets[TripKey],A1492,Tickets[TP]))</f>
        <v/>
      </c>
      <c r="F1492">
        <f>IF(A1492="","",SUMIF(Tickets[TripKey],A1492,Tickets[Revenue]))</f>
        <v/>
      </c>
      <c r="G1492">
        <f>IF(A1492="","",SUMIF(Tickets[TripKey],A1492,Tickets[PK]))</f>
        <v/>
      </c>
      <c r="H1492">
        <f>IF(A1492="","",IFERROR(XLOOKUP(A1492,Tickets[TripKey],Tickets[VehClean]),""))</f>
        <v/>
      </c>
      <c r="I1492">
        <f>IF(A1492="","",IFERROR(XLOOKUP(A1492,Tickets[TripKey],Tickets[RouteLen]),0))</f>
        <v/>
      </c>
      <c r="J1492">
        <f>IF(A1492="","",IFERROR(XLOOKUP(A1492,Tickets[TripKey],Tickets[Capacity]),0))</f>
        <v/>
      </c>
      <c r="K1492">
        <f>IF(A1492="","",I1492*J1492)</f>
        <v/>
      </c>
      <c r="L1492">
        <f>IF(A1492="","",IFERROR(MINIFS(Tickets[Trip Start Time],Tickets[TripKey],A1492),""))</f>
        <v/>
      </c>
    </row>
    <row r="1493">
      <c r="B1493" s="8">
        <f>IF(A1493="","",IFERROR(DATEVALUE(TEXTBEFORE(A1493,"|")),--LEFT(A1493,10)))</f>
        <v/>
      </c>
      <c r="C1493">
        <f>IF(A1493="","",TEXTBEFORE(TEXTAFTER(A1493,"|"),"|"))</f>
        <v/>
      </c>
      <c r="D1493">
        <f>IF(A1493="","",TEXTAFTER(A1493,"|",2))</f>
        <v/>
      </c>
      <c r="E1493">
        <f>IF(A1493="","",SUMIF(Tickets[TripKey],A1493,Tickets[TP]))</f>
        <v/>
      </c>
      <c r="F1493">
        <f>IF(A1493="","",SUMIF(Tickets[TripKey],A1493,Tickets[Revenue]))</f>
        <v/>
      </c>
      <c r="G1493">
        <f>IF(A1493="","",SUMIF(Tickets[TripKey],A1493,Tickets[PK]))</f>
        <v/>
      </c>
      <c r="H1493">
        <f>IF(A1493="","",IFERROR(XLOOKUP(A1493,Tickets[TripKey],Tickets[VehClean]),""))</f>
        <v/>
      </c>
      <c r="I1493">
        <f>IF(A1493="","",IFERROR(XLOOKUP(A1493,Tickets[TripKey],Tickets[RouteLen]),0))</f>
        <v/>
      </c>
      <c r="J1493">
        <f>IF(A1493="","",IFERROR(XLOOKUP(A1493,Tickets[TripKey],Tickets[Capacity]),0))</f>
        <v/>
      </c>
      <c r="K1493">
        <f>IF(A1493="","",I1493*J1493)</f>
        <v/>
      </c>
      <c r="L1493">
        <f>IF(A1493="","",IFERROR(MINIFS(Tickets[Trip Start Time],Tickets[TripKey],A1493),""))</f>
        <v/>
      </c>
    </row>
    <row r="1494">
      <c r="B1494" s="8">
        <f>IF(A1494="","",IFERROR(DATEVALUE(TEXTBEFORE(A1494,"|")),--LEFT(A1494,10)))</f>
        <v/>
      </c>
      <c r="C1494">
        <f>IF(A1494="","",TEXTBEFORE(TEXTAFTER(A1494,"|"),"|"))</f>
        <v/>
      </c>
      <c r="D1494">
        <f>IF(A1494="","",TEXTAFTER(A1494,"|",2))</f>
        <v/>
      </c>
      <c r="E1494">
        <f>IF(A1494="","",SUMIF(Tickets[TripKey],A1494,Tickets[TP]))</f>
        <v/>
      </c>
      <c r="F1494">
        <f>IF(A1494="","",SUMIF(Tickets[TripKey],A1494,Tickets[Revenue]))</f>
        <v/>
      </c>
      <c r="G1494">
        <f>IF(A1494="","",SUMIF(Tickets[TripKey],A1494,Tickets[PK]))</f>
        <v/>
      </c>
      <c r="H1494">
        <f>IF(A1494="","",IFERROR(XLOOKUP(A1494,Tickets[TripKey],Tickets[VehClean]),""))</f>
        <v/>
      </c>
      <c r="I1494">
        <f>IF(A1494="","",IFERROR(XLOOKUP(A1494,Tickets[TripKey],Tickets[RouteLen]),0))</f>
        <v/>
      </c>
      <c r="J1494">
        <f>IF(A1494="","",IFERROR(XLOOKUP(A1494,Tickets[TripKey],Tickets[Capacity]),0))</f>
        <v/>
      </c>
      <c r="K1494">
        <f>IF(A1494="","",I1494*J1494)</f>
        <v/>
      </c>
      <c r="L1494">
        <f>IF(A1494="","",IFERROR(MINIFS(Tickets[Trip Start Time],Tickets[TripKey],A1494),""))</f>
        <v/>
      </c>
    </row>
    <row r="1495">
      <c r="B1495" s="8">
        <f>IF(A1495="","",IFERROR(DATEVALUE(TEXTBEFORE(A1495,"|")),--LEFT(A1495,10)))</f>
        <v/>
      </c>
      <c r="C1495">
        <f>IF(A1495="","",TEXTBEFORE(TEXTAFTER(A1495,"|"),"|"))</f>
        <v/>
      </c>
      <c r="D1495">
        <f>IF(A1495="","",TEXTAFTER(A1495,"|",2))</f>
        <v/>
      </c>
      <c r="E1495">
        <f>IF(A1495="","",SUMIF(Tickets[TripKey],A1495,Tickets[TP]))</f>
        <v/>
      </c>
      <c r="F1495">
        <f>IF(A1495="","",SUMIF(Tickets[TripKey],A1495,Tickets[Revenue]))</f>
        <v/>
      </c>
      <c r="G1495">
        <f>IF(A1495="","",SUMIF(Tickets[TripKey],A1495,Tickets[PK]))</f>
        <v/>
      </c>
      <c r="H1495">
        <f>IF(A1495="","",IFERROR(XLOOKUP(A1495,Tickets[TripKey],Tickets[VehClean]),""))</f>
        <v/>
      </c>
      <c r="I1495">
        <f>IF(A1495="","",IFERROR(XLOOKUP(A1495,Tickets[TripKey],Tickets[RouteLen]),0))</f>
        <v/>
      </c>
      <c r="J1495">
        <f>IF(A1495="","",IFERROR(XLOOKUP(A1495,Tickets[TripKey],Tickets[Capacity]),0))</f>
        <v/>
      </c>
      <c r="K1495">
        <f>IF(A1495="","",I1495*J1495)</f>
        <v/>
      </c>
      <c r="L1495">
        <f>IF(A1495="","",IFERROR(MINIFS(Tickets[Trip Start Time],Tickets[TripKey],A1495),""))</f>
        <v/>
      </c>
    </row>
    <row r="1496">
      <c r="B1496" s="8">
        <f>IF(A1496="","",IFERROR(DATEVALUE(TEXTBEFORE(A1496,"|")),--LEFT(A1496,10)))</f>
        <v/>
      </c>
      <c r="C1496">
        <f>IF(A1496="","",TEXTBEFORE(TEXTAFTER(A1496,"|"),"|"))</f>
        <v/>
      </c>
      <c r="D1496">
        <f>IF(A1496="","",TEXTAFTER(A1496,"|",2))</f>
        <v/>
      </c>
      <c r="E1496">
        <f>IF(A1496="","",SUMIF(Tickets[TripKey],A1496,Tickets[TP]))</f>
        <v/>
      </c>
      <c r="F1496">
        <f>IF(A1496="","",SUMIF(Tickets[TripKey],A1496,Tickets[Revenue]))</f>
        <v/>
      </c>
      <c r="G1496">
        <f>IF(A1496="","",SUMIF(Tickets[TripKey],A1496,Tickets[PK]))</f>
        <v/>
      </c>
      <c r="H1496">
        <f>IF(A1496="","",IFERROR(XLOOKUP(A1496,Tickets[TripKey],Tickets[VehClean]),""))</f>
        <v/>
      </c>
      <c r="I1496">
        <f>IF(A1496="","",IFERROR(XLOOKUP(A1496,Tickets[TripKey],Tickets[RouteLen]),0))</f>
        <v/>
      </c>
      <c r="J1496">
        <f>IF(A1496="","",IFERROR(XLOOKUP(A1496,Tickets[TripKey],Tickets[Capacity]),0))</f>
        <v/>
      </c>
      <c r="K1496">
        <f>IF(A1496="","",I1496*J1496)</f>
        <v/>
      </c>
      <c r="L1496">
        <f>IF(A1496="","",IFERROR(MINIFS(Tickets[Trip Start Time],Tickets[TripKey],A1496),""))</f>
        <v/>
      </c>
    </row>
    <row r="1497">
      <c r="B1497" s="8">
        <f>IF(A1497="","",IFERROR(DATEVALUE(TEXTBEFORE(A1497,"|")),--LEFT(A1497,10)))</f>
        <v/>
      </c>
      <c r="C1497">
        <f>IF(A1497="","",TEXTBEFORE(TEXTAFTER(A1497,"|"),"|"))</f>
        <v/>
      </c>
      <c r="D1497">
        <f>IF(A1497="","",TEXTAFTER(A1497,"|",2))</f>
        <v/>
      </c>
      <c r="E1497">
        <f>IF(A1497="","",SUMIF(Tickets[TripKey],A1497,Tickets[TP]))</f>
        <v/>
      </c>
      <c r="F1497">
        <f>IF(A1497="","",SUMIF(Tickets[TripKey],A1497,Tickets[Revenue]))</f>
        <v/>
      </c>
      <c r="G1497">
        <f>IF(A1497="","",SUMIF(Tickets[TripKey],A1497,Tickets[PK]))</f>
        <v/>
      </c>
      <c r="H1497">
        <f>IF(A1497="","",IFERROR(XLOOKUP(A1497,Tickets[TripKey],Tickets[VehClean]),""))</f>
        <v/>
      </c>
      <c r="I1497">
        <f>IF(A1497="","",IFERROR(XLOOKUP(A1497,Tickets[TripKey],Tickets[RouteLen]),0))</f>
        <v/>
      </c>
      <c r="J1497">
        <f>IF(A1497="","",IFERROR(XLOOKUP(A1497,Tickets[TripKey],Tickets[Capacity]),0))</f>
        <v/>
      </c>
      <c r="K1497">
        <f>IF(A1497="","",I1497*J1497)</f>
        <v/>
      </c>
      <c r="L1497">
        <f>IF(A1497="","",IFERROR(MINIFS(Tickets[Trip Start Time],Tickets[TripKey],A1497),""))</f>
        <v/>
      </c>
    </row>
    <row r="1498">
      <c r="B1498" s="8">
        <f>IF(A1498="","",IFERROR(DATEVALUE(TEXTBEFORE(A1498,"|")),--LEFT(A1498,10)))</f>
        <v/>
      </c>
      <c r="C1498">
        <f>IF(A1498="","",TEXTBEFORE(TEXTAFTER(A1498,"|"),"|"))</f>
        <v/>
      </c>
      <c r="D1498">
        <f>IF(A1498="","",TEXTAFTER(A1498,"|",2))</f>
        <v/>
      </c>
      <c r="E1498">
        <f>IF(A1498="","",SUMIF(Tickets[TripKey],A1498,Tickets[TP]))</f>
        <v/>
      </c>
      <c r="F1498">
        <f>IF(A1498="","",SUMIF(Tickets[TripKey],A1498,Tickets[Revenue]))</f>
        <v/>
      </c>
      <c r="G1498">
        <f>IF(A1498="","",SUMIF(Tickets[TripKey],A1498,Tickets[PK]))</f>
        <v/>
      </c>
      <c r="H1498">
        <f>IF(A1498="","",IFERROR(XLOOKUP(A1498,Tickets[TripKey],Tickets[VehClean]),""))</f>
        <v/>
      </c>
      <c r="I1498">
        <f>IF(A1498="","",IFERROR(XLOOKUP(A1498,Tickets[TripKey],Tickets[RouteLen]),0))</f>
        <v/>
      </c>
      <c r="J1498">
        <f>IF(A1498="","",IFERROR(XLOOKUP(A1498,Tickets[TripKey],Tickets[Capacity]),0))</f>
        <v/>
      </c>
      <c r="K1498">
        <f>IF(A1498="","",I1498*J1498)</f>
        <v/>
      </c>
      <c r="L1498">
        <f>IF(A1498="","",IFERROR(MINIFS(Tickets[Trip Start Time],Tickets[TripKey],A1498),""))</f>
        <v/>
      </c>
    </row>
    <row r="1499">
      <c r="B1499" s="8">
        <f>IF(A1499="","",IFERROR(DATEVALUE(TEXTBEFORE(A1499,"|")),--LEFT(A1499,10)))</f>
        <v/>
      </c>
      <c r="C1499">
        <f>IF(A1499="","",TEXTBEFORE(TEXTAFTER(A1499,"|"),"|"))</f>
        <v/>
      </c>
      <c r="D1499">
        <f>IF(A1499="","",TEXTAFTER(A1499,"|",2))</f>
        <v/>
      </c>
      <c r="E1499">
        <f>IF(A1499="","",SUMIF(Tickets[TripKey],A1499,Tickets[TP]))</f>
        <v/>
      </c>
      <c r="F1499">
        <f>IF(A1499="","",SUMIF(Tickets[TripKey],A1499,Tickets[Revenue]))</f>
        <v/>
      </c>
      <c r="G1499">
        <f>IF(A1499="","",SUMIF(Tickets[TripKey],A1499,Tickets[PK]))</f>
        <v/>
      </c>
      <c r="H1499">
        <f>IF(A1499="","",IFERROR(XLOOKUP(A1499,Tickets[TripKey],Tickets[VehClean]),""))</f>
        <v/>
      </c>
      <c r="I1499">
        <f>IF(A1499="","",IFERROR(XLOOKUP(A1499,Tickets[TripKey],Tickets[RouteLen]),0))</f>
        <v/>
      </c>
      <c r="J1499">
        <f>IF(A1499="","",IFERROR(XLOOKUP(A1499,Tickets[TripKey],Tickets[Capacity]),0))</f>
        <v/>
      </c>
      <c r="K1499">
        <f>IF(A1499="","",I1499*J1499)</f>
        <v/>
      </c>
      <c r="L1499">
        <f>IF(A1499="","",IFERROR(MINIFS(Tickets[Trip Start Time],Tickets[TripKey],A1499),""))</f>
        <v/>
      </c>
    </row>
    <row r="1500">
      <c r="B1500" s="8">
        <f>IF(A1500="","",IFERROR(DATEVALUE(TEXTBEFORE(A1500,"|")),--LEFT(A1500,10)))</f>
        <v/>
      </c>
      <c r="C1500">
        <f>IF(A1500="","",TEXTBEFORE(TEXTAFTER(A1500,"|"),"|"))</f>
        <v/>
      </c>
      <c r="D1500">
        <f>IF(A1500="","",TEXTAFTER(A1500,"|",2))</f>
        <v/>
      </c>
      <c r="E1500">
        <f>IF(A1500="","",SUMIF(Tickets[TripKey],A1500,Tickets[TP]))</f>
        <v/>
      </c>
      <c r="F1500">
        <f>IF(A1500="","",SUMIF(Tickets[TripKey],A1500,Tickets[Revenue]))</f>
        <v/>
      </c>
      <c r="G1500">
        <f>IF(A1500="","",SUMIF(Tickets[TripKey],A1500,Tickets[PK]))</f>
        <v/>
      </c>
      <c r="H1500">
        <f>IF(A1500="","",IFERROR(XLOOKUP(A1500,Tickets[TripKey],Tickets[VehClean]),""))</f>
        <v/>
      </c>
      <c r="I1500">
        <f>IF(A1500="","",IFERROR(XLOOKUP(A1500,Tickets[TripKey],Tickets[RouteLen]),0))</f>
        <v/>
      </c>
      <c r="J1500">
        <f>IF(A1500="","",IFERROR(XLOOKUP(A1500,Tickets[TripKey],Tickets[Capacity]),0))</f>
        <v/>
      </c>
      <c r="K1500">
        <f>IF(A1500="","",I1500*J1500)</f>
        <v/>
      </c>
      <c r="L1500">
        <f>IF(A1500="","",IFERROR(MINIFS(Tickets[Trip Start Time],Tickets[TripKey],A1500),""))</f>
        <v/>
      </c>
    </row>
    <row r="1501">
      <c r="B1501" s="8">
        <f>IF(A1501="","",IFERROR(DATEVALUE(TEXTBEFORE(A1501,"|")),--LEFT(A1501,10)))</f>
        <v/>
      </c>
      <c r="C1501">
        <f>IF(A1501="","",TEXTBEFORE(TEXTAFTER(A1501,"|"),"|"))</f>
        <v/>
      </c>
      <c r="D1501">
        <f>IF(A1501="","",TEXTAFTER(A1501,"|",2))</f>
        <v/>
      </c>
      <c r="E1501">
        <f>IF(A1501="","",SUMIF(Tickets[TripKey],A1501,Tickets[TP]))</f>
        <v/>
      </c>
      <c r="F1501">
        <f>IF(A1501="","",SUMIF(Tickets[TripKey],A1501,Tickets[Revenue]))</f>
        <v/>
      </c>
      <c r="G1501">
        <f>IF(A1501="","",SUMIF(Tickets[TripKey],A1501,Tickets[PK]))</f>
        <v/>
      </c>
      <c r="H1501">
        <f>IF(A1501="","",IFERROR(XLOOKUP(A1501,Tickets[TripKey],Tickets[VehClean]),""))</f>
        <v/>
      </c>
      <c r="I1501">
        <f>IF(A1501="","",IFERROR(XLOOKUP(A1501,Tickets[TripKey],Tickets[RouteLen]),0))</f>
        <v/>
      </c>
      <c r="J1501">
        <f>IF(A1501="","",IFERROR(XLOOKUP(A1501,Tickets[TripKey],Tickets[Capacity]),0))</f>
        <v/>
      </c>
      <c r="K1501">
        <f>IF(A1501="","",I1501*J1501)</f>
        <v/>
      </c>
      <c r="L1501">
        <f>IF(A1501="","",IFERROR(MINIFS(Tickets[Trip Start Time],Tickets[TripKey],A1501),""))</f>
        <v/>
      </c>
    </row>
    <row r="1502">
      <c r="B1502" s="8">
        <f>IF(A1502="","",IFERROR(DATEVALUE(TEXTBEFORE(A1502,"|")),--LEFT(A1502,10)))</f>
        <v/>
      </c>
      <c r="C1502">
        <f>IF(A1502="","",TEXTBEFORE(TEXTAFTER(A1502,"|"),"|"))</f>
        <v/>
      </c>
      <c r="D1502">
        <f>IF(A1502="","",TEXTAFTER(A1502,"|",2))</f>
        <v/>
      </c>
      <c r="E1502">
        <f>IF(A1502="","",SUMIF(Tickets[TripKey],A1502,Tickets[TP]))</f>
        <v/>
      </c>
      <c r="F1502">
        <f>IF(A1502="","",SUMIF(Tickets[TripKey],A1502,Tickets[Revenue]))</f>
        <v/>
      </c>
      <c r="G1502">
        <f>IF(A1502="","",SUMIF(Tickets[TripKey],A1502,Tickets[PK]))</f>
        <v/>
      </c>
      <c r="H1502">
        <f>IF(A1502="","",IFERROR(XLOOKUP(A1502,Tickets[TripKey],Tickets[VehClean]),""))</f>
        <v/>
      </c>
      <c r="I1502">
        <f>IF(A1502="","",IFERROR(XLOOKUP(A1502,Tickets[TripKey],Tickets[RouteLen]),0))</f>
        <v/>
      </c>
      <c r="J1502">
        <f>IF(A1502="","",IFERROR(XLOOKUP(A1502,Tickets[TripKey],Tickets[Capacity]),0))</f>
        <v/>
      </c>
      <c r="K1502">
        <f>IF(A1502="","",I1502*J1502)</f>
        <v/>
      </c>
      <c r="L1502">
        <f>IF(A1502="","",IFERROR(MINIFS(Tickets[Trip Start Time],Tickets[TripKey],A1502),""))</f>
        <v/>
      </c>
    </row>
    <row r="1503">
      <c r="B1503" s="8">
        <f>IF(A1503="","",IFERROR(DATEVALUE(TEXTBEFORE(A1503,"|")),--LEFT(A1503,10)))</f>
        <v/>
      </c>
      <c r="C1503">
        <f>IF(A1503="","",TEXTBEFORE(TEXTAFTER(A1503,"|"),"|"))</f>
        <v/>
      </c>
      <c r="D1503">
        <f>IF(A1503="","",TEXTAFTER(A1503,"|",2))</f>
        <v/>
      </c>
      <c r="E1503">
        <f>IF(A1503="","",SUMIF(Tickets[TripKey],A1503,Tickets[TP]))</f>
        <v/>
      </c>
      <c r="F1503">
        <f>IF(A1503="","",SUMIF(Tickets[TripKey],A1503,Tickets[Revenue]))</f>
        <v/>
      </c>
      <c r="G1503">
        <f>IF(A1503="","",SUMIF(Tickets[TripKey],A1503,Tickets[PK]))</f>
        <v/>
      </c>
      <c r="H1503">
        <f>IF(A1503="","",IFERROR(XLOOKUP(A1503,Tickets[TripKey],Tickets[VehClean]),""))</f>
        <v/>
      </c>
      <c r="I1503">
        <f>IF(A1503="","",IFERROR(XLOOKUP(A1503,Tickets[TripKey],Tickets[RouteLen]),0))</f>
        <v/>
      </c>
      <c r="J1503">
        <f>IF(A1503="","",IFERROR(XLOOKUP(A1503,Tickets[TripKey],Tickets[Capacity]),0))</f>
        <v/>
      </c>
      <c r="K1503">
        <f>IF(A1503="","",I1503*J1503)</f>
        <v/>
      </c>
      <c r="L1503">
        <f>IF(A1503="","",IFERROR(MINIFS(Tickets[Trip Start Time],Tickets[TripKey],A1503),""))</f>
        <v/>
      </c>
    </row>
    <row r="1504">
      <c r="B1504" s="8">
        <f>IF(A1504="","",IFERROR(DATEVALUE(TEXTBEFORE(A1504,"|")),--LEFT(A1504,10)))</f>
        <v/>
      </c>
      <c r="C1504">
        <f>IF(A1504="","",TEXTBEFORE(TEXTAFTER(A1504,"|"),"|"))</f>
        <v/>
      </c>
      <c r="D1504">
        <f>IF(A1504="","",TEXTAFTER(A1504,"|",2))</f>
        <v/>
      </c>
      <c r="E1504">
        <f>IF(A1504="","",SUMIF(Tickets[TripKey],A1504,Tickets[TP]))</f>
        <v/>
      </c>
      <c r="F1504">
        <f>IF(A1504="","",SUMIF(Tickets[TripKey],A1504,Tickets[Revenue]))</f>
        <v/>
      </c>
      <c r="G1504">
        <f>IF(A1504="","",SUMIF(Tickets[TripKey],A1504,Tickets[PK]))</f>
        <v/>
      </c>
      <c r="H1504">
        <f>IF(A1504="","",IFERROR(XLOOKUP(A1504,Tickets[TripKey],Tickets[VehClean]),""))</f>
        <v/>
      </c>
      <c r="I1504">
        <f>IF(A1504="","",IFERROR(XLOOKUP(A1504,Tickets[TripKey],Tickets[RouteLen]),0))</f>
        <v/>
      </c>
      <c r="J1504">
        <f>IF(A1504="","",IFERROR(XLOOKUP(A1504,Tickets[TripKey],Tickets[Capacity]),0))</f>
        <v/>
      </c>
      <c r="K1504">
        <f>IF(A1504="","",I1504*J1504)</f>
        <v/>
      </c>
      <c r="L1504">
        <f>IF(A1504="","",IFERROR(MINIFS(Tickets[Trip Start Time],Tickets[TripKey],A1504),""))</f>
        <v/>
      </c>
    </row>
    <row r="1505">
      <c r="B1505" s="8">
        <f>IF(A1505="","",IFERROR(DATEVALUE(TEXTBEFORE(A1505,"|")),--LEFT(A1505,10)))</f>
        <v/>
      </c>
      <c r="C1505">
        <f>IF(A1505="","",TEXTBEFORE(TEXTAFTER(A1505,"|"),"|"))</f>
        <v/>
      </c>
      <c r="D1505">
        <f>IF(A1505="","",TEXTAFTER(A1505,"|",2))</f>
        <v/>
      </c>
      <c r="E1505">
        <f>IF(A1505="","",SUMIF(Tickets[TripKey],A1505,Tickets[TP]))</f>
        <v/>
      </c>
      <c r="F1505">
        <f>IF(A1505="","",SUMIF(Tickets[TripKey],A1505,Tickets[Revenue]))</f>
        <v/>
      </c>
      <c r="G1505">
        <f>IF(A1505="","",SUMIF(Tickets[TripKey],A1505,Tickets[PK]))</f>
        <v/>
      </c>
      <c r="H1505">
        <f>IF(A1505="","",IFERROR(XLOOKUP(A1505,Tickets[TripKey],Tickets[VehClean]),""))</f>
        <v/>
      </c>
      <c r="I1505">
        <f>IF(A1505="","",IFERROR(XLOOKUP(A1505,Tickets[TripKey],Tickets[RouteLen]),0))</f>
        <v/>
      </c>
      <c r="J1505">
        <f>IF(A1505="","",IFERROR(XLOOKUP(A1505,Tickets[TripKey],Tickets[Capacity]),0))</f>
        <v/>
      </c>
      <c r="K1505">
        <f>IF(A1505="","",I1505*J1505)</f>
        <v/>
      </c>
      <c r="L1505">
        <f>IF(A1505="","",IFERROR(MINIFS(Tickets[Trip Start Time],Tickets[TripKey],A1505),""))</f>
        <v/>
      </c>
    </row>
    <row r="1506">
      <c r="B1506" s="8">
        <f>IF(A1506="","",IFERROR(DATEVALUE(TEXTBEFORE(A1506,"|")),--LEFT(A1506,10)))</f>
        <v/>
      </c>
      <c r="C1506">
        <f>IF(A1506="","",TEXTBEFORE(TEXTAFTER(A1506,"|"),"|"))</f>
        <v/>
      </c>
      <c r="D1506">
        <f>IF(A1506="","",TEXTAFTER(A1506,"|",2))</f>
        <v/>
      </c>
      <c r="E1506">
        <f>IF(A1506="","",SUMIF(Tickets[TripKey],A1506,Tickets[TP]))</f>
        <v/>
      </c>
      <c r="F1506">
        <f>IF(A1506="","",SUMIF(Tickets[TripKey],A1506,Tickets[Revenue]))</f>
        <v/>
      </c>
      <c r="G1506">
        <f>IF(A1506="","",SUMIF(Tickets[TripKey],A1506,Tickets[PK]))</f>
        <v/>
      </c>
      <c r="H1506">
        <f>IF(A1506="","",IFERROR(XLOOKUP(A1506,Tickets[TripKey],Tickets[VehClean]),""))</f>
        <v/>
      </c>
      <c r="I1506">
        <f>IF(A1506="","",IFERROR(XLOOKUP(A1506,Tickets[TripKey],Tickets[RouteLen]),0))</f>
        <v/>
      </c>
      <c r="J1506">
        <f>IF(A1506="","",IFERROR(XLOOKUP(A1506,Tickets[TripKey],Tickets[Capacity]),0))</f>
        <v/>
      </c>
      <c r="K1506">
        <f>IF(A1506="","",I1506*J1506)</f>
        <v/>
      </c>
      <c r="L1506">
        <f>IF(A1506="","",IFERROR(MINIFS(Tickets[Trip Start Time],Tickets[TripKey],A1506),""))</f>
        <v/>
      </c>
    </row>
    <row r="1507">
      <c r="B1507" s="8">
        <f>IF(A1507="","",IFERROR(DATEVALUE(TEXTBEFORE(A1507,"|")),--LEFT(A1507,10)))</f>
        <v/>
      </c>
      <c r="C1507">
        <f>IF(A1507="","",TEXTBEFORE(TEXTAFTER(A1507,"|"),"|"))</f>
        <v/>
      </c>
      <c r="D1507">
        <f>IF(A1507="","",TEXTAFTER(A1507,"|",2))</f>
        <v/>
      </c>
      <c r="E1507">
        <f>IF(A1507="","",SUMIF(Tickets[TripKey],A1507,Tickets[TP]))</f>
        <v/>
      </c>
      <c r="F1507">
        <f>IF(A1507="","",SUMIF(Tickets[TripKey],A1507,Tickets[Revenue]))</f>
        <v/>
      </c>
      <c r="G1507">
        <f>IF(A1507="","",SUMIF(Tickets[TripKey],A1507,Tickets[PK]))</f>
        <v/>
      </c>
      <c r="H1507">
        <f>IF(A1507="","",IFERROR(XLOOKUP(A1507,Tickets[TripKey],Tickets[VehClean]),""))</f>
        <v/>
      </c>
      <c r="I1507">
        <f>IF(A1507="","",IFERROR(XLOOKUP(A1507,Tickets[TripKey],Tickets[RouteLen]),0))</f>
        <v/>
      </c>
      <c r="J1507">
        <f>IF(A1507="","",IFERROR(XLOOKUP(A1507,Tickets[TripKey],Tickets[Capacity]),0))</f>
        <v/>
      </c>
      <c r="K1507">
        <f>IF(A1507="","",I1507*J1507)</f>
        <v/>
      </c>
      <c r="L1507">
        <f>IF(A1507="","",IFERROR(MINIFS(Tickets[Trip Start Time],Tickets[TripKey],A1507),""))</f>
        <v/>
      </c>
    </row>
    <row r="1508">
      <c r="B1508" s="8">
        <f>IF(A1508="","",IFERROR(DATEVALUE(TEXTBEFORE(A1508,"|")),--LEFT(A1508,10)))</f>
        <v/>
      </c>
      <c r="C1508">
        <f>IF(A1508="","",TEXTBEFORE(TEXTAFTER(A1508,"|"),"|"))</f>
        <v/>
      </c>
      <c r="D1508">
        <f>IF(A1508="","",TEXTAFTER(A1508,"|",2))</f>
        <v/>
      </c>
      <c r="E1508">
        <f>IF(A1508="","",SUMIF(Tickets[TripKey],A1508,Tickets[TP]))</f>
        <v/>
      </c>
      <c r="F1508">
        <f>IF(A1508="","",SUMIF(Tickets[TripKey],A1508,Tickets[Revenue]))</f>
        <v/>
      </c>
      <c r="G1508">
        <f>IF(A1508="","",SUMIF(Tickets[TripKey],A1508,Tickets[PK]))</f>
        <v/>
      </c>
      <c r="H1508">
        <f>IF(A1508="","",IFERROR(XLOOKUP(A1508,Tickets[TripKey],Tickets[VehClean]),""))</f>
        <v/>
      </c>
      <c r="I1508">
        <f>IF(A1508="","",IFERROR(XLOOKUP(A1508,Tickets[TripKey],Tickets[RouteLen]),0))</f>
        <v/>
      </c>
      <c r="J1508">
        <f>IF(A1508="","",IFERROR(XLOOKUP(A1508,Tickets[TripKey],Tickets[Capacity]),0))</f>
        <v/>
      </c>
      <c r="K1508">
        <f>IF(A1508="","",I1508*J1508)</f>
        <v/>
      </c>
      <c r="L1508">
        <f>IF(A1508="","",IFERROR(MINIFS(Tickets[Trip Start Time],Tickets[TripKey],A1508),""))</f>
        <v/>
      </c>
    </row>
    <row r="1509">
      <c r="B1509" s="8">
        <f>IF(A1509="","",IFERROR(DATEVALUE(TEXTBEFORE(A1509,"|")),--LEFT(A1509,10)))</f>
        <v/>
      </c>
      <c r="C1509">
        <f>IF(A1509="","",TEXTBEFORE(TEXTAFTER(A1509,"|"),"|"))</f>
        <v/>
      </c>
      <c r="D1509">
        <f>IF(A1509="","",TEXTAFTER(A1509,"|",2))</f>
        <v/>
      </c>
      <c r="E1509">
        <f>IF(A1509="","",SUMIF(Tickets[TripKey],A1509,Tickets[TP]))</f>
        <v/>
      </c>
      <c r="F1509">
        <f>IF(A1509="","",SUMIF(Tickets[TripKey],A1509,Tickets[Revenue]))</f>
        <v/>
      </c>
      <c r="G1509">
        <f>IF(A1509="","",SUMIF(Tickets[TripKey],A1509,Tickets[PK]))</f>
        <v/>
      </c>
      <c r="H1509">
        <f>IF(A1509="","",IFERROR(XLOOKUP(A1509,Tickets[TripKey],Tickets[VehClean]),""))</f>
        <v/>
      </c>
      <c r="I1509">
        <f>IF(A1509="","",IFERROR(XLOOKUP(A1509,Tickets[TripKey],Tickets[RouteLen]),0))</f>
        <v/>
      </c>
      <c r="J1509">
        <f>IF(A1509="","",IFERROR(XLOOKUP(A1509,Tickets[TripKey],Tickets[Capacity]),0))</f>
        <v/>
      </c>
      <c r="K1509">
        <f>IF(A1509="","",I1509*J1509)</f>
        <v/>
      </c>
      <c r="L1509">
        <f>IF(A1509="","",IFERROR(MINIFS(Tickets[Trip Start Time],Tickets[TripKey],A1509),""))</f>
        <v/>
      </c>
    </row>
    <row r="1510">
      <c r="B1510" s="8">
        <f>IF(A1510="","",IFERROR(DATEVALUE(TEXTBEFORE(A1510,"|")),--LEFT(A1510,10)))</f>
        <v/>
      </c>
      <c r="C1510">
        <f>IF(A1510="","",TEXTBEFORE(TEXTAFTER(A1510,"|"),"|"))</f>
        <v/>
      </c>
      <c r="D1510">
        <f>IF(A1510="","",TEXTAFTER(A1510,"|",2))</f>
        <v/>
      </c>
      <c r="E1510">
        <f>IF(A1510="","",SUMIF(Tickets[TripKey],A1510,Tickets[TP]))</f>
        <v/>
      </c>
      <c r="F1510">
        <f>IF(A1510="","",SUMIF(Tickets[TripKey],A1510,Tickets[Revenue]))</f>
        <v/>
      </c>
      <c r="G1510">
        <f>IF(A1510="","",SUMIF(Tickets[TripKey],A1510,Tickets[PK]))</f>
        <v/>
      </c>
      <c r="H1510">
        <f>IF(A1510="","",IFERROR(XLOOKUP(A1510,Tickets[TripKey],Tickets[VehClean]),""))</f>
        <v/>
      </c>
      <c r="I1510">
        <f>IF(A1510="","",IFERROR(XLOOKUP(A1510,Tickets[TripKey],Tickets[RouteLen]),0))</f>
        <v/>
      </c>
      <c r="J1510">
        <f>IF(A1510="","",IFERROR(XLOOKUP(A1510,Tickets[TripKey],Tickets[Capacity]),0))</f>
        <v/>
      </c>
      <c r="K1510">
        <f>IF(A1510="","",I1510*J1510)</f>
        <v/>
      </c>
      <c r="L1510">
        <f>IF(A1510="","",IFERROR(MINIFS(Tickets[Trip Start Time],Tickets[TripKey],A1510),""))</f>
        <v/>
      </c>
    </row>
    <row r="1511">
      <c r="B1511" s="8">
        <f>IF(A1511="","",IFERROR(DATEVALUE(TEXTBEFORE(A1511,"|")),--LEFT(A1511,10)))</f>
        <v/>
      </c>
      <c r="C1511">
        <f>IF(A1511="","",TEXTBEFORE(TEXTAFTER(A1511,"|"),"|"))</f>
        <v/>
      </c>
      <c r="D1511">
        <f>IF(A1511="","",TEXTAFTER(A1511,"|",2))</f>
        <v/>
      </c>
      <c r="E1511">
        <f>IF(A1511="","",SUMIF(Tickets[TripKey],A1511,Tickets[TP]))</f>
        <v/>
      </c>
      <c r="F1511">
        <f>IF(A1511="","",SUMIF(Tickets[TripKey],A1511,Tickets[Revenue]))</f>
        <v/>
      </c>
      <c r="G1511">
        <f>IF(A1511="","",SUMIF(Tickets[TripKey],A1511,Tickets[PK]))</f>
        <v/>
      </c>
      <c r="H1511">
        <f>IF(A1511="","",IFERROR(XLOOKUP(A1511,Tickets[TripKey],Tickets[VehClean]),""))</f>
        <v/>
      </c>
      <c r="I1511">
        <f>IF(A1511="","",IFERROR(XLOOKUP(A1511,Tickets[TripKey],Tickets[RouteLen]),0))</f>
        <v/>
      </c>
      <c r="J1511">
        <f>IF(A1511="","",IFERROR(XLOOKUP(A1511,Tickets[TripKey],Tickets[Capacity]),0))</f>
        <v/>
      </c>
      <c r="K1511">
        <f>IF(A1511="","",I1511*J1511)</f>
        <v/>
      </c>
      <c r="L1511">
        <f>IF(A1511="","",IFERROR(MINIFS(Tickets[Trip Start Time],Tickets[TripKey],A1511),""))</f>
        <v/>
      </c>
    </row>
    <row r="1512">
      <c r="B1512" s="8">
        <f>IF(A1512="","",IFERROR(DATEVALUE(TEXTBEFORE(A1512,"|")),--LEFT(A1512,10)))</f>
        <v/>
      </c>
      <c r="C1512">
        <f>IF(A1512="","",TEXTBEFORE(TEXTAFTER(A1512,"|"),"|"))</f>
        <v/>
      </c>
      <c r="D1512">
        <f>IF(A1512="","",TEXTAFTER(A1512,"|",2))</f>
        <v/>
      </c>
      <c r="E1512">
        <f>IF(A1512="","",SUMIF(Tickets[TripKey],A1512,Tickets[TP]))</f>
        <v/>
      </c>
      <c r="F1512">
        <f>IF(A1512="","",SUMIF(Tickets[TripKey],A1512,Tickets[Revenue]))</f>
        <v/>
      </c>
      <c r="G1512">
        <f>IF(A1512="","",SUMIF(Tickets[TripKey],A1512,Tickets[PK]))</f>
        <v/>
      </c>
      <c r="H1512">
        <f>IF(A1512="","",IFERROR(XLOOKUP(A1512,Tickets[TripKey],Tickets[VehClean]),""))</f>
        <v/>
      </c>
      <c r="I1512">
        <f>IF(A1512="","",IFERROR(XLOOKUP(A1512,Tickets[TripKey],Tickets[RouteLen]),0))</f>
        <v/>
      </c>
      <c r="J1512">
        <f>IF(A1512="","",IFERROR(XLOOKUP(A1512,Tickets[TripKey],Tickets[Capacity]),0))</f>
        <v/>
      </c>
      <c r="K1512">
        <f>IF(A1512="","",I1512*J1512)</f>
        <v/>
      </c>
      <c r="L1512">
        <f>IF(A1512="","",IFERROR(MINIFS(Tickets[Trip Start Time],Tickets[TripKey],A1512),""))</f>
        <v/>
      </c>
    </row>
    <row r="1513">
      <c r="B1513" s="8">
        <f>IF(A1513="","",IFERROR(DATEVALUE(TEXTBEFORE(A1513,"|")),--LEFT(A1513,10)))</f>
        <v/>
      </c>
      <c r="C1513">
        <f>IF(A1513="","",TEXTBEFORE(TEXTAFTER(A1513,"|"),"|"))</f>
        <v/>
      </c>
      <c r="D1513">
        <f>IF(A1513="","",TEXTAFTER(A1513,"|",2))</f>
        <v/>
      </c>
      <c r="E1513">
        <f>IF(A1513="","",SUMIF(Tickets[TripKey],A1513,Tickets[TP]))</f>
        <v/>
      </c>
      <c r="F1513">
        <f>IF(A1513="","",SUMIF(Tickets[TripKey],A1513,Tickets[Revenue]))</f>
        <v/>
      </c>
      <c r="G1513">
        <f>IF(A1513="","",SUMIF(Tickets[TripKey],A1513,Tickets[PK]))</f>
        <v/>
      </c>
      <c r="H1513">
        <f>IF(A1513="","",IFERROR(XLOOKUP(A1513,Tickets[TripKey],Tickets[VehClean]),""))</f>
        <v/>
      </c>
      <c r="I1513">
        <f>IF(A1513="","",IFERROR(XLOOKUP(A1513,Tickets[TripKey],Tickets[RouteLen]),0))</f>
        <v/>
      </c>
      <c r="J1513">
        <f>IF(A1513="","",IFERROR(XLOOKUP(A1513,Tickets[TripKey],Tickets[Capacity]),0))</f>
        <v/>
      </c>
      <c r="K1513">
        <f>IF(A1513="","",I1513*J1513)</f>
        <v/>
      </c>
      <c r="L1513">
        <f>IF(A1513="","",IFERROR(MINIFS(Tickets[Trip Start Time],Tickets[TripKey],A1513),""))</f>
        <v/>
      </c>
    </row>
    <row r="1514">
      <c r="B1514" s="8">
        <f>IF(A1514="","",IFERROR(DATEVALUE(TEXTBEFORE(A1514,"|")),--LEFT(A1514,10)))</f>
        <v/>
      </c>
      <c r="C1514">
        <f>IF(A1514="","",TEXTBEFORE(TEXTAFTER(A1514,"|"),"|"))</f>
        <v/>
      </c>
      <c r="D1514">
        <f>IF(A1514="","",TEXTAFTER(A1514,"|",2))</f>
        <v/>
      </c>
      <c r="E1514">
        <f>IF(A1514="","",SUMIF(Tickets[TripKey],A1514,Tickets[TP]))</f>
        <v/>
      </c>
      <c r="F1514">
        <f>IF(A1514="","",SUMIF(Tickets[TripKey],A1514,Tickets[Revenue]))</f>
        <v/>
      </c>
      <c r="G1514">
        <f>IF(A1514="","",SUMIF(Tickets[TripKey],A1514,Tickets[PK]))</f>
        <v/>
      </c>
      <c r="H1514">
        <f>IF(A1514="","",IFERROR(XLOOKUP(A1514,Tickets[TripKey],Tickets[VehClean]),""))</f>
        <v/>
      </c>
      <c r="I1514">
        <f>IF(A1514="","",IFERROR(XLOOKUP(A1514,Tickets[TripKey],Tickets[RouteLen]),0))</f>
        <v/>
      </c>
      <c r="J1514">
        <f>IF(A1514="","",IFERROR(XLOOKUP(A1514,Tickets[TripKey],Tickets[Capacity]),0))</f>
        <v/>
      </c>
      <c r="K1514">
        <f>IF(A1514="","",I1514*J1514)</f>
        <v/>
      </c>
      <c r="L1514">
        <f>IF(A1514="","",IFERROR(MINIFS(Tickets[Trip Start Time],Tickets[TripKey],A1514),""))</f>
        <v/>
      </c>
    </row>
    <row r="1515">
      <c r="B1515" s="8">
        <f>IF(A1515="","",IFERROR(DATEVALUE(TEXTBEFORE(A1515,"|")),--LEFT(A1515,10)))</f>
        <v/>
      </c>
      <c r="C1515">
        <f>IF(A1515="","",TEXTBEFORE(TEXTAFTER(A1515,"|"),"|"))</f>
        <v/>
      </c>
      <c r="D1515">
        <f>IF(A1515="","",TEXTAFTER(A1515,"|",2))</f>
        <v/>
      </c>
      <c r="E1515">
        <f>IF(A1515="","",SUMIF(Tickets[TripKey],A1515,Tickets[TP]))</f>
        <v/>
      </c>
      <c r="F1515">
        <f>IF(A1515="","",SUMIF(Tickets[TripKey],A1515,Tickets[Revenue]))</f>
        <v/>
      </c>
      <c r="G1515">
        <f>IF(A1515="","",SUMIF(Tickets[TripKey],A1515,Tickets[PK]))</f>
        <v/>
      </c>
      <c r="H1515">
        <f>IF(A1515="","",IFERROR(XLOOKUP(A1515,Tickets[TripKey],Tickets[VehClean]),""))</f>
        <v/>
      </c>
      <c r="I1515">
        <f>IF(A1515="","",IFERROR(XLOOKUP(A1515,Tickets[TripKey],Tickets[RouteLen]),0))</f>
        <v/>
      </c>
      <c r="J1515">
        <f>IF(A1515="","",IFERROR(XLOOKUP(A1515,Tickets[TripKey],Tickets[Capacity]),0))</f>
        <v/>
      </c>
      <c r="K1515">
        <f>IF(A1515="","",I1515*J1515)</f>
        <v/>
      </c>
      <c r="L1515">
        <f>IF(A1515="","",IFERROR(MINIFS(Tickets[Trip Start Time],Tickets[TripKey],A1515),""))</f>
        <v/>
      </c>
    </row>
    <row r="1516">
      <c r="B1516" s="8">
        <f>IF(A1516="","",IFERROR(DATEVALUE(TEXTBEFORE(A1516,"|")),--LEFT(A1516,10)))</f>
        <v/>
      </c>
      <c r="C1516">
        <f>IF(A1516="","",TEXTBEFORE(TEXTAFTER(A1516,"|"),"|"))</f>
        <v/>
      </c>
      <c r="D1516">
        <f>IF(A1516="","",TEXTAFTER(A1516,"|",2))</f>
        <v/>
      </c>
      <c r="E1516">
        <f>IF(A1516="","",SUMIF(Tickets[TripKey],A1516,Tickets[TP]))</f>
        <v/>
      </c>
      <c r="F1516">
        <f>IF(A1516="","",SUMIF(Tickets[TripKey],A1516,Tickets[Revenue]))</f>
        <v/>
      </c>
      <c r="G1516">
        <f>IF(A1516="","",SUMIF(Tickets[TripKey],A1516,Tickets[PK]))</f>
        <v/>
      </c>
      <c r="H1516">
        <f>IF(A1516="","",IFERROR(XLOOKUP(A1516,Tickets[TripKey],Tickets[VehClean]),""))</f>
        <v/>
      </c>
      <c r="I1516">
        <f>IF(A1516="","",IFERROR(XLOOKUP(A1516,Tickets[TripKey],Tickets[RouteLen]),0))</f>
        <v/>
      </c>
      <c r="J1516">
        <f>IF(A1516="","",IFERROR(XLOOKUP(A1516,Tickets[TripKey],Tickets[Capacity]),0))</f>
        <v/>
      </c>
      <c r="K1516">
        <f>IF(A1516="","",I1516*J1516)</f>
        <v/>
      </c>
      <c r="L1516">
        <f>IF(A1516="","",IFERROR(MINIFS(Tickets[Trip Start Time],Tickets[TripKey],A1516),""))</f>
        <v/>
      </c>
    </row>
    <row r="1517">
      <c r="B1517" s="8">
        <f>IF(A1517="","",IFERROR(DATEVALUE(TEXTBEFORE(A1517,"|")),--LEFT(A1517,10)))</f>
        <v/>
      </c>
      <c r="C1517">
        <f>IF(A1517="","",TEXTBEFORE(TEXTAFTER(A1517,"|"),"|"))</f>
        <v/>
      </c>
      <c r="D1517">
        <f>IF(A1517="","",TEXTAFTER(A1517,"|",2))</f>
        <v/>
      </c>
      <c r="E1517">
        <f>IF(A1517="","",SUMIF(Tickets[TripKey],A1517,Tickets[TP]))</f>
        <v/>
      </c>
      <c r="F1517">
        <f>IF(A1517="","",SUMIF(Tickets[TripKey],A1517,Tickets[Revenue]))</f>
        <v/>
      </c>
      <c r="G1517">
        <f>IF(A1517="","",SUMIF(Tickets[TripKey],A1517,Tickets[PK]))</f>
        <v/>
      </c>
      <c r="H1517">
        <f>IF(A1517="","",IFERROR(XLOOKUP(A1517,Tickets[TripKey],Tickets[VehClean]),""))</f>
        <v/>
      </c>
      <c r="I1517">
        <f>IF(A1517="","",IFERROR(XLOOKUP(A1517,Tickets[TripKey],Tickets[RouteLen]),0))</f>
        <v/>
      </c>
      <c r="J1517">
        <f>IF(A1517="","",IFERROR(XLOOKUP(A1517,Tickets[TripKey],Tickets[Capacity]),0))</f>
        <v/>
      </c>
      <c r="K1517">
        <f>IF(A1517="","",I1517*J1517)</f>
        <v/>
      </c>
      <c r="L1517">
        <f>IF(A1517="","",IFERROR(MINIFS(Tickets[Trip Start Time],Tickets[TripKey],A1517),""))</f>
        <v/>
      </c>
    </row>
    <row r="1518">
      <c r="B1518" s="8">
        <f>IF(A1518="","",IFERROR(DATEVALUE(TEXTBEFORE(A1518,"|")),--LEFT(A1518,10)))</f>
        <v/>
      </c>
      <c r="C1518">
        <f>IF(A1518="","",TEXTBEFORE(TEXTAFTER(A1518,"|"),"|"))</f>
        <v/>
      </c>
      <c r="D1518">
        <f>IF(A1518="","",TEXTAFTER(A1518,"|",2))</f>
        <v/>
      </c>
      <c r="E1518">
        <f>IF(A1518="","",SUMIF(Tickets[TripKey],A1518,Tickets[TP]))</f>
        <v/>
      </c>
      <c r="F1518">
        <f>IF(A1518="","",SUMIF(Tickets[TripKey],A1518,Tickets[Revenue]))</f>
        <v/>
      </c>
      <c r="G1518">
        <f>IF(A1518="","",SUMIF(Tickets[TripKey],A1518,Tickets[PK]))</f>
        <v/>
      </c>
      <c r="H1518">
        <f>IF(A1518="","",IFERROR(XLOOKUP(A1518,Tickets[TripKey],Tickets[VehClean]),""))</f>
        <v/>
      </c>
      <c r="I1518">
        <f>IF(A1518="","",IFERROR(XLOOKUP(A1518,Tickets[TripKey],Tickets[RouteLen]),0))</f>
        <v/>
      </c>
      <c r="J1518">
        <f>IF(A1518="","",IFERROR(XLOOKUP(A1518,Tickets[TripKey],Tickets[Capacity]),0))</f>
        <v/>
      </c>
      <c r="K1518">
        <f>IF(A1518="","",I1518*J1518)</f>
        <v/>
      </c>
      <c r="L1518">
        <f>IF(A1518="","",IFERROR(MINIFS(Tickets[Trip Start Time],Tickets[TripKey],A1518),""))</f>
        <v/>
      </c>
    </row>
    <row r="1519">
      <c r="B1519" s="8">
        <f>IF(A1519="","",IFERROR(DATEVALUE(TEXTBEFORE(A1519,"|")),--LEFT(A1519,10)))</f>
        <v/>
      </c>
      <c r="C1519">
        <f>IF(A1519="","",TEXTBEFORE(TEXTAFTER(A1519,"|"),"|"))</f>
        <v/>
      </c>
      <c r="D1519">
        <f>IF(A1519="","",TEXTAFTER(A1519,"|",2))</f>
        <v/>
      </c>
      <c r="E1519">
        <f>IF(A1519="","",SUMIF(Tickets[TripKey],A1519,Tickets[TP]))</f>
        <v/>
      </c>
      <c r="F1519">
        <f>IF(A1519="","",SUMIF(Tickets[TripKey],A1519,Tickets[Revenue]))</f>
        <v/>
      </c>
      <c r="G1519">
        <f>IF(A1519="","",SUMIF(Tickets[TripKey],A1519,Tickets[PK]))</f>
        <v/>
      </c>
      <c r="H1519">
        <f>IF(A1519="","",IFERROR(XLOOKUP(A1519,Tickets[TripKey],Tickets[VehClean]),""))</f>
        <v/>
      </c>
      <c r="I1519">
        <f>IF(A1519="","",IFERROR(XLOOKUP(A1519,Tickets[TripKey],Tickets[RouteLen]),0))</f>
        <v/>
      </c>
      <c r="J1519">
        <f>IF(A1519="","",IFERROR(XLOOKUP(A1519,Tickets[TripKey],Tickets[Capacity]),0))</f>
        <v/>
      </c>
      <c r="K1519">
        <f>IF(A1519="","",I1519*J1519)</f>
        <v/>
      </c>
      <c r="L1519">
        <f>IF(A1519="","",IFERROR(MINIFS(Tickets[Trip Start Time],Tickets[TripKey],A1519),""))</f>
        <v/>
      </c>
    </row>
    <row r="1520">
      <c r="B1520" s="8">
        <f>IF(A1520="","",IFERROR(DATEVALUE(TEXTBEFORE(A1520,"|")),--LEFT(A1520,10)))</f>
        <v/>
      </c>
      <c r="C1520">
        <f>IF(A1520="","",TEXTBEFORE(TEXTAFTER(A1520,"|"),"|"))</f>
        <v/>
      </c>
      <c r="D1520">
        <f>IF(A1520="","",TEXTAFTER(A1520,"|",2))</f>
        <v/>
      </c>
      <c r="E1520">
        <f>IF(A1520="","",SUMIF(Tickets[TripKey],A1520,Tickets[TP]))</f>
        <v/>
      </c>
      <c r="F1520">
        <f>IF(A1520="","",SUMIF(Tickets[TripKey],A1520,Tickets[Revenue]))</f>
        <v/>
      </c>
      <c r="G1520">
        <f>IF(A1520="","",SUMIF(Tickets[TripKey],A1520,Tickets[PK]))</f>
        <v/>
      </c>
      <c r="H1520">
        <f>IF(A1520="","",IFERROR(XLOOKUP(A1520,Tickets[TripKey],Tickets[VehClean]),""))</f>
        <v/>
      </c>
      <c r="I1520">
        <f>IF(A1520="","",IFERROR(XLOOKUP(A1520,Tickets[TripKey],Tickets[RouteLen]),0))</f>
        <v/>
      </c>
      <c r="J1520">
        <f>IF(A1520="","",IFERROR(XLOOKUP(A1520,Tickets[TripKey],Tickets[Capacity]),0))</f>
        <v/>
      </c>
      <c r="K1520">
        <f>IF(A1520="","",I1520*J1520)</f>
        <v/>
      </c>
      <c r="L1520">
        <f>IF(A1520="","",IFERROR(MINIFS(Tickets[Trip Start Time],Tickets[TripKey],A1520),""))</f>
        <v/>
      </c>
    </row>
    <row r="1521">
      <c r="B1521" s="8">
        <f>IF(A1521="","",IFERROR(DATEVALUE(TEXTBEFORE(A1521,"|")),--LEFT(A1521,10)))</f>
        <v/>
      </c>
      <c r="C1521">
        <f>IF(A1521="","",TEXTBEFORE(TEXTAFTER(A1521,"|"),"|"))</f>
        <v/>
      </c>
      <c r="D1521">
        <f>IF(A1521="","",TEXTAFTER(A1521,"|",2))</f>
        <v/>
      </c>
      <c r="E1521">
        <f>IF(A1521="","",SUMIF(Tickets[TripKey],A1521,Tickets[TP]))</f>
        <v/>
      </c>
      <c r="F1521">
        <f>IF(A1521="","",SUMIF(Tickets[TripKey],A1521,Tickets[Revenue]))</f>
        <v/>
      </c>
      <c r="G1521">
        <f>IF(A1521="","",SUMIF(Tickets[TripKey],A1521,Tickets[PK]))</f>
        <v/>
      </c>
      <c r="H1521">
        <f>IF(A1521="","",IFERROR(XLOOKUP(A1521,Tickets[TripKey],Tickets[VehClean]),""))</f>
        <v/>
      </c>
      <c r="I1521">
        <f>IF(A1521="","",IFERROR(XLOOKUP(A1521,Tickets[TripKey],Tickets[RouteLen]),0))</f>
        <v/>
      </c>
      <c r="J1521">
        <f>IF(A1521="","",IFERROR(XLOOKUP(A1521,Tickets[TripKey],Tickets[Capacity]),0))</f>
        <v/>
      </c>
      <c r="K1521">
        <f>IF(A1521="","",I1521*J1521)</f>
        <v/>
      </c>
      <c r="L1521">
        <f>IF(A1521="","",IFERROR(MINIFS(Tickets[Trip Start Time],Tickets[TripKey],A1521),""))</f>
        <v/>
      </c>
    </row>
    <row r="1522">
      <c r="B1522" s="8">
        <f>IF(A1522="","",IFERROR(DATEVALUE(TEXTBEFORE(A1522,"|")),--LEFT(A1522,10)))</f>
        <v/>
      </c>
      <c r="C1522">
        <f>IF(A1522="","",TEXTBEFORE(TEXTAFTER(A1522,"|"),"|"))</f>
        <v/>
      </c>
      <c r="D1522">
        <f>IF(A1522="","",TEXTAFTER(A1522,"|",2))</f>
        <v/>
      </c>
      <c r="E1522">
        <f>IF(A1522="","",SUMIF(Tickets[TripKey],A1522,Tickets[TP]))</f>
        <v/>
      </c>
      <c r="F1522">
        <f>IF(A1522="","",SUMIF(Tickets[TripKey],A1522,Tickets[Revenue]))</f>
        <v/>
      </c>
      <c r="G1522">
        <f>IF(A1522="","",SUMIF(Tickets[TripKey],A1522,Tickets[PK]))</f>
        <v/>
      </c>
      <c r="H1522">
        <f>IF(A1522="","",IFERROR(XLOOKUP(A1522,Tickets[TripKey],Tickets[VehClean]),""))</f>
        <v/>
      </c>
      <c r="I1522">
        <f>IF(A1522="","",IFERROR(XLOOKUP(A1522,Tickets[TripKey],Tickets[RouteLen]),0))</f>
        <v/>
      </c>
      <c r="J1522">
        <f>IF(A1522="","",IFERROR(XLOOKUP(A1522,Tickets[TripKey],Tickets[Capacity]),0))</f>
        <v/>
      </c>
      <c r="K1522">
        <f>IF(A1522="","",I1522*J1522)</f>
        <v/>
      </c>
      <c r="L1522">
        <f>IF(A1522="","",IFERROR(MINIFS(Tickets[Trip Start Time],Tickets[TripKey],A1522),""))</f>
        <v/>
      </c>
    </row>
    <row r="1523">
      <c r="B1523" s="8">
        <f>IF(A1523="","",IFERROR(DATEVALUE(TEXTBEFORE(A1523,"|")),--LEFT(A1523,10)))</f>
        <v/>
      </c>
      <c r="C1523">
        <f>IF(A1523="","",TEXTBEFORE(TEXTAFTER(A1523,"|"),"|"))</f>
        <v/>
      </c>
      <c r="D1523">
        <f>IF(A1523="","",TEXTAFTER(A1523,"|",2))</f>
        <v/>
      </c>
      <c r="E1523">
        <f>IF(A1523="","",SUMIF(Tickets[TripKey],A1523,Tickets[TP]))</f>
        <v/>
      </c>
      <c r="F1523">
        <f>IF(A1523="","",SUMIF(Tickets[TripKey],A1523,Tickets[Revenue]))</f>
        <v/>
      </c>
      <c r="G1523">
        <f>IF(A1523="","",SUMIF(Tickets[TripKey],A1523,Tickets[PK]))</f>
        <v/>
      </c>
      <c r="H1523">
        <f>IF(A1523="","",IFERROR(XLOOKUP(A1523,Tickets[TripKey],Tickets[VehClean]),""))</f>
        <v/>
      </c>
      <c r="I1523">
        <f>IF(A1523="","",IFERROR(XLOOKUP(A1523,Tickets[TripKey],Tickets[RouteLen]),0))</f>
        <v/>
      </c>
      <c r="J1523">
        <f>IF(A1523="","",IFERROR(XLOOKUP(A1523,Tickets[TripKey],Tickets[Capacity]),0))</f>
        <v/>
      </c>
      <c r="K1523">
        <f>IF(A1523="","",I1523*J1523)</f>
        <v/>
      </c>
      <c r="L1523">
        <f>IF(A1523="","",IFERROR(MINIFS(Tickets[Trip Start Time],Tickets[TripKey],A1523),""))</f>
        <v/>
      </c>
    </row>
    <row r="1524">
      <c r="B1524" s="8">
        <f>IF(A1524="","",IFERROR(DATEVALUE(TEXTBEFORE(A1524,"|")),--LEFT(A1524,10)))</f>
        <v/>
      </c>
      <c r="C1524">
        <f>IF(A1524="","",TEXTBEFORE(TEXTAFTER(A1524,"|"),"|"))</f>
        <v/>
      </c>
      <c r="D1524">
        <f>IF(A1524="","",TEXTAFTER(A1524,"|",2))</f>
        <v/>
      </c>
      <c r="E1524">
        <f>IF(A1524="","",SUMIF(Tickets[TripKey],A1524,Tickets[TP]))</f>
        <v/>
      </c>
      <c r="F1524">
        <f>IF(A1524="","",SUMIF(Tickets[TripKey],A1524,Tickets[Revenue]))</f>
        <v/>
      </c>
      <c r="G1524">
        <f>IF(A1524="","",SUMIF(Tickets[TripKey],A1524,Tickets[PK]))</f>
        <v/>
      </c>
      <c r="H1524">
        <f>IF(A1524="","",IFERROR(XLOOKUP(A1524,Tickets[TripKey],Tickets[VehClean]),""))</f>
        <v/>
      </c>
      <c r="I1524">
        <f>IF(A1524="","",IFERROR(XLOOKUP(A1524,Tickets[TripKey],Tickets[RouteLen]),0))</f>
        <v/>
      </c>
      <c r="J1524">
        <f>IF(A1524="","",IFERROR(XLOOKUP(A1524,Tickets[TripKey],Tickets[Capacity]),0))</f>
        <v/>
      </c>
      <c r="K1524">
        <f>IF(A1524="","",I1524*J1524)</f>
        <v/>
      </c>
      <c r="L1524">
        <f>IF(A1524="","",IFERROR(MINIFS(Tickets[Trip Start Time],Tickets[TripKey],A1524),""))</f>
        <v/>
      </c>
    </row>
    <row r="1525">
      <c r="B1525" s="8">
        <f>IF(A1525="","",IFERROR(DATEVALUE(TEXTBEFORE(A1525,"|")),--LEFT(A1525,10)))</f>
        <v/>
      </c>
      <c r="C1525">
        <f>IF(A1525="","",TEXTBEFORE(TEXTAFTER(A1525,"|"),"|"))</f>
        <v/>
      </c>
      <c r="D1525">
        <f>IF(A1525="","",TEXTAFTER(A1525,"|",2))</f>
        <v/>
      </c>
      <c r="E1525">
        <f>IF(A1525="","",SUMIF(Tickets[TripKey],A1525,Tickets[TP]))</f>
        <v/>
      </c>
      <c r="F1525">
        <f>IF(A1525="","",SUMIF(Tickets[TripKey],A1525,Tickets[Revenue]))</f>
        <v/>
      </c>
      <c r="G1525">
        <f>IF(A1525="","",SUMIF(Tickets[TripKey],A1525,Tickets[PK]))</f>
        <v/>
      </c>
      <c r="H1525">
        <f>IF(A1525="","",IFERROR(XLOOKUP(A1525,Tickets[TripKey],Tickets[VehClean]),""))</f>
        <v/>
      </c>
      <c r="I1525">
        <f>IF(A1525="","",IFERROR(XLOOKUP(A1525,Tickets[TripKey],Tickets[RouteLen]),0))</f>
        <v/>
      </c>
      <c r="J1525">
        <f>IF(A1525="","",IFERROR(XLOOKUP(A1525,Tickets[TripKey],Tickets[Capacity]),0))</f>
        <v/>
      </c>
      <c r="K1525">
        <f>IF(A1525="","",I1525*J1525)</f>
        <v/>
      </c>
      <c r="L1525">
        <f>IF(A1525="","",IFERROR(MINIFS(Tickets[Trip Start Time],Tickets[TripKey],A1525),""))</f>
        <v/>
      </c>
    </row>
    <row r="1526">
      <c r="B1526" s="8">
        <f>IF(A1526="","",IFERROR(DATEVALUE(TEXTBEFORE(A1526,"|")),--LEFT(A1526,10)))</f>
        <v/>
      </c>
      <c r="C1526">
        <f>IF(A1526="","",TEXTBEFORE(TEXTAFTER(A1526,"|"),"|"))</f>
        <v/>
      </c>
      <c r="D1526">
        <f>IF(A1526="","",TEXTAFTER(A1526,"|",2))</f>
        <v/>
      </c>
      <c r="E1526">
        <f>IF(A1526="","",SUMIF(Tickets[TripKey],A1526,Tickets[TP]))</f>
        <v/>
      </c>
      <c r="F1526">
        <f>IF(A1526="","",SUMIF(Tickets[TripKey],A1526,Tickets[Revenue]))</f>
        <v/>
      </c>
      <c r="G1526">
        <f>IF(A1526="","",SUMIF(Tickets[TripKey],A1526,Tickets[PK]))</f>
        <v/>
      </c>
      <c r="H1526">
        <f>IF(A1526="","",IFERROR(XLOOKUP(A1526,Tickets[TripKey],Tickets[VehClean]),""))</f>
        <v/>
      </c>
      <c r="I1526">
        <f>IF(A1526="","",IFERROR(XLOOKUP(A1526,Tickets[TripKey],Tickets[RouteLen]),0))</f>
        <v/>
      </c>
      <c r="J1526">
        <f>IF(A1526="","",IFERROR(XLOOKUP(A1526,Tickets[TripKey],Tickets[Capacity]),0))</f>
        <v/>
      </c>
      <c r="K1526">
        <f>IF(A1526="","",I1526*J1526)</f>
        <v/>
      </c>
      <c r="L1526">
        <f>IF(A1526="","",IFERROR(MINIFS(Tickets[Trip Start Time],Tickets[TripKey],A1526),""))</f>
        <v/>
      </c>
    </row>
    <row r="1527">
      <c r="B1527" s="8">
        <f>IF(A1527="","",IFERROR(DATEVALUE(TEXTBEFORE(A1527,"|")),--LEFT(A1527,10)))</f>
        <v/>
      </c>
      <c r="C1527">
        <f>IF(A1527="","",TEXTBEFORE(TEXTAFTER(A1527,"|"),"|"))</f>
        <v/>
      </c>
      <c r="D1527">
        <f>IF(A1527="","",TEXTAFTER(A1527,"|",2))</f>
        <v/>
      </c>
      <c r="E1527">
        <f>IF(A1527="","",SUMIF(Tickets[TripKey],A1527,Tickets[TP]))</f>
        <v/>
      </c>
      <c r="F1527">
        <f>IF(A1527="","",SUMIF(Tickets[TripKey],A1527,Tickets[Revenue]))</f>
        <v/>
      </c>
      <c r="G1527">
        <f>IF(A1527="","",SUMIF(Tickets[TripKey],A1527,Tickets[PK]))</f>
        <v/>
      </c>
      <c r="H1527">
        <f>IF(A1527="","",IFERROR(XLOOKUP(A1527,Tickets[TripKey],Tickets[VehClean]),""))</f>
        <v/>
      </c>
      <c r="I1527">
        <f>IF(A1527="","",IFERROR(XLOOKUP(A1527,Tickets[TripKey],Tickets[RouteLen]),0))</f>
        <v/>
      </c>
      <c r="J1527">
        <f>IF(A1527="","",IFERROR(XLOOKUP(A1527,Tickets[TripKey],Tickets[Capacity]),0))</f>
        <v/>
      </c>
      <c r="K1527">
        <f>IF(A1527="","",I1527*J1527)</f>
        <v/>
      </c>
      <c r="L1527">
        <f>IF(A1527="","",IFERROR(MINIFS(Tickets[Trip Start Time],Tickets[TripKey],A1527),""))</f>
        <v/>
      </c>
    </row>
    <row r="1528">
      <c r="B1528" s="8">
        <f>IF(A1528="","",IFERROR(DATEVALUE(TEXTBEFORE(A1528,"|")),--LEFT(A1528,10)))</f>
        <v/>
      </c>
      <c r="C1528">
        <f>IF(A1528="","",TEXTBEFORE(TEXTAFTER(A1528,"|"),"|"))</f>
        <v/>
      </c>
      <c r="D1528">
        <f>IF(A1528="","",TEXTAFTER(A1528,"|",2))</f>
        <v/>
      </c>
      <c r="E1528">
        <f>IF(A1528="","",SUMIF(Tickets[TripKey],A1528,Tickets[TP]))</f>
        <v/>
      </c>
      <c r="F1528">
        <f>IF(A1528="","",SUMIF(Tickets[TripKey],A1528,Tickets[Revenue]))</f>
        <v/>
      </c>
      <c r="G1528">
        <f>IF(A1528="","",SUMIF(Tickets[TripKey],A1528,Tickets[PK]))</f>
        <v/>
      </c>
      <c r="H1528">
        <f>IF(A1528="","",IFERROR(XLOOKUP(A1528,Tickets[TripKey],Tickets[VehClean]),""))</f>
        <v/>
      </c>
      <c r="I1528">
        <f>IF(A1528="","",IFERROR(XLOOKUP(A1528,Tickets[TripKey],Tickets[RouteLen]),0))</f>
        <v/>
      </c>
      <c r="J1528">
        <f>IF(A1528="","",IFERROR(XLOOKUP(A1528,Tickets[TripKey],Tickets[Capacity]),0))</f>
        <v/>
      </c>
      <c r="K1528">
        <f>IF(A1528="","",I1528*J1528)</f>
        <v/>
      </c>
      <c r="L1528">
        <f>IF(A1528="","",IFERROR(MINIFS(Tickets[Trip Start Time],Tickets[TripKey],A1528),""))</f>
        <v/>
      </c>
    </row>
    <row r="1529">
      <c r="B1529" s="8">
        <f>IF(A1529="","",IFERROR(DATEVALUE(TEXTBEFORE(A1529,"|")),--LEFT(A1529,10)))</f>
        <v/>
      </c>
      <c r="C1529">
        <f>IF(A1529="","",TEXTBEFORE(TEXTAFTER(A1529,"|"),"|"))</f>
        <v/>
      </c>
      <c r="D1529">
        <f>IF(A1529="","",TEXTAFTER(A1529,"|",2))</f>
        <v/>
      </c>
      <c r="E1529">
        <f>IF(A1529="","",SUMIF(Tickets[TripKey],A1529,Tickets[TP]))</f>
        <v/>
      </c>
      <c r="F1529">
        <f>IF(A1529="","",SUMIF(Tickets[TripKey],A1529,Tickets[Revenue]))</f>
        <v/>
      </c>
      <c r="G1529">
        <f>IF(A1529="","",SUMIF(Tickets[TripKey],A1529,Tickets[PK]))</f>
        <v/>
      </c>
      <c r="H1529">
        <f>IF(A1529="","",IFERROR(XLOOKUP(A1529,Tickets[TripKey],Tickets[VehClean]),""))</f>
        <v/>
      </c>
      <c r="I1529">
        <f>IF(A1529="","",IFERROR(XLOOKUP(A1529,Tickets[TripKey],Tickets[RouteLen]),0))</f>
        <v/>
      </c>
      <c r="J1529">
        <f>IF(A1529="","",IFERROR(XLOOKUP(A1529,Tickets[TripKey],Tickets[Capacity]),0))</f>
        <v/>
      </c>
      <c r="K1529">
        <f>IF(A1529="","",I1529*J1529)</f>
        <v/>
      </c>
      <c r="L1529">
        <f>IF(A1529="","",IFERROR(MINIFS(Tickets[Trip Start Time],Tickets[TripKey],A1529),""))</f>
        <v/>
      </c>
    </row>
    <row r="1530">
      <c r="B1530" s="8">
        <f>IF(A1530="","",IFERROR(DATEVALUE(TEXTBEFORE(A1530,"|")),--LEFT(A1530,10)))</f>
        <v/>
      </c>
      <c r="C1530">
        <f>IF(A1530="","",TEXTBEFORE(TEXTAFTER(A1530,"|"),"|"))</f>
        <v/>
      </c>
      <c r="D1530">
        <f>IF(A1530="","",TEXTAFTER(A1530,"|",2))</f>
        <v/>
      </c>
      <c r="E1530">
        <f>IF(A1530="","",SUMIF(Tickets[TripKey],A1530,Tickets[TP]))</f>
        <v/>
      </c>
      <c r="F1530">
        <f>IF(A1530="","",SUMIF(Tickets[TripKey],A1530,Tickets[Revenue]))</f>
        <v/>
      </c>
      <c r="G1530">
        <f>IF(A1530="","",SUMIF(Tickets[TripKey],A1530,Tickets[PK]))</f>
        <v/>
      </c>
      <c r="H1530">
        <f>IF(A1530="","",IFERROR(XLOOKUP(A1530,Tickets[TripKey],Tickets[VehClean]),""))</f>
        <v/>
      </c>
      <c r="I1530">
        <f>IF(A1530="","",IFERROR(XLOOKUP(A1530,Tickets[TripKey],Tickets[RouteLen]),0))</f>
        <v/>
      </c>
      <c r="J1530">
        <f>IF(A1530="","",IFERROR(XLOOKUP(A1530,Tickets[TripKey],Tickets[Capacity]),0))</f>
        <v/>
      </c>
      <c r="K1530">
        <f>IF(A1530="","",I1530*J1530)</f>
        <v/>
      </c>
      <c r="L1530">
        <f>IF(A1530="","",IFERROR(MINIFS(Tickets[Trip Start Time],Tickets[TripKey],A1530),""))</f>
        <v/>
      </c>
    </row>
    <row r="1531">
      <c r="B1531" s="8">
        <f>IF(A1531="","",IFERROR(DATEVALUE(TEXTBEFORE(A1531,"|")),--LEFT(A1531,10)))</f>
        <v/>
      </c>
      <c r="C1531">
        <f>IF(A1531="","",TEXTBEFORE(TEXTAFTER(A1531,"|"),"|"))</f>
        <v/>
      </c>
      <c r="D1531">
        <f>IF(A1531="","",TEXTAFTER(A1531,"|",2))</f>
        <v/>
      </c>
      <c r="E1531">
        <f>IF(A1531="","",SUMIF(Tickets[TripKey],A1531,Tickets[TP]))</f>
        <v/>
      </c>
      <c r="F1531">
        <f>IF(A1531="","",SUMIF(Tickets[TripKey],A1531,Tickets[Revenue]))</f>
        <v/>
      </c>
      <c r="G1531">
        <f>IF(A1531="","",SUMIF(Tickets[TripKey],A1531,Tickets[PK]))</f>
        <v/>
      </c>
      <c r="H1531">
        <f>IF(A1531="","",IFERROR(XLOOKUP(A1531,Tickets[TripKey],Tickets[VehClean]),""))</f>
        <v/>
      </c>
      <c r="I1531">
        <f>IF(A1531="","",IFERROR(XLOOKUP(A1531,Tickets[TripKey],Tickets[RouteLen]),0))</f>
        <v/>
      </c>
      <c r="J1531">
        <f>IF(A1531="","",IFERROR(XLOOKUP(A1531,Tickets[TripKey],Tickets[Capacity]),0))</f>
        <v/>
      </c>
      <c r="K1531">
        <f>IF(A1531="","",I1531*J1531)</f>
        <v/>
      </c>
      <c r="L1531">
        <f>IF(A1531="","",IFERROR(MINIFS(Tickets[Trip Start Time],Tickets[TripKey],A1531),""))</f>
        <v/>
      </c>
    </row>
    <row r="1532">
      <c r="B1532" s="8">
        <f>IF(A1532="","",IFERROR(DATEVALUE(TEXTBEFORE(A1532,"|")),--LEFT(A1532,10)))</f>
        <v/>
      </c>
      <c r="C1532">
        <f>IF(A1532="","",TEXTBEFORE(TEXTAFTER(A1532,"|"),"|"))</f>
        <v/>
      </c>
      <c r="D1532">
        <f>IF(A1532="","",TEXTAFTER(A1532,"|",2))</f>
        <v/>
      </c>
      <c r="E1532">
        <f>IF(A1532="","",SUMIF(Tickets[TripKey],A1532,Tickets[TP]))</f>
        <v/>
      </c>
      <c r="F1532">
        <f>IF(A1532="","",SUMIF(Tickets[TripKey],A1532,Tickets[Revenue]))</f>
        <v/>
      </c>
      <c r="G1532">
        <f>IF(A1532="","",SUMIF(Tickets[TripKey],A1532,Tickets[PK]))</f>
        <v/>
      </c>
      <c r="H1532">
        <f>IF(A1532="","",IFERROR(XLOOKUP(A1532,Tickets[TripKey],Tickets[VehClean]),""))</f>
        <v/>
      </c>
      <c r="I1532">
        <f>IF(A1532="","",IFERROR(XLOOKUP(A1532,Tickets[TripKey],Tickets[RouteLen]),0))</f>
        <v/>
      </c>
      <c r="J1532">
        <f>IF(A1532="","",IFERROR(XLOOKUP(A1532,Tickets[TripKey],Tickets[Capacity]),0))</f>
        <v/>
      </c>
      <c r="K1532">
        <f>IF(A1532="","",I1532*J1532)</f>
        <v/>
      </c>
      <c r="L1532">
        <f>IF(A1532="","",IFERROR(MINIFS(Tickets[Trip Start Time],Tickets[TripKey],A1532),""))</f>
        <v/>
      </c>
    </row>
    <row r="1533">
      <c r="B1533" s="8">
        <f>IF(A1533="","",IFERROR(DATEVALUE(TEXTBEFORE(A1533,"|")),--LEFT(A1533,10)))</f>
        <v/>
      </c>
      <c r="C1533">
        <f>IF(A1533="","",TEXTBEFORE(TEXTAFTER(A1533,"|"),"|"))</f>
        <v/>
      </c>
      <c r="D1533">
        <f>IF(A1533="","",TEXTAFTER(A1533,"|",2))</f>
        <v/>
      </c>
      <c r="E1533">
        <f>IF(A1533="","",SUMIF(Tickets[TripKey],A1533,Tickets[TP]))</f>
        <v/>
      </c>
      <c r="F1533">
        <f>IF(A1533="","",SUMIF(Tickets[TripKey],A1533,Tickets[Revenue]))</f>
        <v/>
      </c>
      <c r="G1533">
        <f>IF(A1533="","",SUMIF(Tickets[TripKey],A1533,Tickets[PK]))</f>
        <v/>
      </c>
      <c r="H1533">
        <f>IF(A1533="","",IFERROR(XLOOKUP(A1533,Tickets[TripKey],Tickets[VehClean]),""))</f>
        <v/>
      </c>
      <c r="I1533">
        <f>IF(A1533="","",IFERROR(XLOOKUP(A1533,Tickets[TripKey],Tickets[RouteLen]),0))</f>
        <v/>
      </c>
      <c r="J1533">
        <f>IF(A1533="","",IFERROR(XLOOKUP(A1533,Tickets[TripKey],Tickets[Capacity]),0))</f>
        <v/>
      </c>
      <c r="K1533">
        <f>IF(A1533="","",I1533*J1533)</f>
        <v/>
      </c>
      <c r="L1533">
        <f>IF(A1533="","",IFERROR(MINIFS(Tickets[Trip Start Time],Tickets[TripKey],A1533),""))</f>
        <v/>
      </c>
    </row>
    <row r="1534">
      <c r="B1534" s="8">
        <f>IF(A1534="","",IFERROR(DATEVALUE(TEXTBEFORE(A1534,"|")),--LEFT(A1534,10)))</f>
        <v/>
      </c>
      <c r="C1534">
        <f>IF(A1534="","",TEXTBEFORE(TEXTAFTER(A1534,"|"),"|"))</f>
        <v/>
      </c>
      <c r="D1534">
        <f>IF(A1534="","",TEXTAFTER(A1534,"|",2))</f>
        <v/>
      </c>
      <c r="E1534">
        <f>IF(A1534="","",SUMIF(Tickets[TripKey],A1534,Tickets[TP]))</f>
        <v/>
      </c>
      <c r="F1534">
        <f>IF(A1534="","",SUMIF(Tickets[TripKey],A1534,Tickets[Revenue]))</f>
        <v/>
      </c>
      <c r="G1534">
        <f>IF(A1534="","",SUMIF(Tickets[TripKey],A1534,Tickets[PK]))</f>
        <v/>
      </c>
      <c r="H1534">
        <f>IF(A1534="","",IFERROR(XLOOKUP(A1534,Tickets[TripKey],Tickets[VehClean]),""))</f>
        <v/>
      </c>
      <c r="I1534">
        <f>IF(A1534="","",IFERROR(XLOOKUP(A1534,Tickets[TripKey],Tickets[RouteLen]),0))</f>
        <v/>
      </c>
      <c r="J1534">
        <f>IF(A1534="","",IFERROR(XLOOKUP(A1534,Tickets[TripKey],Tickets[Capacity]),0))</f>
        <v/>
      </c>
      <c r="K1534">
        <f>IF(A1534="","",I1534*J1534)</f>
        <v/>
      </c>
      <c r="L1534">
        <f>IF(A1534="","",IFERROR(MINIFS(Tickets[Trip Start Time],Tickets[TripKey],A1534),""))</f>
        <v/>
      </c>
    </row>
    <row r="1535">
      <c r="B1535" s="8">
        <f>IF(A1535="","",IFERROR(DATEVALUE(TEXTBEFORE(A1535,"|")),--LEFT(A1535,10)))</f>
        <v/>
      </c>
      <c r="C1535">
        <f>IF(A1535="","",TEXTBEFORE(TEXTAFTER(A1535,"|"),"|"))</f>
        <v/>
      </c>
      <c r="D1535">
        <f>IF(A1535="","",TEXTAFTER(A1535,"|",2))</f>
        <v/>
      </c>
      <c r="E1535">
        <f>IF(A1535="","",SUMIF(Tickets[TripKey],A1535,Tickets[TP]))</f>
        <v/>
      </c>
      <c r="F1535">
        <f>IF(A1535="","",SUMIF(Tickets[TripKey],A1535,Tickets[Revenue]))</f>
        <v/>
      </c>
      <c r="G1535">
        <f>IF(A1535="","",SUMIF(Tickets[TripKey],A1535,Tickets[PK]))</f>
        <v/>
      </c>
      <c r="H1535">
        <f>IF(A1535="","",IFERROR(XLOOKUP(A1535,Tickets[TripKey],Tickets[VehClean]),""))</f>
        <v/>
      </c>
      <c r="I1535">
        <f>IF(A1535="","",IFERROR(XLOOKUP(A1535,Tickets[TripKey],Tickets[RouteLen]),0))</f>
        <v/>
      </c>
      <c r="J1535">
        <f>IF(A1535="","",IFERROR(XLOOKUP(A1535,Tickets[TripKey],Tickets[Capacity]),0))</f>
        <v/>
      </c>
      <c r="K1535">
        <f>IF(A1535="","",I1535*J1535)</f>
        <v/>
      </c>
      <c r="L1535">
        <f>IF(A1535="","",IFERROR(MINIFS(Tickets[Trip Start Time],Tickets[TripKey],A1535),""))</f>
        <v/>
      </c>
    </row>
    <row r="1536">
      <c r="B1536" s="8">
        <f>IF(A1536="","",IFERROR(DATEVALUE(TEXTBEFORE(A1536,"|")),--LEFT(A1536,10)))</f>
        <v/>
      </c>
      <c r="C1536">
        <f>IF(A1536="","",TEXTBEFORE(TEXTAFTER(A1536,"|"),"|"))</f>
        <v/>
      </c>
      <c r="D1536">
        <f>IF(A1536="","",TEXTAFTER(A1536,"|",2))</f>
        <v/>
      </c>
      <c r="E1536">
        <f>IF(A1536="","",SUMIF(Tickets[TripKey],A1536,Tickets[TP]))</f>
        <v/>
      </c>
      <c r="F1536">
        <f>IF(A1536="","",SUMIF(Tickets[TripKey],A1536,Tickets[Revenue]))</f>
        <v/>
      </c>
      <c r="G1536">
        <f>IF(A1536="","",SUMIF(Tickets[TripKey],A1536,Tickets[PK]))</f>
        <v/>
      </c>
      <c r="H1536">
        <f>IF(A1536="","",IFERROR(XLOOKUP(A1536,Tickets[TripKey],Tickets[VehClean]),""))</f>
        <v/>
      </c>
      <c r="I1536">
        <f>IF(A1536="","",IFERROR(XLOOKUP(A1536,Tickets[TripKey],Tickets[RouteLen]),0))</f>
        <v/>
      </c>
      <c r="J1536">
        <f>IF(A1536="","",IFERROR(XLOOKUP(A1536,Tickets[TripKey],Tickets[Capacity]),0))</f>
        <v/>
      </c>
      <c r="K1536">
        <f>IF(A1536="","",I1536*J1536)</f>
        <v/>
      </c>
      <c r="L1536">
        <f>IF(A1536="","",IFERROR(MINIFS(Tickets[Trip Start Time],Tickets[TripKey],A1536),""))</f>
        <v/>
      </c>
    </row>
    <row r="1537">
      <c r="B1537" s="8">
        <f>IF(A1537="","",IFERROR(DATEVALUE(TEXTBEFORE(A1537,"|")),--LEFT(A1537,10)))</f>
        <v/>
      </c>
      <c r="C1537">
        <f>IF(A1537="","",TEXTBEFORE(TEXTAFTER(A1537,"|"),"|"))</f>
        <v/>
      </c>
      <c r="D1537">
        <f>IF(A1537="","",TEXTAFTER(A1537,"|",2))</f>
        <v/>
      </c>
      <c r="E1537">
        <f>IF(A1537="","",SUMIF(Tickets[TripKey],A1537,Tickets[TP]))</f>
        <v/>
      </c>
      <c r="F1537">
        <f>IF(A1537="","",SUMIF(Tickets[TripKey],A1537,Tickets[Revenue]))</f>
        <v/>
      </c>
      <c r="G1537">
        <f>IF(A1537="","",SUMIF(Tickets[TripKey],A1537,Tickets[PK]))</f>
        <v/>
      </c>
      <c r="H1537">
        <f>IF(A1537="","",IFERROR(XLOOKUP(A1537,Tickets[TripKey],Tickets[VehClean]),""))</f>
        <v/>
      </c>
      <c r="I1537">
        <f>IF(A1537="","",IFERROR(XLOOKUP(A1537,Tickets[TripKey],Tickets[RouteLen]),0))</f>
        <v/>
      </c>
      <c r="J1537">
        <f>IF(A1537="","",IFERROR(XLOOKUP(A1537,Tickets[TripKey],Tickets[Capacity]),0))</f>
        <v/>
      </c>
      <c r="K1537">
        <f>IF(A1537="","",I1537*J1537)</f>
        <v/>
      </c>
      <c r="L1537">
        <f>IF(A1537="","",IFERROR(MINIFS(Tickets[Trip Start Time],Tickets[TripKey],A1537),""))</f>
        <v/>
      </c>
    </row>
    <row r="1538">
      <c r="B1538" s="8">
        <f>IF(A1538="","",IFERROR(DATEVALUE(TEXTBEFORE(A1538,"|")),--LEFT(A1538,10)))</f>
        <v/>
      </c>
      <c r="C1538">
        <f>IF(A1538="","",TEXTBEFORE(TEXTAFTER(A1538,"|"),"|"))</f>
        <v/>
      </c>
      <c r="D1538">
        <f>IF(A1538="","",TEXTAFTER(A1538,"|",2))</f>
        <v/>
      </c>
      <c r="E1538">
        <f>IF(A1538="","",SUMIF(Tickets[TripKey],A1538,Tickets[TP]))</f>
        <v/>
      </c>
      <c r="F1538">
        <f>IF(A1538="","",SUMIF(Tickets[TripKey],A1538,Tickets[Revenue]))</f>
        <v/>
      </c>
      <c r="G1538">
        <f>IF(A1538="","",SUMIF(Tickets[TripKey],A1538,Tickets[PK]))</f>
        <v/>
      </c>
      <c r="H1538">
        <f>IF(A1538="","",IFERROR(XLOOKUP(A1538,Tickets[TripKey],Tickets[VehClean]),""))</f>
        <v/>
      </c>
      <c r="I1538">
        <f>IF(A1538="","",IFERROR(XLOOKUP(A1538,Tickets[TripKey],Tickets[RouteLen]),0))</f>
        <v/>
      </c>
      <c r="J1538">
        <f>IF(A1538="","",IFERROR(XLOOKUP(A1538,Tickets[TripKey],Tickets[Capacity]),0))</f>
        <v/>
      </c>
      <c r="K1538">
        <f>IF(A1538="","",I1538*J1538)</f>
        <v/>
      </c>
      <c r="L1538">
        <f>IF(A1538="","",IFERROR(MINIFS(Tickets[Trip Start Time],Tickets[TripKey],A1538),""))</f>
        <v/>
      </c>
    </row>
    <row r="1539">
      <c r="B1539" s="8">
        <f>IF(A1539="","",IFERROR(DATEVALUE(TEXTBEFORE(A1539,"|")),--LEFT(A1539,10)))</f>
        <v/>
      </c>
      <c r="C1539">
        <f>IF(A1539="","",TEXTBEFORE(TEXTAFTER(A1539,"|"),"|"))</f>
        <v/>
      </c>
      <c r="D1539">
        <f>IF(A1539="","",TEXTAFTER(A1539,"|",2))</f>
        <v/>
      </c>
      <c r="E1539">
        <f>IF(A1539="","",SUMIF(Tickets[TripKey],A1539,Tickets[TP]))</f>
        <v/>
      </c>
      <c r="F1539">
        <f>IF(A1539="","",SUMIF(Tickets[TripKey],A1539,Tickets[Revenue]))</f>
        <v/>
      </c>
      <c r="G1539">
        <f>IF(A1539="","",SUMIF(Tickets[TripKey],A1539,Tickets[PK]))</f>
        <v/>
      </c>
      <c r="H1539">
        <f>IF(A1539="","",IFERROR(XLOOKUP(A1539,Tickets[TripKey],Tickets[VehClean]),""))</f>
        <v/>
      </c>
      <c r="I1539">
        <f>IF(A1539="","",IFERROR(XLOOKUP(A1539,Tickets[TripKey],Tickets[RouteLen]),0))</f>
        <v/>
      </c>
      <c r="J1539">
        <f>IF(A1539="","",IFERROR(XLOOKUP(A1539,Tickets[TripKey],Tickets[Capacity]),0))</f>
        <v/>
      </c>
      <c r="K1539">
        <f>IF(A1539="","",I1539*J1539)</f>
        <v/>
      </c>
      <c r="L1539">
        <f>IF(A1539="","",IFERROR(MINIFS(Tickets[Trip Start Time],Tickets[TripKey],A1539),""))</f>
        <v/>
      </c>
    </row>
    <row r="1540">
      <c r="B1540" s="8">
        <f>IF(A1540="","",IFERROR(DATEVALUE(TEXTBEFORE(A1540,"|")),--LEFT(A1540,10)))</f>
        <v/>
      </c>
      <c r="C1540">
        <f>IF(A1540="","",TEXTBEFORE(TEXTAFTER(A1540,"|"),"|"))</f>
        <v/>
      </c>
      <c r="D1540">
        <f>IF(A1540="","",TEXTAFTER(A1540,"|",2))</f>
        <v/>
      </c>
      <c r="E1540">
        <f>IF(A1540="","",SUMIF(Tickets[TripKey],A1540,Tickets[TP]))</f>
        <v/>
      </c>
      <c r="F1540">
        <f>IF(A1540="","",SUMIF(Tickets[TripKey],A1540,Tickets[Revenue]))</f>
        <v/>
      </c>
      <c r="G1540">
        <f>IF(A1540="","",SUMIF(Tickets[TripKey],A1540,Tickets[PK]))</f>
        <v/>
      </c>
      <c r="H1540">
        <f>IF(A1540="","",IFERROR(XLOOKUP(A1540,Tickets[TripKey],Tickets[VehClean]),""))</f>
        <v/>
      </c>
      <c r="I1540">
        <f>IF(A1540="","",IFERROR(XLOOKUP(A1540,Tickets[TripKey],Tickets[RouteLen]),0))</f>
        <v/>
      </c>
      <c r="J1540">
        <f>IF(A1540="","",IFERROR(XLOOKUP(A1540,Tickets[TripKey],Tickets[Capacity]),0))</f>
        <v/>
      </c>
      <c r="K1540">
        <f>IF(A1540="","",I1540*J1540)</f>
        <v/>
      </c>
      <c r="L1540">
        <f>IF(A1540="","",IFERROR(MINIFS(Tickets[Trip Start Time],Tickets[TripKey],A1540),""))</f>
        <v/>
      </c>
    </row>
    <row r="1541">
      <c r="B1541" s="8">
        <f>IF(A1541="","",IFERROR(DATEVALUE(TEXTBEFORE(A1541,"|")),--LEFT(A1541,10)))</f>
        <v/>
      </c>
      <c r="C1541">
        <f>IF(A1541="","",TEXTBEFORE(TEXTAFTER(A1541,"|"),"|"))</f>
        <v/>
      </c>
      <c r="D1541">
        <f>IF(A1541="","",TEXTAFTER(A1541,"|",2))</f>
        <v/>
      </c>
      <c r="E1541">
        <f>IF(A1541="","",SUMIF(Tickets[TripKey],A1541,Tickets[TP]))</f>
        <v/>
      </c>
      <c r="F1541">
        <f>IF(A1541="","",SUMIF(Tickets[TripKey],A1541,Tickets[Revenue]))</f>
        <v/>
      </c>
      <c r="G1541">
        <f>IF(A1541="","",SUMIF(Tickets[TripKey],A1541,Tickets[PK]))</f>
        <v/>
      </c>
      <c r="H1541">
        <f>IF(A1541="","",IFERROR(XLOOKUP(A1541,Tickets[TripKey],Tickets[VehClean]),""))</f>
        <v/>
      </c>
      <c r="I1541">
        <f>IF(A1541="","",IFERROR(XLOOKUP(A1541,Tickets[TripKey],Tickets[RouteLen]),0))</f>
        <v/>
      </c>
      <c r="J1541">
        <f>IF(A1541="","",IFERROR(XLOOKUP(A1541,Tickets[TripKey],Tickets[Capacity]),0))</f>
        <v/>
      </c>
      <c r="K1541">
        <f>IF(A1541="","",I1541*J1541)</f>
        <v/>
      </c>
      <c r="L1541">
        <f>IF(A1541="","",IFERROR(MINIFS(Tickets[Trip Start Time],Tickets[TripKey],A1541),""))</f>
        <v/>
      </c>
    </row>
    <row r="1542">
      <c r="B1542" s="8">
        <f>IF(A1542="","",IFERROR(DATEVALUE(TEXTBEFORE(A1542,"|")),--LEFT(A1542,10)))</f>
        <v/>
      </c>
      <c r="C1542">
        <f>IF(A1542="","",TEXTBEFORE(TEXTAFTER(A1542,"|"),"|"))</f>
        <v/>
      </c>
      <c r="D1542">
        <f>IF(A1542="","",TEXTAFTER(A1542,"|",2))</f>
        <v/>
      </c>
      <c r="E1542">
        <f>IF(A1542="","",SUMIF(Tickets[TripKey],A1542,Tickets[TP]))</f>
        <v/>
      </c>
      <c r="F1542">
        <f>IF(A1542="","",SUMIF(Tickets[TripKey],A1542,Tickets[Revenue]))</f>
        <v/>
      </c>
      <c r="G1542">
        <f>IF(A1542="","",SUMIF(Tickets[TripKey],A1542,Tickets[PK]))</f>
        <v/>
      </c>
      <c r="H1542">
        <f>IF(A1542="","",IFERROR(XLOOKUP(A1542,Tickets[TripKey],Tickets[VehClean]),""))</f>
        <v/>
      </c>
      <c r="I1542">
        <f>IF(A1542="","",IFERROR(XLOOKUP(A1542,Tickets[TripKey],Tickets[RouteLen]),0))</f>
        <v/>
      </c>
      <c r="J1542">
        <f>IF(A1542="","",IFERROR(XLOOKUP(A1542,Tickets[TripKey],Tickets[Capacity]),0))</f>
        <v/>
      </c>
      <c r="K1542">
        <f>IF(A1542="","",I1542*J1542)</f>
        <v/>
      </c>
      <c r="L1542">
        <f>IF(A1542="","",IFERROR(MINIFS(Tickets[Trip Start Time],Tickets[TripKey],A1542),""))</f>
        <v/>
      </c>
    </row>
    <row r="1543">
      <c r="B1543" s="8">
        <f>IF(A1543="","",IFERROR(DATEVALUE(TEXTBEFORE(A1543,"|")),--LEFT(A1543,10)))</f>
        <v/>
      </c>
      <c r="C1543">
        <f>IF(A1543="","",TEXTBEFORE(TEXTAFTER(A1543,"|"),"|"))</f>
        <v/>
      </c>
      <c r="D1543">
        <f>IF(A1543="","",TEXTAFTER(A1543,"|",2))</f>
        <v/>
      </c>
      <c r="E1543">
        <f>IF(A1543="","",SUMIF(Tickets[TripKey],A1543,Tickets[TP]))</f>
        <v/>
      </c>
      <c r="F1543">
        <f>IF(A1543="","",SUMIF(Tickets[TripKey],A1543,Tickets[Revenue]))</f>
        <v/>
      </c>
      <c r="G1543">
        <f>IF(A1543="","",SUMIF(Tickets[TripKey],A1543,Tickets[PK]))</f>
        <v/>
      </c>
      <c r="H1543">
        <f>IF(A1543="","",IFERROR(XLOOKUP(A1543,Tickets[TripKey],Tickets[VehClean]),""))</f>
        <v/>
      </c>
      <c r="I1543">
        <f>IF(A1543="","",IFERROR(XLOOKUP(A1543,Tickets[TripKey],Tickets[RouteLen]),0))</f>
        <v/>
      </c>
      <c r="J1543">
        <f>IF(A1543="","",IFERROR(XLOOKUP(A1543,Tickets[TripKey],Tickets[Capacity]),0))</f>
        <v/>
      </c>
      <c r="K1543">
        <f>IF(A1543="","",I1543*J1543)</f>
        <v/>
      </c>
      <c r="L1543">
        <f>IF(A1543="","",IFERROR(MINIFS(Tickets[Trip Start Time],Tickets[TripKey],A1543),""))</f>
        <v/>
      </c>
    </row>
    <row r="1544">
      <c r="B1544" s="8">
        <f>IF(A1544="","",IFERROR(DATEVALUE(TEXTBEFORE(A1544,"|")),--LEFT(A1544,10)))</f>
        <v/>
      </c>
      <c r="C1544">
        <f>IF(A1544="","",TEXTBEFORE(TEXTAFTER(A1544,"|"),"|"))</f>
        <v/>
      </c>
      <c r="D1544">
        <f>IF(A1544="","",TEXTAFTER(A1544,"|",2))</f>
        <v/>
      </c>
      <c r="E1544">
        <f>IF(A1544="","",SUMIF(Tickets[TripKey],A1544,Tickets[TP]))</f>
        <v/>
      </c>
      <c r="F1544">
        <f>IF(A1544="","",SUMIF(Tickets[TripKey],A1544,Tickets[Revenue]))</f>
        <v/>
      </c>
      <c r="G1544">
        <f>IF(A1544="","",SUMIF(Tickets[TripKey],A1544,Tickets[PK]))</f>
        <v/>
      </c>
      <c r="H1544">
        <f>IF(A1544="","",IFERROR(XLOOKUP(A1544,Tickets[TripKey],Tickets[VehClean]),""))</f>
        <v/>
      </c>
      <c r="I1544">
        <f>IF(A1544="","",IFERROR(XLOOKUP(A1544,Tickets[TripKey],Tickets[RouteLen]),0))</f>
        <v/>
      </c>
      <c r="J1544">
        <f>IF(A1544="","",IFERROR(XLOOKUP(A1544,Tickets[TripKey],Tickets[Capacity]),0))</f>
        <v/>
      </c>
      <c r="K1544">
        <f>IF(A1544="","",I1544*J1544)</f>
        <v/>
      </c>
      <c r="L1544">
        <f>IF(A1544="","",IFERROR(MINIFS(Tickets[Trip Start Time],Tickets[TripKey],A1544),""))</f>
        <v/>
      </c>
    </row>
    <row r="1545">
      <c r="B1545" s="8">
        <f>IF(A1545="","",IFERROR(DATEVALUE(TEXTBEFORE(A1545,"|")),--LEFT(A1545,10)))</f>
        <v/>
      </c>
      <c r="C1545">
        <f>IF(A1545="","",TEXTBEFORE(TEXTAFTER(A1545,"|"),"|"))</f>
        <v/>
      </c>
      <c r="D1545">
        <f>IF(A1545="","",TEXTAFTER(A1545,"|",2))</f>
        <v/>
      </c>
      <c r="E1545">
        <f>IF(A1545="","",SUMIF(Tickets[TripKey],A1545,Tickets[TP]))</f>
        <v/>
      </c>
      <c r="F1545">
        <f>IF(A1545="","",SUMIF(Tickets[TripKey],A1545,Tickets[Revenue]))</f>
        <v/>
      </c>
      <c r="G1545">
        <f>IF(A1545="","",SUMIF(Tickets[TripKey],A1545,Tickets[PK]))</f>
        <v/>
      </c>
      <c r="H1545">
        <f>IF(A1545="","",IFERROR(XLOOKUP(A1545,Tickets[TripKey],Tickets[VehClean]),""))</f>
        <v/>
      </c>
      <c r="I1545">
        <f>IF(A1545="","",IFERROR(XLOOKUP(A1545,Tickets[TripKey],Tickets[RouteLen]),0))</f>
        <v/>
      </c>
      <c r="J1545">
        <f>IF(A1545="","",IFERROR(XLOOKUP(A1545,Tickets[TripKey],Tickets[Capacity]),0))</f>
        <v/>
      </c>
      <c r="K1545">
        <f>IF(A1545="","",I1545*J1545)</f>
        <v/>
      </c>
      <c r="L1545">
        <f>IF(A1545="","",IFERROR(MINIFS(Tickets[Trip Start Time],Tickets[TripKey],A1545),""))</f>
        <v/>
      </c>
    </row>
    <row r="1546">
      <c r="B1546" s="8">
        <f>IF(A1546="","",IFERROR(DATEVALUE(TEXTBEFORE(A1546,"|")),--LEFT(A1546,10)))</f>
        <v/>
      </c>
      <c r="C1546">
        <f>IF(A1546="","",TEXTBEFORE(TEXTAFTER(A1546,"|"),"|"))</f>
        <v/>
      </c>
      <c r="D1546">
        <f>IF(A1546="","",TEXTAFTER(A1546,"|",2))</f>
        <v/>
      </c>
      <c r="E1546">
        <f>IF(A1546="","",SUMIF(Tickets[TripKey],A1546,Tickets[TP]))</f>
        <v/>
      </c>
      <c r="F1546">
        <f>IF(A1546="","",SUMIF(Tickets[TripKey],A1546,Tickets[Revenue]))</f>
        <v/>
      </c>
      <c r="G1546">
        <f>IF(A1546="","",SUMIF(Tickets[TripKey],A1546,Tickets[PK]))</f>
        <v/>
      </c>
      <c r="H1546">
        <f>IF(A1546="","",IFERROR(XLOOKUP(A1546,Tickets[TripKey],Tickets[VehClean]),""))</f>
        <v/>
      </c>
      <c r="I1546">
        <f>IF(A1546="","",IFERROR(XLOOKUP(A1546,Tickets[TripKey],Tickets[RouteLen]),0))</f>
        <v/>
      </c>
      <c r="J1546">
        <f>IF(A1546="","",IFERROR(XLOOKUP(A1546,Tickets[TripKey],Tickets[Capacity]),0))</f>
        <v/>
      </c>
      <c r="K1546">
        <f>IF(A1546="","",I1546*J1546)</f>
        <v/>
      </c>
      <c r="L1546">
        <f>IF(A1546="","",IFERROR(MINIFS(Tickets[Trip Start Time],Tickets[TripKey],A1546),""))</f>
        <v/>
      </c>
    </row>
    <row r="1547">
      <c r="B1547" s="8">
        <f>IF(A1547="","",IFERROR(DATEVALUE(TEXTBEFORE(A1547,"|")),--LEFT(A1547,10)))</f>
        <v/>
      </c>
      <c r="C1547">
        <f>IF(A1547="","",TEXTBEFORE(TEXTAFTER(A1547,"|"),"|"))</f>
        <v/>
      </c>
      <c r="D1547">
        <f>IF(A1547="","",TEXTAFTER(A1547,"|",2))</f>
        <v/>
      </c>
      <c r="E1547">
        <f>IF(A1547="","",SUMIF(Tickets[TripKey],A1547,Tickets[TP]))</f>
        <v/>
      </c>
      <c r="F1547">
        <f>IF(A1547="","",SUMIF(Tickets[TripKey],A1547,Tickets[Revenue]))</f>
        <v/>
      </c>
      <c r="G1547">
        <f>IF(A1547="","",SUMIF(Tickets[TripKey],A1547,Tickets[PK]))</f>
        <v/>
      </c>
      <c r="H1547">
        <f>IF(A1547="","",IFERROR(XLOOKUP(A1547,Tickets[TripKey],Tickets[VehClean]),""))</f>
        <v/>
      </c>
      <c r="I1547">
        <f>IF(A1547="","",IFERROR(XLOOKUP(A1547,Tickets[TripKey],Tickets[RouteLen]),0))</f>
        <v/>
      </c>
      <c r="J1547">
        <f>IF(A1547="","",IFERROR(XLOOKUP(A1547,Tickets[TripKey],Tickets[Capacity]),0))</f>
        <v/>
      </c>
      <c r="K1547">
        <f>IF(A1547="","",I1547*J1547)</f>
        <v/>
      </c>
      <c r="L1547">
        <f>IF(A1547="","",IFERROR(MINIFS(Tickets[Trip Start Time],Tickets[TripKey],A1547),""))</f>
        <v/>
      </c>
    </row>
    <row r="1548">
      <c r="B1548" s="8">
        <f>IF(A1548="","",IFERROR(DATEVALUE(TEXTBEFORE(A1548,"|")),--LEFT(A1548,10)))</f>
        <v/>
      </c>
      <c r="C1548">
        <f>IF(A1548="","",TEXTBEFORE(TEXTAFTER(A1548,"|"),"|"))</f>
        <v/>
      </c>
      <c r="D1548">
        <f>IF(A1548="","",TEXTAFTER(A1548,"|",2))</f>
        <v/>
      </c>
      <c r="E1548">
        <f>IF(A1548="","",SUMIF(Tickets[TripKey],A1548,Tickets[TP]))</f>
        <v/>
      </c>
      <c r="F1548">
        <f>IF(A1548="","",SUMIF(Tickets[TripKey],A1548,Tickets[Revenue]))</f>
        <v/>
      </c>
      <c r="G1548">
        <f>IF(A1548="","",SUMIF(Tickets[TripKey],A1548,Tickets[PK]))</f>
        <v/>
      </c>
      <c r="H1548">
        <f>IF(A1548="","",IFERROR(XLOOKUP(A1548,Tickets[TripKey],Tickets[VehClean]),""))</f>
        <v/>
      </c>
      <c r="I1548">
        <f>IF(A1548="","",IFERROR(XLOOKUP(A1548,Tickets[TripKey],Tickets[RouteLen]),0))</f>
        <v/>
      </c>
      <c r="J1548">
        <f>IF(A1548="","",IFERROR(XLOOKUP(A1548,Tickets[TripKey],Tickets[Capacity]),0))</f>
        <v/>
      </c>
      <c r="K1548">
        <f>IF(A1548="","",I1548*J1548)</f>
        <v/>
      </c>
      <c r="L1548">
        <f>IF(A1548="","",IFERROR(MINIFS(Tickets[Trip Start Time],Tickets[TripKey],A1548),""))</f>
        <v/>
      </c>
    </row>
    <row r="1549">
      <c r="B1549" s="8">
        <f>IF(A1549="","",IFERROR(DATEVALUE(TEXTBEFORE(A1549,"|")),--LEFT(A1549,10)))</f>
        <v/>
      </c>
      <c r="C1549">
        <f>IF(A1549="","",TEXTBEFORE(TEXTAFTER(A1549,"|"),"|"))</f>
        <v/>
      </c>
      <c r="D1549">
        <f>IF(A1549="","",TEXTAFTER(A1549,"|",2))</f>
        <v/>
      </c>
      <c r="E1549">
        <f>IF(A1549="","",SUMIF(Tickets[TripKey],A1549,Tickets[TP]))</f>
        <v/>
      </c>
      <c r="F1549">
        <f>IF(A1549="","",SUMIF(Tickets[TripKey],A1549,Tickets[Revenue]))</f>
        <v/>
      </c>
      <c r="G1549">
        <f>IF(A1549="","",SUMIF(Tickets[TripKey],A1549,Tickets[PK]))</f>
        <v/>
      </c>
      <c r="H1549">
        <f>IF(A1549="","",IFERROR(XLOOKUP(A1549,Tickets[TripKey],Tickets[VehClean]),""))</f>
        <v/>
      </c>
      <c r="I1549">
        <f>IF(A1549="","",IFERROR(XLOOKUP(A1549,Tickets[TripKey],Tickets[RouteLen]),0))</f>
        <v/>
      </c>
      <c r="J1549">
        <f>IF(A1549="","",IFERROR(XLOOKUP(A1549,Tickets[TripKey],Tickets[Capacity]),0))</f>
        <v/>
      </c>
      <c r="K1549">
        <f>IF(A1549="","",I1549*J1549)</f>
        <v/>
      </c>
      <c r="L1549">
        <f>IF(A1549="","",IFERROR(MINIFS(Tickets[Trip Start Time],Tickets[TripKey],A1549),""))</f>
        <v/>
      </c>
    </row>
    <row r="1550">
      <c r="B1550" s="8">
        <f>IF(A1550="","",IFERROR(DATEVALUE(TEXTBEFORE(A1550,"|")),--LEFT(A1550,10)))</f>
        <v/>
      </c>
      <c r="C1550">
        <f>IF(A1550="","",TEXTBEFORE(TEXTAFTER(A1550,"|"),"|"))</f>
        <v/>
      </c>
      <c r="D1550">
        <f>IF(A1550="","",TEXTAFTER(A1550,"|",2))</f>
        <v/>
      </c>
      <c r="E1550">
        <f>IF(A1550="","",SUMIF(Tickets[TripKey],A1550,Tickets[TP]))</f>
        <v/>
      </c>
      <c r="F1550">
        <f>IF(A1550="","",SUMIF(Tickets[TripKey],A1550,Tickets[Revenue]))</f>
        <v/>
      </c>
      <c r="G1550">
        <f>IF(A1550="","",SUMIF(Tickets[TripKey],A1550,Tickets[PK]))</f>
        <v/>
      </c>
      <c r="H1550">
        <f>IF(A1550="","",IFERROR(XLOOKUP(A1550,Tickets[TripKey],Tickets[VehClean]),""))</f>
        <v/>
      </c>
      <c r="I1550">
        <f>IF(A1550="","",IFERROR(XLOOKUP(A1550,Tickets[TripKey],Tickets[RouteLen]),0))</f>
        <v/>
      </c>
      <c r="J1550">
        <f>IF(A1550="","",IFERROR(XLOOKUP(A1550,Tickets[TripKey],Tickets[Capacity]),0))</f>
        <v/>
      </c>
      <c r="K1550">
        <f>IF(A1550="","",I1550*J1550)</f>
        <v/>
      </c>
      <c r="L1550">
        <f>IF(A1550="","",IFERROR(MINIFS(Tickets[Trip Start Time],Tickets[TripKey],A1550),""))</f>
        <v/>
      </c>
    </row>
    <row r="1551">
      <c r="B1551" s="8">
        <f>IF(A1551="","",IFERROR(DATEVALUE(TEXTBEFORE(A1551,"|")),--LEFT(A1551,10)))</f>
        <v/>
      </c>
      <c r="C1551">
        <f>IF(A1551="","",TEXTBEFORE(TEXTAFTER(A1551,"|"),"|"))</f>
        <v/>
      </c>
      <c r="D1551">
        <f>IF(A1551="","",TEXTAFTER(A1551,"|",2))</f>
        <v/>
      </c>
      <c r="E1551">
        <f>IF(A1551="","",SUMIF(Tickets[TripKey],A1551,Tickets[TP]))</f>
        <v/>
      </c>
      <c r="F1551">
        <f>IF(A1551="","",SUMIF(Tickets[TripKey],A1551,Tickets[Revenue]))</f>
        <v/>
      </c>
      <c r="G1551">
        <f>IF(A1551="","",SUMIF(Tickets[TripKey],A1551,Tickets[PK]))</f>
        <v/>
      </c>
      <c r="H1551">
        <f>IF(A1551="","",IFERROR(XLOOKUP(A1551,Tickets[TripKey],Tickets[VehClean]),""))</f>
        <v/>
      </c>
      <c r="I1551">
        <f>IF(A1551="","",IFERROR(XLOOKUP(A1551,Tickets[TripKey],Tickets[RouteLen]),0))</f>
        <v/>
      </c>
      <c r="J1551">
        <f>IF(A1551="","",IFERROR(XLOOKUP(A1551,Tickets[TripKey],Tickets[Capacity]),0))</f>
        <v/>
      </c>
      <c r="K1551">
        <f>IF(A1551="","",I1551*J1551)</f>
        <v/>
      </c>
      <c r="L1551">
        <f>IF(A1551="","",IFERROR(MINIFS(Tickets[Trip Start Time],Tickets[TripKey],A1551),""))</f>
        <v/>
      </c>
    </row>
    <row r="1552">
      <c r="B1552" s="8">
        <f>IF(A1552="","",IFERROR(DATEVALUE(TEXTBEFORE(A1552,"|")),--LEFT(A1552,10)))</f>
        <v/>
      </c>
      <c r="C1552">
        <f>IF(A1552="","",TEXTBEFORE(TEXTAFTER(A1552,"|"),"|"))</f>
        <v/>
      </c>
      <c r="D1552">
        <f>IF(A1552="","",TEXTAFTER(A1552,"|",2))</f>
        <v/>
      </c>
      <c r="E1552">
        <f>IF(A1552="","",SUMIF(Tickets[TripKey],A1552,Tickets[TP]))</f>
        <v/>
      </c>
      <c r="F1552">
        <f>IF(A1552="","",SUMIF(Tickets[TripKey],A1552,Tickets[Revenue]))</f>
        <v/>
      </c>
      <c r="G1552">
        <f>IF(A1552="","",SUMIF(Tickets[TripKey],A1552,Tickets[PK]))</f>
        <v/>
      </c>
      <c r="H1552">
        <f>IF(A1552="","",IFERROR(XLOOKUP(A1552,Tickets[TripKey],Tickets[VehClean]),""))</f>
        <v/>
      </c>
      <c r="I1552">
        <f>IF(A1552="","",IFERROR(XLOOKUP(A1552,Tickets[TripKey],Tickets[RouteLen]),0))</f>
        <v/>
      </c>
      <c r="J1552">
        <f>IF(A1552="","",IFERROR(XLOOKUP(A1552,Tickets[TripKey],Tickets[Capacity]),0))</f>
        <v/>
      </c>
      <c r="K1552">
        <f>IF(A1552="","",I1552*J1552)</f>
        <v/>
      </c>
      <c r="L1552">
        <f>IF(A1552="","",IFERROR(MINIFS(Tickets[Trip Start Time],Tickets[TripKey],A1552),""))</f>
        <v/>
      </c>
    </row>
    <row r="1553">
      <c r="B1553" s="8">
        <f>IF(A1553="","",IFERROR(DATEVALUE(TEXTBEFORE(A1553,"|")),--LEFT(A1553,10)))</f>
        <v/>
      </c>
      <c r="C1553">
        <f>IF(A1553="","",TEXTBEFORE(TEXTAFTER(A1553,"|"),"|"))</f>
        <v/>
      </c>
      <c r="D1553">
        <f>IF(A1553="","",TEXTAFTER(A1553,"|",2))</f>
        <v/>
      </c>
      <c r="E1553">
        <f>IF(A1553="","",SUMIF(Tickets[TripKey],A1553,Tickets[TP]))</f>
        <v/>
      </c>
      <c r="F1553">
        <f>IF(A1553="","",SUMIF(Tickets[TripKey],A1553,Tickets[Revenue]))</f>
        <v/>
      </c>
      <c r="G1553">
        <f>IF(A1553="","",SUMIF(Tickets[TripKey],A1553,Tickets[PK]))</f>
        <v/>
      </c>
      <c r="H1553">
        <f>IF(A1553="","",IFERROR(XLOOKUP(A1553,Tickets[TripKey],Tickets[VehClean]),""))</f>
        <v/>
      </c>
      <c r="I1553">
        <f>IF(A1553="","",IFERROR(XLOOKUP(A1553,Tickets[TripKey],Tickets[RouteLen]),0))</f>
        <v/>
      </c>
      <c r="J1553">
        <f>IF(A1553="","",IFERROR(XLOOKUP(A1553,Tickets[TripKey],Tickets[Capacity]),0))</f>
        <v/>
      </c>
      <c r="K1553">
        <f>IF(A1553="","",I1553*J1553)</f>
        <v/>
      </c>
      <c r="L1553">
        <f>IF(A1553="","",IFERROR(MINIFS(Tickets[Trip Start Time],Tickets[TripKey],A1553),""))</f>
        <v/>
      </c>
    </row>
    <row r="1554">
      <c r="B1554" s="8">
        <f>IF(A1554="","",IFERROR(DATEVALUE(TEXTBEFORE(A1554,"|")),--LEFT(A1554,10)))</f>
        <v/>
      </c>
      <c r="C1554">
        <f>IF(A1554="","",TEXTBEFORE(TEXTAFTER(A1554,"|"),"|"))</f>
        <v/>
      </c>
      <c r="D1554">
        <f>IF(A1554="","",TEXTAFTER(A1554,"|",2))</f>
        <v/>
      </c>
      <c r="E1554">
        <f>IF(A1554="","",SUMIF(Tickets[TripKey],A1554,Tickets[TP]))</f>
        <v/>
      </c>
      <c r="F1554">
        <f>IF(A1554="","",SUMIF(Tickets[TripKey],A1554,Tickets[Revenue]))</f>
        <v/>
      </c>
      <c r="G1554">
        <f>IF(A1554="","",SUMIF(Tickets[TripKey],A1554,Tickets[PK]))</f>
        <v/>
      </c>
      <c r="H1554">
        <f>IF(A1554="","",IFERROR(XLOOKUP(A1554,Tickets[TripKey],Tickets[VehClean]),""))</f>
        <v/>
      </c>
      <c r="I1554">
        <f>IF(A1554="","",IFERROR(XLOOKUP(A1554,Tickets[TripKey],Tickets[RouteLen]),0))</f>
        <v/>
      </c>
      <c r="J1554">
        <f>IF(A1554="","",IFERROR(XLOOKUP(A1554,Tickets[TripKey],Tickets[Capacity]),0))</f>
        <v/>
      </c>
      <c r="K1554">
        <f>IF(A1554="","",I1554*J1554)</f>
        <v/>
      </c>
      <c r="L1554">
        <f>IF(A1554="","",IFERROR(MINIFS(Tickets[Trip Start Time],Tickets[TripKey],A1554),""))</f>
        <v/>
      </c>
    </row>
    <row r="1555">
      <c r="B1555" s="8">
        <f>IF(A1555="","",IFERROR(DATEVALUE(TEXTBEFORE(A1555,"|")),--LEFT(A1555,10)))</f>
        <v/>
      </c>
      <c r="C1555">
        <f>IF(A1555="","",TEXTBEFORE(TEXTAFTER(A1555,"|"),"|"))</f>
        <v/>
      </c>
      <c r="D1555">
        <f>IF(A1555="","",TEXTAFTER(A1555,"|",2))</f>
        <v/>
      </c>
      <c r="E1555">
        <f>IF(A1555="","",SUMIF(Tickets[TripKey],A1555,Tickets[TP]))</f>
        <v/>
      </c>
      <c r="F1555">
        <f>IF(A1555="","",SUMIF(Tickets[TripKey],A1555,Tickets[Revenue]))</f>
        <v/>
      </c>
      <c r="G1555">
        <f>IF(A1555="","",SUMIF(Tickets[TripKey],A1555,Tickets[PK]))</f>
        <v/>
      </c>
      <c r="H1555">
        <f>IF(A1555="","",IFERROR(XLOOKUP(A1555,Tickets[TripKey],Tickets[VehClean]),""))</f>
        <v/>
      </c>
      <c r="I1555">
        <f>IF(A1555="","",IFERROR(XLOOKUP(A1555,Tickets[TripKey],Tickets[RouteLen]),0))</f>
        <v/>
      </c>
      <c r="J1555">
        <f>IF(A1555="","",IFERROR(XLOOKUP(A1555,Tickets[TripKey],Tickets[Capacity]),0))</f>
        <v/>
      </c>
      <c r="K1555">
        <f>IF(A1555="","",I1555*J1555)</f>
        <v/>
      </c>
      <c r="L1555">
        <f>IF(A1555="","",IFERROR(MINIFS(Tickets[Trip Start Time],Tickets[TripKey],A1555),""))</f>
        <v/>
      </c>
    </row>
    <row r="1556">
      <c r="B1556" s="8">
        <f>IF(A1556="","",IFERROR(DATEVALUE(TEXTBEFORE(A1556,"|")),--LEFT(A1556,10)))</f>
        <v/>
      </c>
      <c r="C1556">
        <f>IF(A1556="","",TEXTBEFORE(TEXTAFTER(A1556,"|"),"|"))</f>
        <v/>
      </c>
      <c r="D1556">
        <f>IF(A1556="","",TEXTAFTER(A1556,"|",2))</f>
        <v/>
      </c>
      <c r="E1556">
        <f>IF(A1556="","",SUMIF(Tickets[TripKey],A1556,Tickets[TP]))</f>
        <v/>
      </c>
      <c r="F1556">
        <f>IF(A1556="","",SUMIF(Tickets[TripKey],A1556,Tickets[Revenue]))</f>
        <v/>
      </c>
      <c r="G1556">
        <f>IF(A1556="","",SUMIF(Tickets[TripKey],A1556,Tickets[PK]))</f>
        <v/>
      </c>
      <c r="H1556">
        <f>IF(A1556="","",IFERROR(XLOOKUP(A1556,Tickets[TripKey],Tickets[VehClean]),""))</f>
        <v/>
      </c>
      <c r="I1556">
        <f>IF(A1556="","",IFERROR(XLOOKUP(A1556,Tickets[TripKey],Tickets[RouteLen]),0))</f>
        <v/>
      </c>
      <c r="J1556">
        <f>IF(A1556="","",IFERROR(XLOOKUP(A1556,Tickets[TripKey],Tickets[Capacity]),0))</f>
        <v/>
      </c>
      <c r="K1556">
        <f>IF(A1556="","",I1556*J1556)</f>
        <v/>
      </c>
      <c r="L1556">
        <f>IF(A1556="","",IFERROR(MINIFS(Tickets[Trip Start Time],Tickets[TripKey],A1556),""))</f>
        <v/>
      </c>
    </row>
    <row r="1557">
      <c r="B1557" s="8">
        <f>IF(A1557="","",IFERROR(DATEVALUE(TEXTBEFORE(A1557,"|")),--LEFT(A1557,10)))</f>
        <v/>
      </c>
      <c r="C1557">
        <f>IF(A1557="","",TEXTBEFORE(TEXTAFTER(A1557,"|"),"|"))</f>
        <v/>
      </c>
      <c r="D1557">
        <f>IF(A1557="","",TEXTAFTER(A1557,"|",2))</f>
        <v/>
      </c>
      <c r="E1557">
        <f>IF(A1557="","",SUMIF(Tickets[TripKey],A1557,Tickets[TP]))</f>
        <v/>
      </c>
      <c r="F1557">
        <f>IF(A1557="","",SUMIF(Tickets[TripKey],A1557,Tickets[Revenue]))</f>
        <v/>
      </c>
      <c r="G1557">
        <f>IF(A1557="","",SUMIF(Tickets[TripKey],A1557,Tickets[PK]))</f>
        <v/>
      </c>
      <c r="H1557">
        <f>IF(A1557="","",IFERROR(XLOOKUP(A1557,Tickets[TripKey],Tickets[VehClean]),""))</f>
        <v/>
      </c>
      <c r="I1557">
        <f>IF(A1557="","",IFERROR(XLOOKUP(A1557,Tickets[TripKey],Tickets[RouteLen]),0))</f>
        <v/>
      </c>
      <c r="J1557">
        <f>IF(A1557="","",IFERROR(XLOOKUP(A1557,Tickets[TripKey],Tickets[Capacity]),0))</f>
        <v/>
      </c>
      <c r="K1557">
        <f>IF(A1557="","",I1557*J1557)</f>
        <v/>
      </c>
      <c r="L1557">
        <f>IF(A1557="","",IFERROR(MINIFS(Tickets[Trip Start Time],Tickets[TripKey],A1557),""))</f>
        <v/>
      </c>
    </row>
    <row r="1558">
      <c r="B1558" s="8">
        <f>IF(A1558="","",IFERROR(DATEVALUE(TEXTBEFORE(A1558,"|")),--LEFT(A1558,10)))</f>
        <v/>
      </c>
      <c r="C1558">
        <f>IF(A1558="","",TEXTBEFORE(TEXTAFTER(A1558,"|"),"|"))</f>
        <v/>
      </c>
      <c r="D1558">
        <f>IF(A1558="","",TEXTAFTER(A1558,"|",2))</f>
        <v/>
      </c>
      <c r="E1558">
        <f>IF(A1558="","",SUMIF(Tickets[TripKey],A1558,Tickets[TP]))</f>
        <v/>
      </c>
      <c r="F1558">
        <f>IF(A1558="","",SUMIF(Tickets[TripKey],A1558,Tickets[Revenue]))</f>
        <v/>
      </c>
      <c r="G1558">
        <f>IF(A1558="","",SUMIF(Tickets[TripKey],A1558,Tickets[PK]))</f>
        <v/>
      </c>
      <c r="H1558">
        <f>IF(A1558="","",IFERROR(XLOOKUP(A1558,Tickets[TripKey],Tickets[VehClean]),""))</f>
        <v/>
      </c>
      <c r="I1558">
        <f>IF(A1558="","",IFERROR(XLOOKUP(A1558,Tickets[TripKey],Tickets[RouteLen]),0))</f>
        <v/>
      </c>
      <c r="J1558">
        <f>IF(A1558="","",IFERROR(XLOOKUP(A1558,Tickets[TripKey],Tickets[Capacity]),0))</f>
        <v/>
      </c>
      <c r="K1558">
        <f>IF(A1558="","",I1558*J1558)</f>
        <v/>
      </c>
      <c r="L1558">
        <f>IF(A1558="","",IFERROR(MINIFS(Tickets[Trip Start Time],Tickets[TripKey],A1558),""))</f>
        <v/>
      </c>
    </row>
    <row r="1559">
      <c r="B1559" s="8">
        <f>IF(A1559="","",IFERROR(DATEVALUE(TEXTBEFORE(A1559,"|")),--LEFT(A1559,10)))</f>
        <v/>
      </c>
      <c r="C1559">
        <f>IF(A1559="","",TEXTBEFORE(TEXTAFTER(A1559,"|"),"|"))</f>
        <v/>
      </c>
      <c r="D1559">
        <f>IF(A1559="","",TEXTAFTER(A1559,"|",2))</f>
        <v/>
      </c>
      <c r="E1559">
        <f>IF(A1559="","",SUMIF(Tickets[TripKey],A1559,Tickets[TP]))</f>
        <v/>
      </c>
      <c r="F1559">
        <f>IF(A1559="","",SUMIF(Tickets[TripKey],A1559,Tickets[Revenue]))</f>
        <v/>
      </c>
      <c r="G1559">
        <f>IF(A1559="","",SUMIF(Tickets[TripKey],A1559,Tickets[PK]))</f>
        <v/>
      </c>
      <c r="H1559">
        <f>IF(A1559="","",IFERROR(XLOOKUP(A1559,Tickets[TripKey],Tickets[VehClean]),""))</f>
        <v/>
      </c>
      <c r="I1559">
        <f>IF(A1559="","",IFERROR(XLOOKUP(A1559,Tickets[TripKey],Tickets[RouteLen]),0))</f>
        <v/>
      </c>
      <c r="J1559">
        <f>IF(A1559="","",IFERROR(XLOOKUP(A1559,Tickets[TripKey],Tickets[Capacity]),0))</f>
        <v/>
      </c>
      <c r="K1559">
        <f>IF(A1559="","",I1559*J1559)</f>
        <v/>
      </c>
      <c r="L1559">
        <f>IF(A1559="","",IFERROR(MINIFS(Tickets[Trip Start Time],Tickets[TripKey],A1559),""))</f>
        <v/>
      </c>
    </row>
    <row r="1560">
      <c r="B1560" s="8">
        <f>IF(A1560="","",IFERROR(DATEVALUE(TEXTBEFORE(A1560,"|")),--LEFT(A1560,10)))</f>
        <v/>
      </c>
      <c r="C1560">
        <f>IF(A1560="","",TEXTBEFORE(TEXTAFTER(A1560,"|"),"|"))</f>
        <v/>
      </c>
      <c r="D1560">
        <f>IF(A1560="","",TEXTAFTER(A1560,"|",2))</f>
        <v/>
      </c>
      <c r="E1560">
        <f>IF(A1560="","",SUMIF(Tickets[TripKey],A1560,Tickets[TP]))</f>
        <v/>
      </c>
      <c r="F1560">
        <f>IF(A1560="","",SUMIF(Tickets[TripKey],A1560,Tickets[Revenue]))</f>
        <v/>
      </c>
      <c r="G1560">
        <f>IF(A1560="","",SUMIF(Tickets[TripKey],A1560,Tickets[PK]))</f>
        <v/>
      </c>
      <c r="H1560">
        <f>IF(A1560="","",IFERROR(XLOOKUP(A1560,Tickets[TripKey],Tickets[VehClean]),""))</f>
        <v/>
      </c>
      <c r="I1560">
        <f>IF(A1560="","",IFERROR(XLOOKUP(A1560,Tickets[TripKey],Tickets[RouteLen]),0))</f>
        <v/>
      </c>
      <c r="J1560">
        <f>IF(A1560="","",IFERROR(XLOOKUP(A1560,Tickets[TripKey],Tickets[Capacity]),0))</f>
        <v/>
      </c>
      <c r="K1560">
        <f>IF(A1560="","",I1560*J1560)</f>
        <v/>
      </c>
      <c r="L1560">
        <f>IF(A1560="","",IFERROR(MINIFS(Tickets[Trip Start Time],Tickets[TripKey],A1560),""))</f>
        <v/>
      </c>
    </row>
    <row r="1561">
      <c r="B1561" s="8">
        <f>IF(A1561="","",IFERROR(DATEVALUE(TEXTBEFORE(A1561,"|")),--LEFT(A1561,10)))</f>
        <v/>
      </c>
      <c r="C1561">
        <f>IF(A1561="","",TEXTBEFORE(TEXTAFTER(A1561,"|"),"|"))</f>
        <v/>
      </c>
      <c r="D1561">
        <f>IF(A1561="","",TEXTAFTER(A1561,"|",2))</f>
        <v/>
      </c>
      <c r="E1561">
        <f>IF(A1561="","",SUMIF(Tickets[TripKey],A1561,Tickets[TP]))</f>
        <v/>
      </c>
      <c r="F1561">
        <f>IF(A1561="","",SUMIF(Tickets[TripKey],A1561,Tickets[Revenue]))</f>
        <v/>
      </c>
      <c r="G1561">
        <f>IF(A1561="","",SUMIF(Tickets[TripKey],A1561,Tickets[PK]))</f>
        <v/>
      </c>
      <c r="H1561">
        <f>IF(A1561="","",IFERROR(XLOOKUP(A1561,Tickets[TripKey],Tickets[VehClean]),""))</f>
        <v/>
      </c>
      <c r="I1561">
        <f>IF(A1561="","",IFERROR(XLOOKUP(A1561,Tickets[TripKey],Tickets[RouteLen]),0))</f>
        <v/>
      </c>
      <c r="J1561">
        <f>IF(A1561="","",IFERROR(XLOOKUP(A1561,Tickets[TripKey],Tickets[Capacity]),0))</f>
        <v/>
      </c>
      <c r="K1561">
        <f>IF(A1561="","",I1561*J1561)</f>
        <v/>
      </c>
      <c r="L1561">
        <f>IF(A1561="","",IFERROR(MINIFS(Tickets[Trip Start Time],Tickets[TripKey],A1561),""))</f>
        <v/>
      </c>
    </row>
    <row r="1562">
      <c r="B1562" s="8">
        <f>IF(A1562="","",IFERROR(DATEVALUE(TEXTBEFORE(A1562,"|")),--LEFT(A1562,10)))</f>
        <v/>
      </c>
      <c r="C1562">
        <f>IF(A1562="","",TEXTBEFORE(TEXTAFTER(A1562,"|"),"|"))</f>
        <v/>
      </c>
      <c r="D1562">
        <f>IF(A1562="","",TEXTAFTER(A1562,"|",2))</f>
        <v/>
      </c>
      <c r="E1562">
        <f>IF(A1562="","",SUMIF(Tickets[TripKey],A1562,Tickets[TP]))</f>
        <v/>
      </c>
      <c r="F1562">
        <f>IF(A1562="","",SUMIF(Tickets[TripKey],A1562,Tickets[Revenue]))</f>
        <v/>
      </c>
      <c r="G1562">
        <f>IF(A1562="","",SUMIF(Tickets[TripKey],A1562,Tickets[PK]))</f>
        <v/>
      </c>
      <c r="H1562">
        <f>IF(A1562="","",IFERROR(XLOOKUP(A1562,Tickets[TripKey],Tickets[VehClean]),""))</f>
        <v/>
      </c>
      <c r="I1562">
        <f>IF(A1562="","",IFERROR(XLOOKUP(A1562,Tickets[TripKey],Tickets[RouteLen]),0))</f>
        <v/>
      </c>
      <c r="J1562">
        <f>IF(A1562="","",IFERROR(XLOOKUP(A1562,Tickets[TripKey],Tickets[Capacity]),0))</f>
        <v/>
      </c>
      <c r="K1562">
        <f>IF(A1562="","",I1562*J1562)</f>
        <v/>
      </c>
      <c r="L1562">
        <f>IF(A1562="","",IFERROR(MINIFS(Tickets[Trip Start Time],Tickets[TripKey],A1562),""))</f>
        <v/>
      </c>
    </row>
    <row r="1563">
      <c r="B1563" s="8">
        <f>IF(A1563="","",IFERROR(DATEVALUE(TEXTBEFORE(A1563,"|")),--LEFT(A1563,10)))</f>
        <v/>
      </c>
      <c r="C1563">
        <f>IF(A1563="","",TEXTBEFORE(TEXTAFTER(A1563,"|"),"|"))</f>
        <v/>
      </c>
      <c r="D1563">
        <f>IF(A1563="","",TEXTAFTER(A1563,"|",2))</f>
        <v/>
      </c>
      <c r="E1563">
        <f>IF(A1563="","",SUMIF(Tickets[TripKey],A1563,Tickets[TP]))</f>
        <v/>
      </c>
      <c r="F1563">
        <f>IF(A1563="","",SUMIF(Tickets[TripKey],A1563,Tickets[Revenue]))</f>
        <v/>
      </c>
      <c r="G1563">
        <f>IF(A1563="","",SUMIF(Tickets[TripKey],A1563,Tickets[PK]))</f>
        <v/>
      </c>
      <c r="H1563">
        <f>IF(A1563="","",IFERROR(XLOOKUP(A1563,Tickets[TripKey],Tickets[VehClean]),""))</f>
        <v/>
      </c>
      <c r="I1563">
        <f>IF(A1563="","",IFERROR(XLOOKUP(A1563,Tickets[TripKey],Tickets[RouteLen]),0))</f>
        <v/>
      </c>
      <c r="J1563">
        <f>IF(A1563="","",IFERROR(XLOOKUP(A1563,Tickets[TripKey],Tickets[Capacity]),0))</f>
        <v/>
      </c>
      <c r="K1563">
        <f>IF(A1563="","",I1563*J1563)</f>
        <v/>
      </c>
      <c r="L1563">
        <f>IF(A1563="","",IFERROR(MINIFS(Tickets[Trip Start Time],Tickets[TripKey],A1563),""))</f>
        <v/>
      </c>
    </row>
    <row r="1564">
      <c r="B1564" s="8">
        <f>IF(A1564="","",IFERROR(DATEVALUE(TEXTBEFORE(A1564,"|")),--LEFT(A1564,10)))</f>
        <v/>
      </c>
      <c r="C1564">
        <f>IF(A1564="","",TEXTBEFORE(TEXTAFTER(A1564,"|"),"|"))</f>
        <v/>
      </c>
      <c r="D1564">
        <f>IF(A1564="","",TEXTAFTER(A1564,"|",2))</f>
        <v/>
      </c>
      <c r="E1564">
        <f>IF(A1564="","",SUMIF(Tickets[TripKey],A1564,Tickets[TP]))</f>
        <v/>
      </c>
      <c r="F1564">
        <f>IF(A1564="","",SUMIF(Tickets[TripKey],A1564,Tickets[Revenue]))</f>
        <v/>
      </c>
      <c r="G1564">
        <f>IF(A1564="","",SUMIF(Tickets[TripKey],A1564,Tickets[PK]))</f>
        <v/>
      </c>
      <c r="H1564">
        <f>IF(A1564="","",IFERROR(XLOOKUP(A1564,Tickets[TripKey],Tickets[VehClean]),""))</f>
        <v/>
      </c>
      <c r="I1564">
        <f>IF(A1564="","",IFERROR(XLOOKUP(A1564,Tickets[TripKey],Tickets[RouteLen]),0))</f>
        <v/>
      </c>
      <c r="J1564">
        <f>IF(A1564="","",IFERROR(XLOOKUP(A1564,Tickets[TripKey],Tickets[Capacity]),0))</f>
        <v/>
      </c>
      <c r="K1564">
        <f>IF(A1564="","",I1564*J1564)</f>
        <v/>
      </c>
      <c r="L1564">
        <f>IF(A1564="","",IFERROR(MINIFS(Tickets[Trip Start Time],Tickets[TripKey],A1564),""))</f>
        <v/>
      </c>
    </row>
    <row r="1565">
      <c r="B1565" s="8">
        <f>IF(A1565="","",IFERROR(DATEVALUE(TEXTBEFORE(A1565,"|")),--LEFT(A1565,10)))</f>
        <v/>
      </c>
      <c r="C1565">
        <f>IF(A1565="","",TEXTBEFORE(TEXTAFTER(A1565,"|"),"|"))</f>
        <v/>
      </c>
      <c r="D1565">
        <f>IF(A1565="","",TEXTAFTER(A1565,"|",2))</f>
        <v/>
      </c>
      <c r="E1565">
        <f>IF(A1565="","",SUMIF(Tickets[TripKey],A1565,Tickets[TP]))</f>
        <v/>
      </c>
      <c r="F1565">
        <f>IF(A1565="","",SUMIF(Tickets[TripKey],A1565,Tickets[Revenue]))</f>
        <v/>
      </c>
      <c r="G1565">
        <f>IF(A1565="","",SUMIF(Tickets[TripKey],A1565,Tickets[PK]))</f>
        <v/>
      </c>
      <c r="H1565">
        <f>IF(A1565="","",IFERROR(XLOOKUP(A1565,Tickets[TripKey],Tickets[VehClean]),""))</f>
        <v/>
      </c>
      <c r="I1565">
        <f>IF(A1565="","",IFERROR(XLOOKUP(A1565,Tickets[TripKey],Tickets[RouteLen]),0))</f>
        <v/>
      </c>
      <c r="J1565">
        <f>IF(A1565="","",IFERROR(XLOOKUP(A1565,Tickets[TripKey],Tickets[Capacity]),0))</f>
        <v/>
      </c>
      <c r="K1565">
        <f>IF(A1565="","",I1565*J1565)</f>
        <v/>
      </c>
      <c r="L1565">
        <f>IF(A1565="","",IFERROR(MINIFS(Tickets[Trip Start Time],Tickets[TripKey],A1565),""))</f>
        <v/>
      </c>
    </row>
    <row r="1566">
      <c r="B1566" s="8">
        <f>IF(A1566="","",IFERROR(DATEVALUE(TEXTBEFORE(A1566,"|")),--LEFT(A1566,10)))</f>
        <v/>
      </c>
      <c r="C1566">
        <f>IF(A1566="","",TEXTBEFORE(TEXTAFTER(A1566,"|"),"|"))</f>
        <v/>
      </c>
      <c r="D1566">
        <f>IF(A1566="","",TEXTAFTER(A1566,"|",2))</f>
        <v/>
      </c>
      <c r="E1566">
        <f>IF(A1566="","",SUMIF(Tickets[TripKey],A1566,Tickets[TP]))</f>
        <v/>
      </c>
      <c r="F1566">
        <f>IF(A1566="","",SUMIF(Tickets[TripKey],A1566,Tickets[Revenue]))</f>
        <v/>
      </c>
      <c r="G1566">
        <f>IF(A1566="","",SUMIF(Tickets[TripKey],A1566,Tickets[PK]))</f>
        <v/>
      </c>
      <c r="H1566">
        <f>IF(A1566="","",IFERROR(XLOOKUP(A1566,Tickets[TripKey],Tickets[VehClean]),""))</f>
        <v/>
      </c>
      <c r="I1566">
        <f>IF(A1566="","",IFERROR(XLOOKUP(A1566,Tickets[TripKey],Tickets[RouteLen]),0))</f>
        <v/>
      </c>
      <c r="J1566">
        <f>IF(A1566="","",IFERROR(XLOOKUP(A1566,Tickets[TripKey],Tickets[Capacity]),0))</f>
        <v/>
      </c>
      <c r="K1566">
        <f>IF(A1566="","",I1566*J1566)</f>
        <v/>
      </c>
      <c r="L1566">
        <f>IF(A1566="","",IFERROR(MINIFS(Tickets[Trip Start Time],Tickets[TripKey],A1566),""))</f>
        <v/>
      </c>
    </row>
    <row r="1567">
      <c r="B1567" s="8">
        <f>IF(A1567="","",IFERROR(DATEVALUE(TEXTBEFORE(A1567,"|")),--LEFT(A1567,10)))</f>
        <v/>
      </c>
      <c r="C1567">
        <f>IF(A1567="","",TEXTBEFORE(TEXTAFTER(A1567,"|"),"|"))</f>
        <v/>
      </c>
      <c r="D1567">
        <f>IF(A1567="","",TEXTAFTER(A1567,"|",2))</f>
        <v/>
      </c>
      <c r="E1567">
        <f>IF(A1567="","",SUMIF(Tickets[TripKey],A1567,Tickets[TP]))</f>
        <v/>
      </c>
      <c r="F1567">
        <f>IF(A1567="","",SUMIF(Tickets[TripKey],A1567,Tickets[Revenue]))</f>
        <v/>
      </c>
      <c r="G1567">
        <f>IF(A1567="","",SUMIF(Tickets[TripKey],A1567,Tickets[PK]))</f>
        <v/>
      </c>
      <c r="H1567">
        <f>IF(A1567="","",IFERROR(XLOOKUP(A1567,Tickets[TripKey],Tickets[VehClean]),""))</f>
        <v/>
      </c>
      <c r="I1567">
        <f>IF(A1567="","",IFERROR(XLOOKUP(A1567,Tickets[TripKey],Tickets[RouteLen]),0))</f>
        <v/>
      </c>
      <c r="J1567">
        <f>IF(A1567="","",IFERROR(XLOOKUP(A1567,Tickets[TripKey],Tickets[Capacity]),0))</f>
        <v/>
      </c>
      <c r="K1567">
        <f>IF(A1567="","",I1567*J1567)</f>
        <v/>
      </c>
      <c r="L1567">
        <f>IF(A1567="","",IFERROR(MINIFS(Tickets[Trip Start Time],Tickets[TripKey],A1567),""))</f>
        <v/>
      </c>
    </row>
    <row r="1568">
      <c r="B1568" s="8">
        <f>IF(A1568="","",IFERROR(DATEVALUE(TEXTBEFORE(A1568,"|")),--LEFT(A1568,10)))</f>
        <v/>
      </c>
      <c r="C1568">
        <f>IF(A1568="","",TEXTBEFORE(TEXTAFTER(A1568,"|"),"|"))</f>
        <v/>
      </c>
      <c r="D1568">
        <f>IF(A1568="","",TEXTAFTER(A1568,"|",2))</f>
        <v/>
      </c>
      <c r="E1568">
        <f>IF(A1568="","",SUMIF(Tickets[TripKey],A1568,Tickets[TP]))</f>
        <v/>
      </c>
      <c r="F1568">
        <f>IF(A1568="","",SUMIF(Tickets[TripKey],A1568,Tickets[Revenue]))</f>
        <v/>
      </c>
      <c r="G1568">
        <f>IF(A1568="","",SUMIF(Tickets[TripKey],A1568,Tickets[PK]))</f>
        <v/>
      </c>
      <c r="H1568">
        <f>IF(A1568="","",IFERROR(XLOOKUP(A1568,Tickets[TripKey],Tickets[VehClean]),""))</f>
        <v/>
      </c>
      <c r="I1568">
        <f>IF(A1568="","",IFERROR(XLOOKUP(A1568,Tickets[TripKey],Tickets[RouteLen]),0))</f>
        <v/>
      </c>
      <c r="J1568">
        <f>IF(A1568="","",IFERROR(XLOOKUP(A1568,Tickets[TripKey],Tickets[Capacity]),0))</f>
        <v/>
      </c>
      <c r="K1568">
        <f>IF(A1568="","",I1568*J1568)</f>
        <v/>
      </c>
      <c r="L1568">
        <f>IF(A1568="","",IFERROR(MINIFS(Tickets[Trip Start Time],Tickets[TripKey],A1568),""))</f>
        <v/>
      </c>
    </row>
    <row r="1569">
      <c r="B1569" s="8">
        <f>IF(A1569="","",IFERROR(DATEVALUE(TEXTBEFORE(A1569,"|")),--LEFT(A1569,10)))</f>
        <v/>
      </c>
      <c r="C1569">
        <f>IF(A1569="","",TEXTBEFORE(TEXTAFTER(A1569,"|"),"|"))</f>
        <v/>
      </c>
      <c r="D1569">
        <f>IF(A1569="","",TEXTAFTER(A1569,"|",2))</f>
        <v/>
      </c>
      <c r="E1569">
        <f>IF(A1569="","",SUMIF(Tickets[TripKey],A1569,Tickets[TP]))</f>
        <v/>
      </c>
      <c r="F1569">
        <f>IF(A1569="","",SUMIF(Tickets[TripKey],A1569,Tickets[Revenue]))</f>
        <v/>
      </c>
      <c r="G1569">
        <f>IF(A1569="","",SUMIF(Tickets[TripKey],A1569,Tickets[PK]))</f>
        <v/>
      </c>
      <c r="H1569">
        <f>IF(A1569="","",IFERROR(XLOOKUP(A1569,Tickets[TripKey],Tickets[VehClean]),""))</f>
        <v/>
      </c>
      <c r="I1569">
        <f>IF(A1569="","",IFERROR(XLOOKUP(A1569,Tickets[TripKey],Tickets[RouteLen]),0))</f>
        <v/>
      </c>
      <c r="J1569">
        <f>IF(A1569="","",IFERROR(XLOOKUP(A1569,Tickets[TripKey],Tickets[Capacity]),0))</f>
        <v/>
      </c>
      <c r="K1569">
        <f>IF(A1569="","",I1569*J1569)</f>
        <v/>
      </c>
      <c r="L1569">
        <f>IF(A1569="","",IFERROR(MINIFS(Tickets[Trip Start Time],Tickets[TripKey],A1569),""))</f>
        <v/>
      </c>
    </row>
    <row r="1570">
      <c r="B1570" s="8">
        <f>IF(A1570="","",IFERROR(DATEVALUE(TEXTBEFORE(A1570,"|")),--LEFT(A1570,10)))</f>
        <v/>
      </c>
      <c r="C1570">
        <f>IF(A1570="","",TEXTBEFORE(TEXTAFTER(A1570,"|"),"|"))</f>
        <v/>
      </c>
      <c r="D1570">
        <f>IF(A1570="","",TEXTAFTER(A1570,"|",2))</f>
        <v/>
      </c>
      <c r="E1570">
        <f>IF(A1570="","",SUMIF(Tickets[TripKey],A1570,Tickets[TP]))</f>
        <v/>
      </c>
      <c r="F1570">
        <f>IF(A1570="","",SUMIF(Tickets[TripKey],A1570,Tickets[Revenue]))</f>
        <v/>
      </c>
      <c r="G1570">
        <f>IF(A1570="","",SUMIF(Tickets[TripKey],A1570,Tickets[PK]))</f>
        <v/>
      </c>
      <c r="H1570">
        <f>IF(A1570="","",IFERROR(XLOOKUP(A1570,Tickets[TripKey],Tickets[VehClean]),""))</f>
        <v/>
      </c>
      <c r="I1570">
        <f>IF(A1570="","",IFERROR(XLOOKUP(A1570,Tickets[TripKey],Tickets[RouteLen]),0))</f>
        <v/>
      </c>
      <c r="J1570">
        <f>IF(A1570="","",IFERROR(XLOOKUP(A1570,Tickets[TripKey],Tickets[Capacity]),0))</f>
        <v/>
      </c>
      <c r="K1570">
        <f>IF(A1570="","",I1570*J1570)</f>
        <v/>
      </c>
      <c r="L1570">
        <f>IF(A1570="","",IFERROR(MINIFS(Tickets[Trip Start Time],Tickets[TripKey],A1570),""))</f>
        <v/>
      </c>
    </row>
    <row r="1571">
      <c r="B1571" s="8">
        <f>IF(A1571="","",IFERROR(DATEVALUE(TEXTBEFORE(A1571,"|")),--LEFT(A1571,10)))</f>
        <v/>
      </c>
      <c r="C1571">
        <f>IF(A1571="","",TEXTBEFORE(TEXTAFTER(A1571,"|"),"|"))</f>
        <v/>
      </c>
      <c r="D1571">
        <f>IF(A1571="","",TEXTAFTER(A1571,"|",2))</f>
        <v/>
      </c>
      <c r="E1571">
        <f>IF(A1571="","",SUMIF(Tickets[TripKey],A1571,Tickets[TP]))</f>
        <v/>
      </c>
      <c r="F1571">
        <f>IF(A1571="","",SUMIF(Tickets[TripKey],A1571,Tickets[Revenue]))</f>
        <v/>
      </c>
      <c r="G1571">
        <f>IF(A1571="","",SUMIF(Tickets[TripKey],A1571,Tickets[PK]))</f>
        <v/>
      </c>
      <c r="H1571">
        <f>IF(A1571="","",IFERROR(XLOOKUP(A1571,Tickets[TripKey],Tickets[VehClean]),""))</f>
        <v/>
      </c>
      <c r="I1571">
        <f>IF(A1571="","",IFERROR(XLOOKUP(A1571,Tickets[TripKey],Tickets[RouteLen]),0))</f>
        <v/>
      </c>
      <c r="J1571">
        <f>IF(A1571="","",IFERROR(XLOOKUP(A1571,Tickets[TripKey],Tickets[Capacity]),0))</f>
        <v/>
      </c>
      <c r="K1571">
        <f>IF(A1571="","",I1571*J1571)</f>
        <v/>
      </c>
      <c r="L1571">
        <f>IF(A1571="","",IFERROR(MINIFS(Tickets[Trip Start Time],Tickets[TripKey],A1571),""))</f>
        <v/>
      </c>
    </row>
    <row r="1572">
      <c r="B1572" s="8">
        <f>IF(A1572="","",IFERROR(DATEVALUE(TEXTBEFORE(A1572,"|")),--LEFT(A1572,10)))</f>
        <v/>
      </c>
      <c r="C1572">
        <f>IF(A1572="","",TEXTBEFORE(TEXTAFTER(A1572,"|"),"|"))</f>
        <v/>
      </c>
      <c r="D1572">
        <f>IF(A1572="","",TEXTAFTER(A1572,"|",2))</f>
        <v/>
      </c>
      <c r="E1572">
        <f>IF(A1572="","",SUMIF(Tickets[TripKey],A1572,Tickets[TP]))</f>
        <v/>
      </c>
      <c r="F1572">
        <f>IF(A1572="","",SUMIF(Tickets[TripKey],A1572,Tickets[Revenue]))</f>
        <v/>
      </c>
      <c r="G1572">
        <f>IF(A1572="","",SUMIF(Tickets[TripKey],A1572,Tickets[PK]))</f>
        <v/>
      </c>
      <c r="H1572">
        <f>IF(A1572="","",IFERROR(XLOOKUP(A1572,Tickets[TripKey],Tickets[VehClean]),""))</f>
        <v/>
      </c>
      <c r="I1572">
        <f>IF(A1572="","",IFERROR(XLOOKUP(A1572,Tickets[TripKey],Tickets[RouteLen]),0))</f>
        <v/>
      </c>
      <c r="J1572">
        <f>IF(A1572="","",IFERROR(XLOOKUP(A1572,Tickets[TripKey],Tickets[Capacity]),0))</f>
        <v/>
      </c>
      <c r="K1572">
        <f>IF(A1572="","",I1572*J1572)</f>
        <v/>
      </c>
      <c r="L1572">
        <f>IF(A1572="","",IFERROR(MINIFS(Tickets[Trip Start Time],Tickets[TripKey],A1572),""))</f>
        <v/>
      </c>
    </row>
    <row r="1573">
      <c r="B1573" s="8">
        <f>IF(A1573="","",IFERROR(DATEVALUE(TEXTBEFORE(A1573,"|")),--LEFT(A1573,10)))</f>
        <v/>
      </c>
      <c r="C1573">
        <f>IF(A1573="","",TEXTBEFORE(TEXTAFTER(A1573,"|"),"|"))</f>
        <v/>
      </c>
      <c r="D1573">
        <f>IF(A1573="","",TEXTAFTER(A1573,"|",2))</f>
        <v/>
      </c>
      <c r="E1573">
        <f>IF(A1573="","",SUMIF(Tickets[TripKey],A1573,Tickets[TP]))</f>
        <v/>
      </c>
      <c r="F1573">
        <f>IF(A1573="","",SUMIF(Tickets[TripKey],A1573,Tickets[Revenue]))</f>
        <v/>
      </c>
      <c r="G1573">
        <f>IF(A1573="","",SUMIF(Tickets[TripKey],A1573,Tickets[PK]))</f>
        <v/>
      </c>
      <c r="H1573">
        <f>IF(A1573="","",IFERROR(XLOOKUP(A1573,Tickets[TripKey],Tickets[VehClean]),""))</f>
        <v/>
      </c>
      <c r="I1573">
        <f>IF(A1573="","",IFERROR(XLOOKUP(A1573,Tickets[TripKey],Tickets[RouteLen]),0))</f>
        <v/>
      </c>
      <c r="J1573">
        <f>IF(A1573="","",IFERROR(XLOOKUP(A1573,Tickets[TripKey],Tickets[Capacity]),0))</f>
        <v/>
      </c>
      <c r="K1573">
        <f>IF(A1573="","",I1573*J1573)</f>
        <v/>
      </c>
      <c r="L1573">
        <f>IF(A1573="","",IFERROR(MINIFS(Tickets[Trip Start Time],Tickets[TripKey],A1573),""))</f>
        <v/>
      </c>
    </row>
    <row r="1574">
      <c r="B1574" s="8">
        <f>IF(A1574="","",IFERROR(DATEVALUE(TEXTBEFORE(A1574,"|")),--LEFT(A1574,10)))</f>
        <v/>
      </c>
      <c r="C1574">
        <f>IF(A1574="","",TEXTBEFORE(TEXTAFTER(A1574,"|"),"|"))</f>
        <v/>
      </c>
      <c r="D1574">
        <f>IF(A1574="","",TEXTAFTER(A1574,"|",2))</f>
        <v/>
      </c>
      <c r="E1574">
        <f>IF(A1574="","",SUMIF(Tickets[TripKey],A1574,Tickets[TP]))</f>
        <v/>
      </c>
      <c r="F1574">
        <f>IF(A1574="","",SUMIF(Tickets[TripKey],A1574,Tickets[Revenue]))</f>
        <v/>
      </c>
      <c r="G1574">
        <f>IF(A1574="","",SUMIF(Tickets[TripKey],A1574,Tickets[PK]))</f>
        <v/>
      </c>
      <c r="H1574">
        <f>IF(A1574="","",IFERROR(XLOOKUP(A1574,Tickets[TripKey],Tickets[VehClean]),""))</f>
        <v/>
      </c>
      <c r="I1574">
        <f>IF(A1574="","",IFERROR(XLOOKUP(A1574,Tickets[TripKey],Tickets[RouteLen]),0))</f>
        <v/>
      </c>
      <c r="J1574">
        <f>IF(A1574="","",IFERROR(XLOOKUP(A1574,Tickets[TripKey],Tickets[Capacity]),0))</f>
        <v/>
      </c>
      <c r="K1574">
        <f>IF(A1574="","",I1574*J1574)</f>
        <v/>
      </c>
      <c r="L1574">
        <f>IF(A1574="","",IFERROR(MINIFS(Tickets[Trip Start Time],Tickets[TripKey],A1574),""))</f>
        <v/>
      </c>
    </row>
    <row r="1575">
      <c r="B1575" s="8">
        <f>IF(A1575="","",IFERROR(DATEVALUE(TEXTBEFORE(A1575,"|")),--LEFT(A1575,10)))</f>
        <v/>
      </c>
      <c r="C1575">
        <f>IF(A1575="","",TEXTBEFORE(TEXTAFTER(A1575,"|"),"|"))</f>
        <v/>
      </c>
      <c r="D1575">
        <f>IF(A1575="","",TEXTAFTER(A1575,"|",2))</f>
        <v/>
      </c>
      <c r="E1575">
        <f>IF(A1575="","",SUMIF(Tickets[TripKey],A1575,Tickets[TP]))</f>
        <v/>
      </c>
      <c r="F1575">
        <f>IF(A1575="","",SUMIF(Tickets[TripKey],A1575,Tickets[Revenue]))</f>
        <v/>
      </c>
      <c r="G1575">
        <f>IF(A1575="","",SUMIF(Tickets[TripKey],A1575,Tickets[PK]))</f>
        <v/>
      </c>
      <c r="H1575">
        <f>IF(A1575="","",IFERROR(XLOOKUP(A1575,Tickets[TripKey],Tickets[VehClean]),""))</f>
        <v/>
      </c>
      <c r="I1575">
        <f>IF(A1575="","",IFERROR(XLOOKUP(A1575,Tickets[TripKey],Tickets[RouteLen]),0))</f>
        <v/>
      </c>
      <c r="J1575">
        <f>IF(A1575="","",IFERROR(XLOOKUP(A1575,Tickets[TripKey],Tickets[Capacity]),0))</f>
        <v/>
      </c>
      <c r="K1575">
        <f>IF(A1575="","",I1575*J1575)</f>
        <v/>
      </c>
      <c r="L1575">
        <f>IF(A1575="","",IFERROR(MINIFS(Tickets[Trip Start Time],Tickets[TripKey],A1575),""))</f>
        <v/>
      </c>
    </row>
    <row r="1576">
      <c r="B1576" s="8">
        <f>IF(A1576="","",IFERROR(DATEVALUE(TEXTBEFORE(A1576,"|")),--LEFT(A1576,10)))</f>
        <v/>
      </c>
      <c r="C1576">
        <f>IF(A1576="","",TEXTBEFORE(TEXTAFTER(A1576,"|"),"|"))</f>
        <v/>
      </c>
      <c r="D1576">
        <f>IF(A1576="","",TEXTAFTER(A1576,"|",2))</f>
        <v/>
      </c>
      <c r="E1576">
        <f>IF(A1576="","",SUMIF(Tickets[TripKey],A1576,Tickets[TP]))</f>
        <v/>
      </c>
      <c r="F1576">
        <f>IF(A1576="","",SUMIF(Tickets[TripKey],A1576,Tickets[Revenue]))</f>
        <v/>
      </c>
      <c r="G1576">
        <f>IF(A1576="","",SUMIF(Tickets[TripKey],A1576,Tickets[PK]))</f>
        <v/>
      </c>
      <c r="H1576">
        <f>IF(A1576="","",IFERROR(XLOOKUP(A1576,Tickets[TripKey],Tickets[VehClean]),""))</f>
        <v/>
      </c>
      <c r="I1576">
        <f>IF(A1576="","",IFERROR(XLOOKUP(A1576,Tickets[TripKey],Tickets[RouteLen]),0))</f>
        <v/>
      </c>
      <c r="J1576">
        <f>IF(A1576="","",IFERROR(XLOOKUP(A1576,Tickets[TripKey],Tickets[Capacity]),0))</f>
        <v/>
      </c>
      <c r="K1576">
        <f>IF(A1576="","",I1576*J1576)</f>
        <v/>
      </c>
      <c r="L1576">
        <f>IF(A1576="","",IFERROR(MINIFS(Tickets[Trip Start Time],Tickets[TripKey],A1576),""))</f>
        <v/>
      </c>
    </row>
    <row r="1577">
      <c r="B1577" s="8">
        <f>IF(A1577="","",IFERROR(DATEVALUE(TEXTBEFORE(A1577,"|")),--LEFT(A1577,10)))</f>
        <v/>
      </c>
      <c r="C1577">
        <f>IF(A1577="","",TEXTBEFORE(TEXTAFTER(A1577,"|"),"|"))</f>
        <v/>
      </c>
      <c r="D1577">
        <f>IF(A1577="","",TEXTAFTER(A1577,"|",2))</f>
        <v/>
      </c>
      <c r="E1577">
        <f>IF(A1577="","",SUMIF(Tickets[TripKey],A1577,Tickets[TP]))</f>
        <v/>
      </c>
      <c r="F1577">
        <f>IF(A1577="","",SUMIF(Tickets[TripKey],A1577,Tickets[Revenue]))</f>
        <v/>
      </c>
      <c r="G1577">
        <f>IF(A1577="","",SUMIF(Tickets[TripKey],A1577,Tickets[PK]))</f>
        <v/>
      </c>
      <c r="H1577">
        <f>IF(A1577="","",IFERROR(XLOOKUP(A1577,Tickets[TripKey],Tickets[VehClean]),""))</f>
        <v/>
      </c>
      <c r="I1577">
        <f>IF(A1577="","",IFERROR(XLOOKUP(A1577,Tickets[TripKey],Tickets[RouteLen]),0))</f>
        <v/>
      </c>
      <c r="J1577">
        <f>IF(A1577="","",IFERROR(XLOOKUP(A1577,Tickets[TripKey],Tickets[Capacity]),0))</f>
        <v/>
      </c>
      <c r="K1577">
        <f>IF(A1577="","",I1577*J1577)</f>
        <v/>
      </c>
      <c r="L1577">
        <f>IF(A1577="","",IFERROR(MINIFS(Tickets[Trip Start Time],Tickets[TripKey],A1577),""))</f>
        <v/>
      </c>
    </row>
    <row r="1578">
      <c r="B1578" s="8">
        <f>IF(A1578="","",IFERROR(DATEVALUE(TEXTBEFORE(A1578,"|")),--LEFT(A1578,10)))</f>
        <v/>
      </c>
      <c r="C1578">
        <f>IF(A1578="","",TEXTBEFORE(TEXTAFTER(A1578,"|"),"|"))</f>
        <v/>
      </c>
      <c r="D1578">
        <f>IF(A1578="","",TEXTAFTER(A1578,"|",2))</f>
        <v/>
      </c>
      <c r="E1578">
        <f>IF(A1578="","",SUMIF(Tickets[TripKey],A1578,Tickets[TP]))</f>
        <v/>
      </c>
      <c r="F1578">
        <f>IF(A1578="","",SUMIF(Tickets[TripKey],A1578,Tickets[Revenue]))</f>
        <v/>
      </c>
      <c r="G1578">
        <f>IF(A1578="","",SUMIF(Tickets[TripKey],A1578,Tickets[PK]))</f>
        <v/>
      </c>
      <c r="H1578">
        <f>IF(A1578="","",IFERROR(XLOOKUP(A1578,Tickets[TripKey],Tickets[VehClean]),""))</f>
        <v/>
      </c>
      <c r="I1578">
        <f>IF(A1578="","",IFERROR(XLOOKUP(A1578,Tickets[TripKey],Tickets[RouteLen]),0))</f>
        <v/>
      </c>
      <c r="J1578">
        <f>IF(A1578="","",IFERROR(XLOOKUP(A1578,Tickets[TripKey],Tickets[Capacity]),0))</f>
        <v/>
      </c>
      <c r="K1578">
        <f>IF(A1578="","",I1578*J1578)</f>
        <v/>
      </c>
      <c r="L1578">
        <f>IF(A1578="","",IFERROR(MINIFS(Tickets[Trip Start Time],Tickets[TripKey],A1578),""))</f>
        <v/>
      </c>
    </row>
    <row r="1579">
      <c r="B1579" s="8">
        <f>IF(A1579="","",IFERROR(DATEVALUE(TEXTBEFORE(A1579,"|")),--LEFT(A1579,10)))</f>
        <v/>
      </c>
      <c r="C1579">
        <f>IF(A1579="","",TEXTBEFORE(TEXTAFTER(A1579,"|"),"|"))</f>
        <v/>
      </c>
      <c r="D1579">
        <f>IF(A1579="","",TEXTAFTER(A1579,"|",2))</f>
        <v/>
      </c>
      <c r="E1579">
        <f>IF(A1579="","",SUMIF(Tickets[TripKey],A1579,Tickets[TP]))</f>
        <v/>
      </c>
      <c r="F1579">
        <f>IF(A1579="","",SUMIF(Tickets[TripKey],A1579,Tickets[Revenue]))</f>
        <v/>
      </c>
      <c r="G1579">
        <f>IF(A1579="","",SUMIF(Tickets[TripKey],A1579,Tickets[PK]))</f>
        <v/>
      </c>
      <c r="H1579">
        <f>IF(A1579="","",IFERROR(XLOOKUP(A1579,Tickets[TripKey],Tickets[VehClean]),""))</f>
        <v/>
      </c>
      <c r="I1579">
        <f>IF(A1579="","",IFERROR(XLOOKUP(A1579,Tickets[TripKey],Tickets[RouteLen]),0))</f>
        <v/>
      </c>
      <c r="J1579">
        <f>IF(A1579="","",IFERROR(XLOOKUP(A1579,Tickets[TripKey],Tickets[Capacity]),0))</f>
        <v/>
      </c>
      <c r="K1579">
        <f>IF(A1579="","",I1579*J1579)</f>
        <v/>
      </c>
      <c r="L1579">
        <f>IF(A1579="","",IFERROR(MINIFS(Tickets[Trip Start Time],Tickets[TripKey],A1579),""))</f>
        <v/>
      </c>
    </row>
    <row r="1580">
      <c r="B1580" s="8">
        <f>IF(A1580="","",IFERROR(DATEVALUE(TEXTBEFORE(A1580,"|")),--LEFT(A1580,10)))</f>
        <v/>
      </c>
      <c r="C1580">
        <f>IF(A1580="","",TEXTBEFORE(TEXTAFTER(A1580,"|"),"|"))</f>
        <v/>
      </c>
      <c r="D1580">
        <f>IF(A1580="","",TEXTAFTER(A1580,"|",2))</f>
        <v/>
      </c>
      <c r="E1580">
        <f>IF(A1580="","",SUMIF(Tickets[TripKey],A1580,Tickets[TP]))</f>
        <v/>
      </c>
      <c r="F1580">
        <f>IF(A1580="","",SUMIF(Tickets[TripKey],A1580,Tickets[Revenue]))</f>
        <v/>
      </c>
      <c r="G1580">
        <f>IF(A1580="","",SUMIF(Tickets[TripKey],A1580,Tickets[PK]))</f>
        <v/>
      </c>
      <c r="H1580">
        <f>IF(A1580="","",IFERROR(XLOOKUP(A1580,Tickets[TripKey],Tickets[VehClean]),""))</f>
        <v/>
      </c>
      <c r="I1580">
        <f>IF(A1580="","",IFERROR(XLOOKUP(A1580,Tickets[TripKey],Tickets[RouteLen]),0))</f>
        <v/>
      </c>
      <c r="J1580">
        <f>IF(A1580="","",IFERROR(XLOOKUP(A1580,Tickets[TripKey],Tickets[Capacity]),0))</f>
        <v/>
      </c>
      <c r="K1580">
        <f>IF(A1580="","",I1580*J1580)</f>
        <v/>
      </c>
      <c r="L1580">
        <f>IF(A1580="","",IFERROR(MINIFS(Tickets[Trip Start Time],Tickets[TripKey],A1580),""))</f>
        <v/>
      </c>
    </row>
    <row r="1581">
      <c r="B1581" s="8">
        <f>IF(A1581="","",IFERROR(DATEVALUE(TEXTBEFORE(A1581,"|")),--LEFT(A1581,10)))</f>
        <v/>
      </c>
      <c r="C1581">
        <f>IF(A1581="","",TEXTBEFORE(TEXTAFTER(A1581,"|"),"|"))</f>
        <v/>
      </c>
      <c r="D1581">
        <f>IF(A1581="","",TEXTAFTER(A1581,"|",2))</f>
        <v/>
      </c>
      <c r="E1581">
        <f>IF(A1581="","",SUMIF(Tickets[TripKey],A1581,Tickets[TP]))</f>
        <v/>
      </c>
      <c r="F1581">
        <f>IF(A1581="","",SUMIF(Tickets[TripKey],A1581,Tickets[Revenue]))</f>
        <v/>
      </c>
      <c r="G1581">
        <f>IF(A1581="","",SUMIF(Tickets[TripKey],A1581,Tickets[PK]))</f>
        <v/>
      </c>
      <c r="H1581">
        <f>IF(A1581="","",IFERROR(XLOOKUP(A1581,Tickets[TripKey],Tickets[VehClean]),""))</f>
        <v/>
      </c>
      <c r="I1581">
        <f>IF(A1581="","",IFERROR(XLOOKUP(A1581,Tickets[TripKey],Tickets[RouteLen]),0))</f>
        <v/>
      </c>
      <c r="J1581">
        <f>IF(A1581="","",IFERROR(XLOOKUP(A1581,Tickets[TripKey],Tickets[Capacity]),0))</f>
        <v/>
      </c>
      <c r="K1581">
        <f>IF(A1581="","",I1581*J1581)</f>
        <v/>
      </c>
      <c r="L1581">
        <f>IF(A1581="","",IFERROR(MINIFS(Tickets[Trip Start Time],Tickets[TripKey],A1581),""))</f>
        <v/>
      </c>
    </row>
    <row r="1582">
      <c r="B1582" s="8">
        <f>IF(A1582="","",IFERROR(DATEVALUE(TEXTBEFORE(A1582,"|")),--LEFT(A1582,10)))</f>
        <v/>
      </c>
      <c r="C1582">
        <f>IF(A1582="","",TEXTBEFORE(TEXTAFTER(A1582,"|"),"|"))</f>
        <v/>
      </c>
      <c r="D1582">
        <f>IF(A1582="","",TEXTAFTER(A1582,"|",2))</f>
        <v/>
      </c>
      <c r="E1582">
        <f>IF(A1582="","",SUMIF(Tickets[TripKey],A1582,Tickets[TP]))</f>
        <v/>
      </c>
      <c r="F1582">
        <f>IF(A1582="","",SUMIF(Tickets[TripKey],A1582,Tickets[Revenue]))</f>
        <v/>
      </c>
      <c r="G1582">
        <f>IF(A1582="","",SUMIF(Tickets[TripKey],A1582,Tickets[PK]))</f>
        <v/>
      </c>
      <c r="H1582">
        <f>IF(A1582="","",IFERROR(XLOOKUP(A1582,Tickets[TripKey],Tickets[VehClean]),""))</f>
        <v/>
      </c>
      <c r="I1582">
        <f>IF(A1582="","",IFERROR(XLOOKUP(A1582,Tickets[TripKey],Tickets[RouteLen]),0))</f>
        <v/>
      </c>
      <c r="J1582">
        <f>IF(A1582="","",IFERROR(XLOOKUP(A1582,Tickets[TripKey],Tickets[Capacity]),0))</f>
        <v/>
      </c>
      <c r="K1582">
        <f>IF(A1582="","",I1582*J1582)</f>
        <v/>
      </c>
      <c r="L1582">
        <f>IF(A1582="","",IFERROR(MINIFS(Tickets[Trip Start Time],Tickets[TripKey],A1582),""))</f>
        <v/>
      </c>
    </row>
    <row r="1583">
      <c r="B1583" s="8">
        <f>IF(A1583="","",IFERROR(DATEVALUE(TEXTBEFORE(A1583,"|")),--LEFT(A1583,10)))</f>
        <v/>
      </c>
      <c r="C1583">
        <f>IF(A1583="","",TEXTBEFORE(TEXTAFTER(A1583,"|"),"|"))</f>
        <v/>
      </c>
      <c r="D1583">
        <f>IF(A1583="","",TEXTAFTER(A1583,"|",2))</f>
        <v/>
      </c>
      <c r="E1583">
        <f>IF(A1583="","",SUMIF(Tickets[TripKey],A1583,Tickets[TP]))</f>
        <v/>
      </c>
      <c r="F1583">
        <f>IF(A1583="","",SUMIF(Tickets[TripKey],A1583,Tickets[Revenue]))</f>
        <v/>
      </c>
      <c r="G1583">
        <f>IF(A1583="","",SUMIF(Tickets[TripKey],A1583,Tickets[PK]))</f>
        <v/>
      </c>
      <c r="H1583">
        <f>IF(A1583="","",IFERROR(XLOOKUP(A1583,Tickets[TripKey],Tickets[VehClean]),""))</f>
        <v/>
      </c>
      <c r="I1583">
        <f>IF(A1583="","",IFERROR(XLOOKUP(A1583,Tickets[TripKey],Tickets[RouteLen]),0))</f>
        <v/>
      </c>
      <c r="J1583">
        <f>IF(A1583="","",IFERROR(XLOOKUP(A1583,Tickets[TripKey],Tickets[Capacity]),0))</f>
        <v/>
      </c>
      <c r="K1583">
        <f>IF(A1583="","",I1583*J1583)</f>
        <v/>
      </c>
      <c r="L1583">
        <f>IF(A1583="","",IFERROR(MINIFS(Tickets[Trip Start Time],Tickets[TripKey],A1583),""))</f>
        <v/>
      </c>
    </row>
    <row r="1584">
      <c r="B1584" s="8">
        <f>IF(A1584="","",IFERROR(DATEVALUE(TEXTBEFORE(A1584,"|")),--LEFT(A1584,10)))</f>
        <v/>
      </c>
      <c r="C1584">
        <f>IF(A1584="","",TEXTBEFORE(TEXTAFTER(A1584,"|"),"|"))</f>
        <v/>
      </c>
      <c r="D1584">
        <f>IF(A1584="","",TEXTAFTER(A1584,"|",2))</f>
        <v/>
      </c>
      <c r="E1584">
        <f>IF(A1584="","",SUMIF(Tickets[TripKey],A1584,Tickets[TP]))</f>
        <v/>
      </c>
      <c r="F1584">
        <f>IF(A1584="","",SUMIF(Tickets[TripKey],A1584,Tickets[Revenue]))</f>
        <v/>
      </c>
      <c r="G1584">
        <f>IF(A1584="","",SUMIF(Tickets[TripKey],A1584,Tickets[PK]))</f>
        <v/>
      </c>
      <c r="H1584">
        <f>IF(A1584="","",IFERROR(XLOOKUP(A1584,Tickets[TripKey],Tickets[VehClean]),""))</f>
        <v/>
      </c>
      <c r="I1584">
        <f>IF(A1584="","",IFERROR(XLOOKUP(A1584,Tickets[TripKey],Tickets[RouteLen]),0))</f>
        <v/>
      </c>
      <c r="J1584">
        <f>IF(A1584="","",IFERROR(XLOOKUP(A1584,Tickets[TripKey],Tickets[Capacity]),0))</f>
        <v/>
      </c>
      <c r="K1584">
        <f>IF(A1584="","",I1584*J1584)</f>
        <v/>
      </c>
      <c r="L1584">
        <f>IF(A1584="","",IFERROR(MINIFS(Tickets[Trip Start Time],Tickets[TripKey],A1584),""))</f>
        <v/>
      </c>
    </row>
    <row r="1585">
      <c r="B1585" s="8">
        <f>IF(A1585="","",IFERROR(DATEVALUE(TEXTBEFORE(A1585,"|")),--LEFT(A1585,10)))</f>
        <v/>
      </c>
      <c r="C1585">
        <f>IF(A1585="","",TEXTBEFORE(TEXTAFTER(A1585,"|"),"|"))</f>
        <v/>
      </c>
      <c r="D1585">
        <f>IF(A1585="","",TEXTAFTER(A1585,"|",2))</f>
        <v/>
      </c>
      <c r="E1585">
        <f>IF(A1585="","",SUMIF(Tickets[TripKey],A1585,Tickets[TP]))</f>
        <v/>
      </c>
      <c r="F1585">
        <f>IF(A1585="","",SUMIF(Tickets[TripKey],A1585,Tickets[Revenue]))</f>
        <v/>
      </c>
      <c r="G1585">
        <f>IF(A1585="","",SUMIF(Tickets[TripKey],A1585,Tickets[PK]))</f>
        <v/>
      </c>
      <c r="H1585">
        <f>IF(A1585="","",IFERROR(XLOOKUP(A1585,Tickets[TripKey],Tickets[VehClean]),""))</f>
        <v/>
      </c>
      <c r="I1585">
        <f>IF(A1585="","",IFERROR(XLOOKUP(A1585,Tickets[TripKey],Tickets[RouteLen]),0))</f>
        <v/>
      </c>
      <c r="J1585">
        <f>IF(A1585="","",IFERROR(XLOOKUP(A1585,Tickets[TripKey],Tickets[Capacity]),0))</f>
        <v/>
      </c>
      <c r="K1585">
        <f>IF(A1585="","",I1585*J1585)</f>
        <v/>
      </c>
      <c r="L1585">
        <f>IF(A1585="","",IFERROR(MINIFS(Tickets[Trip Start Time],Tickets[TripKey],A1585),""))</f>
        <v/>
      </c>
    </row>
    <row r="1586">
      <c r="B1586" s="8">
        <f>IF(A1586="","",IFERROR(DATEVALUE(TEXTBEFORE(A1586,"|")),--LEFT(A1586,10)))</f>
        <v/>
      </c>
      <c r="C1586">
        <f>IF(A1586="","",TEXTBEFORE(TEXTAFTER(A1586,"|"),"|"))</f>
        <v/>
      </c>
      <c r="D1586">
        <f>IF(A1586="","",TEXTAFTER(A1586,"|",2))</f>
        <v/>
      </c>
      <c r="E1586">
        <f>IF(A1586="","",SUMIF(Tickets[TripKey],A1586,Tickets[TP]))</f>
        <v/>
      </c>
      <c r="F1586">
        <f>IF(A1586="","",SUMIF(Tickets[TripKey],A1586,Tickets[Revenue]))</f>
        <v/>
      </c>
      <c r="G1586">
        <f>IF(A1586="","",SUMIF(Tickets[TripKey],A1586,Tickets[PK]))</f>
        <v/>
      </c>
      <c r="H1586">
        <f>IF(A1586="","",IFERROR(XLOOKUP(A1586,Tickets[TripKey],Tickets[VehClean]),""))</f>
        <v/>
      </c>
      <c r="I1586">
        <f>IF(A1586="","",IFERROR(XLOOKUP(A1586,Tickets[TripKey],Tickets[RouteLen]),0))</f>
        <v/>
      </c>
      <c r="J1586">
        <f>IF(A1586="","",IFERROR(XLOOKUP(A1586,Tickets[TripKey],Tickets[Capacity]),0))</f>
        <v/>
      </c>
      <c r="K1586">
        <f>IF(A1586="","",I1586*J1586)</f>
        <v/>
      </c>
      <c r="L1586">
        <f>IF(A1586="","",IFERROR(MINIFS(Tickets[Trip Start Time],Tickets[TripKey],A1586),""))</f>
        <v/>
      </c>
    </row>
    <row r="1587">
      <c r="B1587" s="8">
        <f>IF(A1587="","",IFERROR(DATEVALUE(TEXTBEFORE(A1587,"|")),--LEFT(A1587,10)))</f>
        <v/>
      </c>
      <c r="C1587">
        <f>IF(A1587="","",TEXTBEFORE(TEXTAFTER(A1587,"|"),"|"))</f>
        <v/>
      </c>
      <c r="D1587">
        <f>IF(A1587="","",TEXTAFTER(A1587,"|",2))</f>
        <v/>
      </c>
      <c r="E1587">
        <f>IF(A1587="","",SUMIF(Tickets[TripKey],A1587,Tickets[TP]))</f>
        <v/>
      </c>
      <c r="F1587">
        <f>IF(A1587="","",SUMIF(Tickets[TripKey],A1587,Tickets[Revenue]))</f>
        <v/>
      </c>
      <c r="G1587">
        <f>IF(A1587="","",SUMIF(Tickets[TripKey],A1587,Tickets[PK]))</f>
        <v/>
      </c>
      <c r="H1587">
        <f>IF(A1587="","",IFERROR(XLOOKUP(A1587,Tickets[TripKey],Tickets[VehClean]),""))</f>
        <v/>
      </c>
      <c r="I1587">
        <f>IF(A1587="","",IFERROR(XLOOKUP(A1587,Tickets[TripKey],Tickets[RouteLen]),0))</f>
        <v/>
      </c>
      <c r="J1587">
        <f>IF(A1587="","",IFERROR(XLOOKUP(A1587,Tickets[TripKey],Tickets[Capacity]),0))</f>
        <v/>
      </c>
      <c r="K1587">
        <f>IF(A1587="","",I1587*J1587)</f>
        <v/>
      </c>
      <c r="L1587">
        <f>IF(A1587="","",IFERROR(MINIFS(Tickets[Trip Start Time],Tickets[TripKey],A1587),""))</f>
        <v/>
      </c>
    </row>
    <row r="1588">
      <c r="B1588" s="8">
        <f>IF(A1588="","",IFERROR(DATEVALUE(TEXTBEFORE(A1588,"|")),--LEFT(A1588,10)))</f>
        <v/>
      </c>
      <c r="C1588">
        <f>IF(A1588="","",TEXTBEFORE(TEXTAFTER(A1588,"|"),"|"))</f>
        <v/>
      </c>
      <c r="D1588">
        <f>IF(A1588="","",TEXTAFTER(A1588,"|",2))</f>
        <v/>
      </c>
      <c r="E1588">
        <f>IF(A1588="","",SUMIF(Tickets[TripKey],A1588,Tickets[TP]))</f>
        <v/>
      </c>
      <c r="F1588">
        <f>IF(A1588="","",SUMIF(Tickets[TripKey],A1588,Tickets[Revenue]))</f>
        <v/>
      </c>
      <c r="G1588">
        <f>IF(A1588="","",SUMIF(Tickets[TripKey],A1588,Tickets[PK]))</f>
        <v/>
      </c>
      <c r="H1588">
        <f>IF(A1588="","",IFERROR(XLOOKUP(A1588,Tickets[TripKey],Tickets[VehClean]),""))</f>
        <v/>
      </c>
      <c r="I1588">
        <f>IF(A1588="","",IFERROR(XLOOKUP(A1588,Tickets[TripKey],Tickets[RouteLen]),0))</f>
        <v/>
      </c>
      <c r="J1588">
        <f>IF(A1588="","",IFERROR(XLOOKUP(A1588,Tickets[TripKey],Tickets[Capacity]),0))</f>
        <v/>
      </c>
      <c r="K1588">
        <f>IF(A1588="","",I1588*J1588)</f>
        <v/>
      </c>
      <c r="L1588">
        <f>IF(A1588="","",IFERROR(MINIFS(Tickets[Trip Start Time],Tickets[TripKey],A1588),""))</f>
        <v/>
      </c>
    </row>
    <row r="1589">
      <c r="B1589" s="8">
        <f>IF(A1589="","",IFERROR(DATEVALUE(TEXTBEFORE(A1589,"|")),--LEFT(A1589,10)))</f>
        <v/>
      </c>
      <c r="C1589">
        <f>IF(A1589="","",TEXTBEFORE(TEXTAFTER(A1589,"|"),"|"))</f>
        <v/>
      </c>
      <c r="D1589">
        <f>IF(A1589="","",TEXTAFTER(A1589,"|",2))</f>
        <v/>
      </c>
      <c r="E1589">
        <f>IF(A1589="","",SUMIF(Tickets[TripKey],A1589,Tickets[TP]))</f>
        <v/>
      </c>
      <c r="F1589">
        <f>IF(A1589="","",SUMIF(Tickets[TripKey],A1589,Tickets[Revenue]))</f>
        <v/>
      </c>
      <c r="G1589">
        <f>IF(A1589="","",SUMIF(Tickets[TripKey],A1589,Tickets[PK]))</f>
        <v/>
      </c>
      <c r="H1589">
        <f>IF(A1589="","",IFERROR(XLOOKUP(A1589,Tickets[TripKey],Tickets[VehClean]),""))</f>
        <v/>
      </c>
      <c r="I1589">
        <f>IF(A1589="","",IFERROR(XLOOKUP(A1589,Tickets[TripKey],Tickets[RouteLen]),0))</f>
        <v/>
      </c>
      <c r="J1589">
        <f>IF(A1589="","",IFERROR(XLOOKUP(A1589,Tickets[TripKey],Tickets[Capacity]),0))</f>
        <v/>
      </c>
      <c r="K1589">
        <f>IF(A1589="","",I1589*J1589)</f>
        <v/>
      </c>
      <c r="L1589">
        <f>IF(A1589="","",IFERROR(MINIFS(Tickets[Trip Start Time],Tickets[TripKey],A1589),""))</f>
        <v/>
      </c>
    </row>
    <row r="1590">
      <c r="B1590" s="8">
        <f>IF(A1590="","",IFERROR(DATEVALUE(TEXTBEFORE(A1590,"|")),--LEFT(A1590,10)))</f>
        <v/>
      </c>
      <c r="C1590">
        <f>IF(A1590="","",TEXTBEFORE(TEXTAFTER(A1590,"|"),"|"))</f>
        <v/>
      </c>
      <c r="D1590">
        <f>IF(A1590="","",TEXTAFTER(A1590,"|",2))</f>
        <v/>
      </c>
      <c r="E1590">
        <f>IF(A1590="","",SUMIF(Tickets[TripKey],A1590,Tickets[TP]))</f>
        <v/>
      </c>
      <c r="F1590">
        <f>IF(A1590="","",SUMIF(Tickets[TripKey],A1590,Tickets[Revenue]))</f>
        <v/>
      </c>
      <c r="G1590">
        <f>IF(A1590="","",SUMIF(Tickets[TripKey],A1590,Tickets[PK]))</f>
        <v/>
      </c>
      <c r="H1590">
        <f>IF(A1590="","",IFERROR(XLOOKUP(A1590,Tickets[TripKey],Tickets[VehClean]),""))</f>
        <v/>
      </c>
      <c r="I1590">
        <f>IF(A1590="","",IFERROR(XLOOKUP(A1590,Tickets[TripKey],Tickets[RouteLen]),0))</f>
        <v/>
      </c>
      <c r="J1590">
        <f>IF(A1590="","",IFERROR(XLOOKUP(A1590,Tickets[TripKey],Tickets[Capacity]),0))</f>
        <v/>
      </c>
      <c r="K1590">
        <f>IF(A1590="","",I1590*J1590)</f>
        <v/>
      </c>
      <c r="L1590">
        <f>IF(A1590="","",IFERROR(MINIFS(Tickets[Trip Start Time],Tickets[TripKey],A1590),""))</f>
        <v/>
      </c>
    </row>
    <row r="1591">
      <c r="B1591" s="8">
        <f>IF(A1591="","",IFERROR(DATEVALUE(TEXTBEFORE(A1591,"|")),--LEFT(A1591,10)))</f>
        <v/>
      </c>
      <c r="C1591">
        <f>IF(A1591="","",TEXTBEFORE(TEXTAFTER(A1591,"|"),"|"))</f>
        <v/>
      </c>
      <c r="D1591">
        <f>IF(A1591="","",TEXTAFTER(A1591,"|",2))</f>
        <v/>
      </c>
      <c r="E1591">
        <f>IF(A1591="","",SUMIF(Tickets[TripKey],A1591,Tickets[TP]))</f>
        <v/>
      </c>
      <c r="F1591">
        <f>IF(A1591="","",SUMIF(Tickets[TripKey],A1591,Tickets[Revenue]))</f>
        <v/>
      </c>
      <c r="G1591">
        <f>IF(A1591="","",SUMIF(Tickets[TripKey],A1591,Tickets[PK]))</f>
        <v/>
      </c>
      <c r="H1591">
        <f>IF(A1591="","",IFERROR(XLOOKUP(A1591,Tickets[TripKey],Tickets[VehClean]),""))</f>
        <v/>
      </c>
      <c r="I1591">
        <f>IF(A1591="","",IFERROR(XLOOKUP(A1591,Tickets[TripKey],Tickets[RouteLen]),0))</f>
        <v/>
      </c>
      <c r="J1591">
        <f>IF(A1591="","",IFERROR(XLOOKUP(A1591,Tickets[TripKey],Tickets[Capacity]),0))</f>
        <v/>
      </c>
      <c r="K1591">
        <f>IF(A1591="","",I1591*J1591)</f>
        <v/>
      </c>
      <c r="L1591">
        <f>IF(A1591="","",IFERROR(MINIFS(Tickets[Trip Start Time],Tickets[TripKey],A1591),""))</f>
        <v/>
      </c>
    </row>
    <row r="1592">
      <c r="B1592" s="8">
        <f>IF(A1592="","",IFERROR(DATEVALUE(TEXTBEFORE(A1592,"|")),--LEFT(A1592,10)))</f>
        <v/>
      </c>
      <c r="C1592">
        <f>IF(A1592="","",TEXTBEFORE(TEXTAFTER(A1592,"|"),"|"))</f>
        <v/>
      </c>
      <c r="D1592">
        <f>IF(A1592="","",TEXTAFTER(A1592,"|",2))</f>
        <v/>
      </c>
      <c r="E1592">
        <f>IF(A1592="","",SUMIF(Tickets[TripKey],A1592,Tickets[TP]))</f>
        <v/>
      </c>
      <c r="F1592">
        <f>IF(A1592="","",SUMIF(Tickets[TripKey],A1592,Tickets[Revenue]))</f>
        <v/>
      </c>
      <c r="G1592">
        <f>IF(A1592="","",SUMIF(Tickets[TripKey],A1592,Tickets[PK]))</f>
        <v/>
      </c>
      <c r="H1592">
        <f>IF(A1592="","",IFERROR(XLOOKUP(A1592,Tickets[TripKey],Tickets[VehClean]),""))</f>
        <v/>
      </c>
      <c r="I1592">
        <f>IF(A1592="","",IFERROR(XLOOKUP(A1592,Tickets[TripKey],Tickets[RouteLen]),0))</f>
        <v/>
      </c>
      <c r="J1592">
        <f>IF(A1592="","",IFERROR(XLOOKUP(A1592,Tickets[TripKey],Tickets[Capacity]),0))</f>
        <v/>
      </c>
      <c r="K1592">
        <f>IF(A1592="","",I1592*J1592)</f>
        <v/>
      </c>
      <c r="L1592">
        <f>IF(A1592="","",IFERROR(MINIFS(Tickets[Trip Start Time],Tickets[TripKey],A1592),""))</f>
        <v/>
      </c>
    </row>
    <row r="1593">
      <c r="B1593" s="8">
        <f>IF(A1593="","",IFERROR(DATEVALUE(TEXTBEFORE(A1593,"|")),--LEFT(A1593,10)))</f>
        <v/>
      </c>
      <c r="C1593">
        <f>IF(A1593="","",TEXTBEFORE(TEXTAFTER(A1593,"|"),"|"))</f>
        <v/>
      </c>
      <c r="D1593">
        <f>IF(A1593="","",TEXTAFTER(A1593,"|",2))</f>
        <v/>
      </c>
      <c r="E1593">
        <f>IF(A1593="","",SUMIF(Tickets[TripKey],A1593,Tickets[TP]))</f>
        <v/>
      </c>
      <c r="F1593">
        <f>IF(A1593="","",SUMIF(Tickets[TripKey],A1593,Tickets[Revenue]))</f>
        <v/>
      </c>
      <c r="G1593">
        <f>IF(A1593="","",SUMIF(Tickets[TripKey],A1593,Tickets[PK]))</f>
        <v/>
      </c>
      <c r="H1593">
        <f>IF(A1593="","",IFERROR(XLOOKUP(A1593,Tickets[TripKey],Tickets[VehClean]),""))</f>
        <v/>
      </c>
      <c r="I1593">
        <f>IF(A1593="","",IFERROR(XLOOKUP(A1593,Tickets[TripKey],Tickets[RouteLen]),0))</f>
        <v/>
      </c>
      <c r="J1593">
        <f>IF(A1593="","",IFERROR(XLOOKUP(A1593,Tickets[TripKey],Tickets[Capacity]),0))</f>
        <v/>
      </c>
      <c r="K1593">
        <f>IF(A1593="","",I1593*J1593)</f>
        <v/>
      </c>
      <c r="L1593">
        <f>IF(A1593="","",IFERROR(MINIFS(Tickets[Trip Start Time],Tickets[TripKey],A1593),""))</f>
        <v/>
      </c>
    </row>
    <row r="1594">
      <c r="B1594" s="8">
        <f>IF(A1594="","",IFERROR(DATEVALUE(TEXTBEFORE(A1594,"|")),--LEFT(A1594,10)))</f>
        <v/>
      </c>
      <c r="C1594">
        <f>IF(A1594="","",TEXTBEFORE(TEXTAFTER(A1594,"|"),"|"))</f>
        <v/>
      </c>
      <c r="D1594">
        <f>IF(A1594="","",TEXTAFTER(A1594,"|",2))</f>
        <v/>
      </c>
      <c r="E1594">
        <f>IF(A1594="","",SUMIF(Tickets[TripKey],A1594,Tickets[TP]))</f>
        <v/>
      </c>
      <c r="F1594">
        <f>IF(A1594="","",SUMIF(Tickets[TripKey],A1594,Tickets[Revenue]))</f>
        <v/>
      </c>
      <c r="G1594">
        <f>IF(A1594="","",SUMIF(Tickets[TripKey],A1594,Tickets[PK]))</f>
        <v/>
      </c>
      <c r="H1594">
        <f>IF(A1594="","",IFERROR(XLOOKUP(A1594,Tickets[TripKey],Tickets[VehClean]),""))</f>
        <v/>
      </c>
      <c r="I1594">
        <f>IF(A1594="","",IFERROR(XLOOKUP(A1594,Tickets[TripKey],Tickets[RouteLen]),0))</f>
        <v/>
      </c>
      <c r="J1594">
        <f>IF(A1594="","",IFERROR(XLOOKUP(A1594,Tickets[TripKey],Tickets[Capacity]),0))</f>
        <v/>
      </c>
      <c r="K1594">
        <f>IF(A1594="","",I1594*J1594)</f>
        <v/>
      </c>
      <c r="L1594">
        <f>IF(A1594="","",IFERROR(MINIFS(Tickets[Trip Start Time],Tickets[TripKey],A1594),""))</f>
        <v/>
      </c>
    </row>
    <row r="1595">
      <c r="B1595" s="8">
        <f>IF(A1595="","",IFERROR(DATEVALUE(TEXTBEFORE(A1595,"|")),--LEFT(A1595,10)))</f>
        <v/>
      </c>
      <c r="C1595">
        <f>IF(A1595="","",TEXTBEFORE(TEXTAFTER(A1595,"|"),"|"))</f>
        <v/>
      </c>
      <c r="D1595">
        <f>IF(A1595="","",TEXTAFTER(A1595,"|",2))</f>
        <v/>
      </c>
      <c r="E1595">
        <f>IF(A1595="","",SUMIF(Tickets[TripKey],A1595,Tickets[TP]))</f>
        <v/>
      </c>
      <c r="F1595">
        <f>IF(A1595="","",SUMIF(Tickets[TripKey],A1595,Tickets[Revenue]))</f>
        <v/>
      </c>
      <c r="G1595">
        <f>IF(A1595="","",SUMIF(Tickets[TripKey],A1595,Tickets[PK]))</f>
        <v/>
      </c>
      <c r="H1595">
        <f>IF(A1595="","",IFERROR(XLOOKUP(A1595,Tickets[TripKey],Tickets[VehClean]),""))</f>
        <v/>
      </c>
      <c r="I1595">
        <f>IF(A1595="","",IFERROR(XLOOKUP(A1595,Tickets[TripKey],Tickets[RouteLen]),0))</f>
        <v/>
      </c>
      <c r="J1595">
        <f>IF(A1595="","",IFERROR(XLOOKUP(A1595,Tickets[TripKey],Tickets[Capacity]),0))</f>
        <v/>
      </c>
      <c r="K1595">
        <f>IF(A1595="","",I1595*J1595)</f>
        <v/>
      </c>
      <c r="L1595">
        <f>IF(A1595="","",IFERROR(MINIFS(Tickets[Trip Start Time],Tickets[TripKey],A1595),""))</f>
        <v/>
      </c>
    </row>
    <row r="1596">
      <c r="B1596" s="8">
        <f>IF(A1596="","",IFERROR(DATEVALUE(TEXTBEFORE(A1596,"|")),--LEFT(A1596,10)))</f>
        <v/>
      </c>
      <c r="C1596">
        <f>IF(A1596="","",TEXTBEFORE(TEXTAFTER(A1596,"|"),"|"))</f>
        <v/>
      </c>
      <c r="D1596">
        <f>IF(A1596="","",TEXTAFTER(A1596,"|",2))</f>
        <v/>
      </c>
      <c r="E1596">
        <f>IF(A1596="","",SUMIF(Tickets[TripKey],A1596,Tickets[TP]))</f>
        <v/>
      </c>
      <c r="F1596">
        <f>IF(A1596="","",SUMIF(Tickets[TripKey],A1596,Tickets[Revenue]))</f>
        <v/>
      </c>
      <c r="G1596">
        <f>IF(A1596="","",SUMIF(Tickets[TripKey],A1596,Tickets[PK]))</f>
        <v/>
      </c>
      <c r="H1596">
        <f>IF(A1596="","",IFERROR(XLOOKUP(A1596,Tickets[TripKey],Tickets[VehClean]),""))</f>
        <v/>
      </c>
      <c r="I1596">
        <f>IF(A1596="","",IFERROR(XLOOKUP(A1596,Tickets[TripKey],Tickets[RouteLen]),0))</f>
        <v/>
      </c>
      <c r="J1596">
        <f>IF(A1596="","",IFERROR(XLOOKUP(A1596,Tickets[TripKey],Tickets[Capacity]),0))</f>
        <v/>
      </c>
      <c r="K1596">
        <f>IF(A1596="","",I1596*J1596)</f>
        <v/>
      </c>
      <c r="L1596">
        <f>IF(A1596="","",IFERROR(MINIFS(Tickets[Trip Start Time],Tickets[TripKey],A1596),""))</f>
        <v/>
      </c>
    </row>
    <row r="1597">
      <c r="B1597" s="8">
        <f>IF(A1597="","",IFERROR(DATEVALUE(TEXTBEFORE(A1597,"|")),--LEFT(A1597,10)))</f>
        <v/>
      </c>
      <c r="C1597">
        <f>IF(A1597="","",TEXTBEFORE(TEXTAFTER(A1597,"|"),"|"))</f>
        <v/>
      </c>
      <c r="D1597">
        <f>IF(A1597="","",TEXTAFTER(A1597,"|",2))</f>
        <v/>
      </c>
      <c r="E1597">
        <f>IF(A1597="","",SUMIF(Tickets[TripKey],A1597,Tickets[TP]))</f>
        <v/>
      </c>
      <c r="F1597">
        <f>IF(A1597="","",SUMIF(Tickets[TripKey],A1597,Tickets[Revenue]))</f>
        <v/>
      </c>
      <c r="G1597">
        <f>IF(A1597="","",SUMIF(Tickets[TripKey],A1597,Tickets[PK]))</f>
        <v/>
      </c>
      <c r="H1597">
        <f>IF(A1597="","",IFERROR(XLOOKUP(A1597,Tickets[TripKey],Tickets[VehClean]),""))</f>
        <v/>
      </c>
      <c r="I1597">
        <f>IF(A1597="","",IFERROR(XLOOKUP(A1597,Tickets[TripKey],Tickets[RouteLen]),0))</f>
        <v/>
      </c>
      <c r="J1597">
        <f>IF(A1597="","",IFERROR(XLOOKUP(A1597,Tickets[TripKey],Tickets[Capacity]),0))</f>
        <v/>
      </c>
      <c r="K1597">
        <f>IF(A1597="","",I1597*J1597)</f>
        <v/>
      </c>
      <c r="L1597">
        <f>IF(A1597="","",IFERROR(MINIFS(Tickets[Trip Start Time],Tickets[TripKey],A1597),""))</f>
        <v/>
      </c>
    </row>
    <row r="1598">
      <c r="B1598" s="8">
        <f>IF(A1598="","",IFERROR(DATEVALUE(TEXTBEFORE(A1598,"|")),--LEFT(A1598,10)))</f>
        <v/>
      </c>
      <c r="C1598">
        <f>IF(A1598="","",TEXTBEFORE(TEXTAFTER(A1598,"|"),"|"))</f>
        <v/>
      </c>
      <c r="D1598">
        <f>IF(A1598="","",TEXTAFTER(A1598,"|",2))</f>
        <v/>
      </c>
      <c r="E1598">
        <f>IF(A1598="","",SUMIF(Tickets[TripKey],A1598,Tickets[TP]))</f>
        <v/>
      </c>
      <c r="F1598">
        <f>IF(A1598="","",SUMIF(Tickets[TripKey],A1598,Tickets[Revenue]))</f>
        <v/>
      </c>
      <c r="G1598">
        <f>IF(A1598="","",SUMIF(Tickets[TripKey],A1598,Tickets[PK]))</f>
        <v/>
      </c>
      <c r="H1598">
        <f>IF(A1598="","",IFERROR(XLOOKUP(A1598,Tickets[TripKey],Tickets[VehClean]),""))</f>
        <v/>
      </c>
      <c r="I1598">
        <f>IF(A1598="","",IFERROR(XLOOKUP(A1598,Tickets[TripKey],Tickets[RouteLen]),0))</f>
        <v/>
      </c>
      <c r="J1598">
        <f>IF(A1598="","",IFERROR(XLOOKUP(A1598,Tickets[TripKey],Tickets[Capacity]),0))</f>
        <v/>
      </c>
      <c r="K1598">
        <f>IF(A1598="","",I1598*J1598)</f>
        <v/>
      </c>
      <c r="L1598">
        <f>IF(A1598="","",IFERROR(MINIFS(Tickets[Trip Start Time],Tickets[TripKey],A1598),""))</f>
        <v/>
      </c>
    </row>
    <row r="1599">
      <c r="B1599" s="8">
        <f>IF(A1599="","",IFERROR(DATEVALUE(TEXTBEFORE(A1599,"|")),--LEFT(A1599,10)))</f>
        <v/>
      </c>
      <c r="C1599">
        <f>IF(A1599="","",TEXTBEFORE(TEXTAFTER(A1599,"|"),"|"))</f>
        <v/>
      </c>
      <c r="D1599">
        <f>IF(A1599="","",TEXTAFTER(A1599,"|",2))</f>
        <v/>
      </c>
      <c r="E1599">
        <f>IF(A1599="","",SUMIF(Tickets[TripKey],A1599,Tickets[TP]))</f>
        <v/>
      </c>
      <c r="F1599">
        <f>IF(A1599="","",SUMIF(Tickets[TripKey],A1599,Tickets[Revenue]))</f>
        <v/>
      </c>
      <c r="G1599">
        <f>IF(A1599="","",SUMIF(Tickets[TripKey],A1599,Tickets[PK]))</f>
        <v/>
      </c>
      <c r="H1599">
        <f>IF(A1599="","",IFERROR(XLOOKUP(A1599,Tickets[TripKey],Tickets[VehClean]),""))</f>
        <v/>
      </c>
      <c r="I1599">
        <f>IF(A1599="","",IFERROR(XLOOKUP(A1599,Tickets[TripKey],Tickets[RouteLen]),0))</f>
        <v/>
      </c>
      <c r="J1599">
        <f>IF(A1599="","",IFERROR(XLOOKUP(A1599,Tickets[TripKey],Tickets[Capacity]),0))</f>
        <v/>
      </c>
      <c r="K1599">
        <f>IF(A1599="","",I1599*J1599)</f>
        <v/>
      </c>
      <c r="L1599">
        <f>IF(A1599="","",IFERROR(MINIFS(Tickets[Trip Start Time],Tickets[TripKey],A1599),""))</f>
        <v/>
      </c>
    </row>
    <row r="1600">
      <c r="B1600" s="8">
        <f>IF(A1600="","",IFERROR(DATEVALUE(TEXTBEFORE(A1600,"|")),--LEFT(A1600,10)))</f>
        <v/>
      </c>
      <c r="C1600">
        <f>IF(A1600="","",TEXTBEFORE(TEXTAFTER(A1600,"|"),"|"))</f>
        <v/>
      </c>
      <c r="D1600">
        <f>IF(A1600="","",TEXTAFTER(A1600,"|",2))</f>
        <v/>
      </c>
      <c r="E1600">
        <f>IF(A1600="","",SUMIF(Tickets[TripKey],A1600,Tickets[TP]))</f>
        <v/>
      </c>
      <c r="F1600">
        <f>IF(A1600="","",SUMIF(Tickets[TripKey],A1600,Tickets[Revenue]))</f>
        <v/>
      </c>
      <c r="G1600">
        <f>IF(A1600="","",SUMIF(Tickets[TripKey],A1600,Tickets[PK]))</f>
        <v/>
      </c>
      <c r="H1600">
        <f>IF(A1600="","",IFERROR(XLOOKUP(A1600,Tickets[TripKey],Tickets[VehClean]),""))</f>
        <v/>
      </c>
      <c r="I1600">
        <f>IF(A1600="","",IFERROR(XLOOKUP(A1600,Tickets[TripKey],Tickets[RouteLen]),0))</f>
        <v/>
      </c>
      <c r="J1600">
        <f>IF(A1600="","",IFERROR(XLOOKUP(A1600,Tickets[TripKey],Tickets[Capacity]),0))</f>
        <v/>
      </c>
      <c r="K1600">
        <f>IF(A1600="","",I1600*J1600)</f>
        <v/>
      </c>
      <c r="L1600">
        <f>IF(A1600="","",IFERROR(MINIFS(Tickets[Trip Start Time],Tickets[TripKey],A1600),""))</f>
        <v/>
      </c>
    </row>
    <row r="1601">
      <c r="B1601" s="8">
        <f>IF(A1601="","",IFERROR(DATEVALUE(TEXTBEFORE(A1601,"|")),--LEFT(A1601,10)))</f>
        <v/>
      </c>
      <c r="C1601">
        <f>IF(A1601="","",TEXTBEFORE(TEXTAFTER(A1601,"|"),"|"))</f>
        <v/>
      </c>
      <c r="D1601">
        <f>IF(A1601="","",TEXTAFTER(A1601,"|",2))</f>
        <v/>
      </c>
      <c r="E1601">
        <f>IF(A1601="","",SUMIF(Tickets[TripKey],A1601,Tickets[TP]))</f>
        <v/>
      </c>
      <c r="F1601">
        <f>IF(A1601="","",SUMIF(Tickets[TripKey],A1601,Tickets[Revenue]))</f>
        <v/>
      </c>
      <c r="G1601">
        <f>IF(A1601="","",SUMIF(Tickets[TripKey],A1601,Tickets[PK]))</f>
        <v/>
      </c>
      <c r="H1601">
        <f>IF(A1601="","",IFERROR(XLOOKUP(A1601,Tickets[TripKey],Tickets[VehClean]),""))</f>
        <v/>
      </c>
      <c r="I1601">
        <f>IF(A1601="","",IFERROR(XLOOKUP(A1601,Tickets[TripKey],Tickets[RouteLen]),0))</f>
        <v/>
      </c>
      <c r="J1601">
        <f>IF(A1601="","",IFERROR(XLOOKUP(A1601,Tickets[TripKey],Tickets[Capacity]),0))</f>
        <v/>
      </c>
      <c r="K1601">
        <f>IF(A1601="","",I1601*J1601)</f>
        <v/>
      </c>
      <c r="L1601">
        <f>IF(A1601="","",IFERROR(MINIFS(Tickets[Trip Start Time],Tickets[TripKey],A1601),""))</f>
        <v/>
      </c>
    </row>
    <row r="1602">
      <c r="B1602" s="8">
        <f>IF(A1602="","",IFERROR(DATEVALUE(TEXTBEFORE(A1602,"|")),--LEFT(A1602,10)))</f>
        <v/>
      </c>
      <c r="C1602">
        <f>IF(A1602="","",TEXTBEFORE(TEXTAFTER(A1602,"|"),"|"))</f>
        <v/>
      </c>
      <c r="D1602">
        <f>IF(A1602="","",TEXTAFTER(A1602,"|",2))</f>
        <v/>
      </c>
      <c r="E1602">
        <f>IF(A1602="","",SUMIF(Tickets[TripKey],A1602,Tickets[TP]))</f>
        <v/>
      </c>
      <c r="F1602">
        <f>IF(A1602="","",SUMIF(Tickets[TripKey],A1602,Tickets[Revenue]))</f>
        <v/>
      </c>
      <c r="G1602">
        <f>IF(A1602="","",SUMIF(Tickets[TripKey],A1602,Tickets[PK]))</f>
        <v/>
      </c>
      <c r="H1602">
        <f>IF(A1602="","",IFERROR(XLOOKUP(A1602,Tickets[TripKey],Tickets[VehClean]),""))</f>
        <v/>
      </c>
      <c r="I1602">
        <f>IF(A1602="","",IFERROR(XLOOKUP(A1602,Tickets[TripKey],Tickets[RouteLen]),0))</f>
        <v/>
      </c>
      <c r="J1602">
        <f>IF(A1602="","",IFERROR(XLOOKUP(A1602,Tickets[TripKey],Tickets[Capacity]),0))</f>
        <v/>
      </c>
      <c r="K1602">
        <f>IF(A1602="","",I1602*J1602)</f>
        <v/>
      </c>
      <c r="L1602">
        <f>IF(A1602="","",IFERROR(MINIFS(Tickets[Trip Start Time],Tickets[TripKey],A1602),""))</f>
        <v/>
      </c>
    </row>
    <row r="1603">
      <c r="B1603" s="8">
        <f>IF(A1603="","",IFERROR(DATEVALUE(TEXTBEFORE(A1603,"|")),--LEFT(A1603,10)))</f>
        <v/>
      </c>
      <c r="C1603">
        <f>IF(A1603="","",TEXTBEFORE(TEXTAFTER(A1603,"|"),"|"))</f>
        <v/>
      </c>
      <c r="D1603">
        <f>IF(A1603="","",TEXTAFTER(A1603,"|",2))</f>
        <v/>
      </c>
      <c r="E1603">
        <f>IF(A1603="","",SUMIF(Tickets[TripKey],A1603,Tickets[TP]))</f>
        <v/>
      </c>
      <c r="F1603">
        <f>IF(A1603="","",SUMIF(Tickets[TripKey],A1603,Tickets[Revenue]))</f>
        <v/>
      </c>
      <c r="G1603">
        <f>IF(A1603="","",SUMIF(Tickets[TripKey],A1603,Tickets[PK]))</f>
        <v/>
      </c>
      <c r="H1603">
        <f>IF(A1603="","",IFERROR(XLOOKUP(A1603,Tickets[TripKey],Tickets[VehClean]),""))</f>
        <v/>
      </c>
      <c r="I1603">
        <f>IF(A1603="","",IFERROR(XLOOKUP(A1603,Tickets[TripKey],Tickets[RouteLen]),0))</f>
        <v/>
      </c>
      <c r="J1603">
        <f>IF(A1603="","",IFERROR(XLOOKUP(A1603,Tickets[TripKey],Tickets[Capacity]),0))</f>
        <v/>
      </c>
      <c r="K1603">
        <f>IF(A1603="","",I1603*J1603)</f>
        <v/>
      </c>
      <c r="L1603">
        <f>IF(A1603="","",IFERROR(MINIFS(Tickets[Trip Start Time],Tickets[TripKey],A1603),""))</f>
        <v/>
      </c>
    </row>
    <row r="1604">
      <c r="B1604" s="8">
        <f>IF(A1604="","",IFERROR(DATEVALUE(TEXTBEFORE(A1604,"|")),--LEFT(A1604,10)))</f>
        <v/>
      </c>
      <c r="C1604">
        <f>IF(A1604="","",TEXTBEFORE(TEXTAFTER(A1604,"|"),"|"))</f>
        <v/>
      </c>
      <c r="D1604">
        <f>IF(A1604="","",TEXTAFTER(A1604,"|",2))</f>
        <v/>
      </c>
      <c r="E1604">
        <f>IF(A1604="","",SUMIF(Tickets[TripKey],A1604,Tickets[TP]))</f>
        <v/>
      </c>
      <c r="F1604">
        <f>IF(A1604="","",SUMIF(Tickets[TripKey],A1604,Tickets[Revenue]))</f>
        <v/>
      </c>
      <c r="G1604">
        <f>IF(A1604="","",SUMIF(Tickets[TripKey],A1604,Tickets[PK]))</f>
        <v/>
      </c>
      <c r="H1604">
        <f>IF(A1604="","",IFERROR(XLOOKUP(A1604,Tickets[TripKey],Tickets[VehClean]),""))</f>
        <v/>
      </c>
      <c r="I1604">
        <f>IF(A1604="","",IFERROR(XLOOKUP(A1604,Tickets[TripKey],Tickets[RouteLen]),0))</f>
        <v/>
      </c>
      <c r="J1604">
        <f>IF(A1604="","",IFERROR(XLOOKUP(A1604,Tickets[TripKey],Tickets[Capacity]),0))</f>
        <v/>
      </c>
      <c r="K1604">
        <f>IF(A1604="","",I1604*J1604)</f>
        <v/>
      </c>
      <c r="L1604">
        <f>IF(A1604="","",IFERROR(MINIFS(Tickets[Trip Start Time],Tickets[TripKey],A1604),""))</f>
        <v/>
      </c>
    </row>
    <row r="1605">
      <c r="B1605" s="8">
        <f>IF(A1605="","",IFERROR(DATEVALUE(TEXTBEFORE(A1605,"|")),--LEFT(A1605,10)))</f>
        <v/>
      </c>
      <c r="C1605">
        <f>IF(A1605="","",TEXTBEFORE(TEXTAFTER(A1605,"|"),"|"))</f>
        <v/>
      </c>
      <c r="D1605">
        <f>IF(A1605="","",TEXTAFTER(A1605,"|",2))</f>
        <v/>
      </c>
      <c r="E1605">
        <f>IF(A1605="","",SUMIF(Tickets[TripKey],A1605,Tickets[TP]))</f>
        <v/>
      </c>
      <c r="F1605">
        <f>IF(A1605="","",SUMIF(Tickets[TripKey],A1605,Tickets[Revenue]))</f>
        <v/>
      </c>
      <c r="G1605">
        <f>IF(A1605="","",SUMIF(Tickets[TripKey],A1605,Tickets[PK]))</f>
        <v/>
      </c>
      <c r="H1605">
        <f>IF(A1605="","",IFERROR(XLOOKUP(A1605,Tickets[TripKey],Tickets[VehClean]),""))</f>
        <v/>
      </c>
      <c r="I1605">
        <f>IF(A1605="","",IFERROR(XLOOKUP(A1605,Tickets[TripKey],Tickets[RouteLen]),0))</f>
        <v/>
      </c>
      <c r="J1605">
        <f>IF(A1605="","",IFERROR(XLOOKUP(A1605,Tickets[TripKey],Tickets[Capacity]),0))</f>
        <v/>
      </c>
      <c r="K1605">
        <f>IF(A1605="","",I1605*J1605)</f>
        <v/>
      </c>
      <c r="L1605">
        <f>IF(A1605="","",IFERROR(MINIFS(Tickets[Trip Start Time],Tickets[TripKey],A1605),""))</f>
        <v/>
      </c>
    </row>
    <row r="1606">
      <c r="B1606" s="8">
        <f>IF(A1606="","",IFERROR(DATEVALUE(TEXTBEFORE(A1606,"|")),--LEFT(A1606,10)))</f>
        <v/>
      </c>
      <c r="C1606">
        <f>IF(A1606="","",TEXTBEFORE(TEXTAFTER(A1606,"|"),"|"))</f>
        <v/>
      </c>
      <c r="D1606">
        <f>IF(A1606="","",TEXTAFTER(A1606,"|",2))</f>
        <v/>
      </c>
      <c r="E1606">
        <f>IF(A1606="","",SUMIF(Tickets[TripKey],A1606,Tickets[TP]))</f>
        <v/>
      </c>
      <c r="F1606">
        <f>IF(A1606="","",SUMIF(Tickets[TripKey],A1606,Tickets[Revenue]))</f>
        <v/>
      </c>
      <c r="G1606">
        <f>IF(A1606="","",SUMIF(Tickets[TripKey],A1606,Tickets[PK]))</f>
        <v/>
      </c>
      <c r="H1606">
        <f>IF(A1606="","",IFERROR(XLOOKUP(A1606,Tickets[TripKey],Tickets[VehClean]),""))</f>
        <v/>
      </c>
      <c r="I1606">
        <f>IF(A1606="","",IFERROR(XLOOKUP(A1606,Tickets[TripKey],Tickets[RouteLen]),0))</f>
        <v/>
      </c>
      <c r="J1606">
        <f>IF(A1606="","",IFERROR(XLOOKUP(A1606,Tickets[TripKey],Tickets[Capacity]),0))</f>
        <v/>
      </c>
      <c r="K1606">
        <f>IF(A1606="","",I1606*J1606)</f>
        <v/>
      </c>
      <c r="L1606">
        <f>IF(A1606="","",IFERROR(MINIFS(Tickets[Trip Start Time],Tickets[TripKey],A1606),""))</f>
        <v/>
      </c>
    </row>
    <row r="1607">
      <c r="B1607" s="8">
        <f>IF(A1607="","",IFERROR(DATEVALUE(TEXTBEFORE(A1607,"|")),--LEFT(A1607,10)))</f>
        <v/>
      </c>
      <c r="C1607">
        <f>IF(A1607="","",TEXTBEFORE(TEXTAFTER(A1607,"|"),"|"))</f>
        <v/>
      </c>
      <c r="D1607">
        <f>IF(A1607="","",TEXTAFTER(A1607,"|",2))</f>
        <v/>
      </c>
      <c r="E1607">
        <f>IF(A1607="","",SUMIF(Tickets[TripKey],A1607,Tickets[TP]))</f>
        <v/>
      </c>
      <c r="F1607">
        <f>IF(A1607="","",SUMIF(Tickets[TripKey],A1607,Tickets[Revenue]))</f>
        <v/>
      </c>
      <c r="G1607">
        <f>IF(A1607="","",SUMIF(Tickets[TripKey],A1607,Tickets[PK]))</f>
        <v/>
      </c>
      <c r="H1607">
        <f>IF(A1607="","",IFERROR(XLOOKUP(A1607,Tickets[TripKey],Tickets[VehClean]),""))</f>
        <v/>
      </c>
      <c r="I1607">
        <f>IF(A1607="","",IFERROR(XLOOKUP(A1607,Tickets[TripKey],Tickets[RouteLen]),0))</f>
        <v/>
      </c>
      <c r="J1607">
        <f>IF(A1607="","",IFERROR(XLOOKUP(A1607,Tickets[TripKey],Tickets[Capacity]),0))</f>
        <v/>
      </c>
      <c r="K1607">
        <f>IF(A1607="","",I1607*J1607)</f>
        <v/>
      </c>
      <c r="L1607">
        <f>IF(A1607="","",IFERROR(MINIFS(Tickets[Trip Start Time],Tickets[TripKey],A1607),""))</f>
        <v/>
      </c>
    </row>
    <row r="1608">
      <c r="B1608" s="8">
        <f>IF(A1608="","",IFERROR(DATEVALUE(TEXTBEFORE(A1608,"|")),--LEFT(A1608,10)))</f>
        <v/>
      </c>
      <c r="C1608">
        <f>IF(A1608="","",TEXTBEFORE(TEXTAFTER(A1608,"|"),"|"))</f>
        <v/>
      </c>
      <c r="D1608">
        <f>IF(A1608="","",TEXTAFTER(A1608,"|",2))</f>
        <v/>
      </c>
      <c r="E1608">
        <f>IF(A1608="","",SUMIF(Tickets[TripKey],A1608,Tickets[TP]))</f>
        <v/>
      </c>
      <c r="F1608">
        <f>IF(A1608="","",SUMIF(Tickets[TripKey],A1608,Tickets[Revenue]))</f>
        <v/>
      </c>
      <c r="G1608">
        <f>IF(A1608="","",SUMIF(Tickets[TripKey],A1608,Tickets[PK]))</f>
        <v/>
      </c>
      <c r="H1608">
        <f>IF(A1608="","",IFERROR(XLOOKUP(A1608,Tickets[TripKey],Tickets[VehClean]),""))</f>
        <v/>
      </c>
      <c r="I1608">
        <f>IF(A1608="","",IFERROR(XLOOKUP(A1608,Tickets[TripKey],Tickets[RouteLen]),0))</f>
        <v/>
      </c>
      <c r="J1608">
        <f>IF(A1608="","",IFERROR(XLOOKUP(A1608,Tickets[TripKey],Tickets[Capacity]),0))</f>
        <v/>
      </c>
      <c r="K1608">
        <f>IF(A1608="","",I1608*J1608)</f>
        <v/>
      </c>
      <c r="L1608">
        <f>IF(A1608="","",IFERROR(MINIFS(Tickets[Trip Start Time],Tickets[TripKey],A1608),""))</f>
        <v/>
      </c>
    </row>
    <row r="1609">
      <c r="B1609" s="8">
        <f>IF(A1609="","",IFERROR(DATEVALUE(TEXTBEFORE(A1609,"|")),--LEFT(A1609,10)))</f>
        <v/>
      </c>
      <c r="C1609">
        <f>IF(A1609="","",TEXTBEFORE(TEXTAFTER(A1609,"|"),"|"))</f>
        <v/>
      </c>
      <c r="D1609">
        <f>IF(A1609="","",TEXTAFTER(A1609,"|",2))</f>
        <v/>
      </c>
      <c r="E1609">
        <f>IF(A1609="","",SUMIF(Tickets[TripKey],A1609,Tickets[TP]))</f>
        <v/>
      </c>
      <c r="F1609">
        <f>IF(A1609="","",SUMIF(Tickets[TripKey],A1609,Tickets[Revenue]))</f>
        <v/>
      </c>
      <c r="G1609">
        <f>IF(A1609="","",SUMIF(Tickets[TripKey],A1609,Tickets[PK]))</f>
        <v/>
      </c>
      <c r="H1609">
        <f>IF(A1609="","",IFERROR(XLOOKUP(A1609,Tickets[TripKey],Tickets[VehClean]),""))</f>
        <v/>
      </c>
      <c r="I1609">
        <f>IF(A1609="","",IFERROR(XLOOKUP(A1609,Tickets[TripKey],Tickets[RouteLen]),0))</f>
        <v/>
      </c>
      <c r="J1609">
        <f>IF(A1609="","",IFERROR(XLOOKUP(A1609,Tickets[TripKey],Tickets[Capacity]),0))</f>
        <v/>
      </c>
      <c r="K1609">
        <f>IF(A1609="","",I1609*J1609)</f>
        <v/>
      </c>
      <c r="L1609">
        <f>IF(A1609="","",IFERROR(MINIFS(Tickets[Trip Start Time],Tickets[TripKey],A1609),""))</f>
        <v/>
      </c>
    </row>
    <row r="1610">
      <c r="B1610" s="8">
        <f>IF(A1610="","",IFERROR(DATEVALUE(TEXTBEFORE(A1610,"|")),--LEFT(A1610,10)))</f>
        <v/>
      </c>
      <c r="C1610">
        <f>IF(A1610="","",TEXTBEFORE(TEXTAFTER(A1610,"|"),"|"))</f>
        <v/>
      </c>
      <c r="D1610">
        <f>IF(A1610="","",TEXTAFTER(A1610,"|",2))</f>
        <v/>
      </c>
      <c r="E1610">
        <f>IF(A1610="","",SUMIF(Tickets[TripKey],A1610,Tickets[TP]))</f>
        <v/>
      </c>
      <c r="F1610">
        <f>IF(A1610="","",SUMIF(Tickets[TripKey],A1610,Tickets[Revenue]))</f>
        <v/>
      </c>
      <c r="G1610">
        <f>IF(A1610="","",SUMIF(Tickets[TripKey],A1610,Tickets[PK]))</f>
        <v/>
      </c>
      <c r="H1610">
        <f>IF(A1610="","",IFERROR(XLOOKUP(A1610,Tickets[TripKey],Tickets[VehClean]),""))</f>
        <v/>
      </c>
      <c r="I1610">
        <f>IF(A1610="","",IFERROR(XLOOKUP(A1610,Tickets[TripKey],Tickets[RouteLen]),0))</f>
        <v/>
      </c>
      <c r="J1610">
        <f>IF(A1610="","",IFERROR(XLOOKUP(A1610,Tickets[TripKey],Tickets[Capacity]),0))</f>
        <v/>
      </c>
      <c r="K1610">
        <f>IF(A1610="","",I1610*J1610)</f>
        <v/>
      </c>
      <c r="L1610">
        <f>IF(A1610="","",IFERROR(MINIFS(Tickets[Trip Start Time],Tickets[TripKey],A1610),""))</f>
        <v/>
      </c>
    </row>
    <row r="1611">
      <c r="B1611" s="8">
        <f>IF(A1611="","",IFERROR(DATEVALUE(TEXTBEFORE(A1611,"|")),--LEFT(A1611,10)))</f>
        <v/>
      </c>
      <c r="C1611">
        <f>IF(A1611="","",TEXTBEFORE(TEXTAFTER(A1611,"|"),"|"))</f>
        <v/>
      </c>
      <c r="D1611">
        <f>IF(A1611="","",TEXTAFTER(A1611,"|",2))</f>
        <v/>
      </c>
      <c r="E1611">
        <f>IF(A1611="","",SUMIF(Tickets[TripKey],A1611,Tickets[TP]))</f>
        <v/>
      </c>
      <c r="F1611">
        <f>IF(A1611="","",SUMIF(Tickets[TripKey],A1611,Tickets[Revenue]))</f>
        <v/>
      </c>
      <c r="G1611">
        <f>IF(A1611="","",SUMIF(Tickets[TripKey],A1611,Tickets[PK]))</f>
        <v/>
      </c>
      <c r="H1611">
        <f>IF(A1611="","",IFERROR(XLOOKUP(A1611,Tickets[TripKey],Tickets[VehClean]),""))</f>
        <v/>
      </c>
      <c r="I1611">
        <f>IF(A1611="","",IFERROR(XLOOKUP(A1611,Tickets[TripKey],Tickets[RouteLen]),0))</f>
        <v/>
      </c>
      <c r="J1611">
        <f>IF(A1611="","",IFERROR(XLOOKUP(A1611,Tickets[TripKey],Tickets[Capacity]),0))</f>
        <v/>
      </c>
      <c r="K1611">
        <f>IF(A1611="","",I1611*J1611)</f>
        <v/>
      </c>
      <c r="L1611">
        <f>IF(A1611="","",IFERROR(MINIFS(Tickets[Trip Start Time],Tickets[TripKey],A1611),""))</f>
        <v/>
      </c>
    </row>
    <row r="1612">
      <c r="B1612" s="8">
        <f>IF(A1612="","",IFERROR(DATEVALUE(TEXTBEFORE(A1612,"|")),--LEFT(A1612,10)))</f>
        <v/>
      </c>
      <c r="C1612">
        <f>IF(A1612="","",TEXTBEFORE(TEXTAFTER(A1612,"|"),"|"))</f>
        <v/>
      </c>
      <c r="D1612">
        <f>IF(A1612="","",TEXTAFTER(A1612,"|",2))</f>
        <v/>
      </c>
      <c r="E1612">
        <f>IF(A1612="","",SUMIF(Tickets[TripKey],A1612,Tickets[TP]))</f>
        <v/>
      </c>
      <c r="F1612">
        <f>IF(A1612="","",SUMIF(Tickets[TripKey],A1612,Tickets[Revenue]))</f>
        <v/>
      </c>
      <c r="G1612">
        <f>IF(A1612="","",SUMIF(Tickets[TripKey],A1612,Tickets[PK]))</f>
        <v/>
      </c>
      <c r="H1612">
        <f>IF(A1612="","",IFERROR(XLOOKUP(A1612,Tickets[TripKey],Tickets[VehClean]),""))</f>
        <v/>
      </c>
      <c r="I1612">
        <f>IF(A1612="","",IFERROR(XLOOKUP(A1612,Tickets[TripKey],Tickets[RouteLen]),0))</f>
        <v/>
      </c>
      <c r="J1612">
        <f>IF(A1612="","",IFERROR(XLOOKUP(A1612,Tickets[TripKey],Tickets[Capacity]),0))</f>
        <v/>
      </c>
      <c r="K1612">
        <f>IF(A1612="","",I1612*J1612)</f>
        <v/>
      </c>
      <c r="L1612">
        <f>IF(A1612="","",IFERROR(MINIFS(Tickets[Trip Start Time],Tickets[TripKey],A1612),""))</f>
        <v/>
      </c>
    </row>
    <row r="1613">
      <c r="B1613" s="8">
        <f>IF(A1613="","",IFERROR(DATEVALUE(TEXTBEFORE(A1613,"|")),--LEFT(A1613,10)))</f>
        <v/>
      </c>
      <c r="C1613">
        <f>IF(A1613="","",TEXTBEFORE(TEXTAFTER(A1613,"|"),"|"))</f>
        <v/>
      </c>
      <c r="D1613">
        <f>IF(A1613="","",TEXTAFTER(A1613,"|",2))</f>
        <v/>
      </c>
      <c r="E1613">
        <f>IF(A1613="","",SUMIF(Tickets[TripKey],A1613,Tickets[TP]))</f>
        <v/>
      </c>
      <c r="F1613">
        <f>IF(A1613="","",SUMIF(Tickets[TripKey],A1613,Tickets[Revenue]))</f>
        <v/>
      </c>
      <c r="G1613">
        <f>IF(A1613="","",SUMIF(Tickets[TripKey],A1613,Tickets[PK]))</f>
        <v/>
      </c>
      <c r="H1613">
        <f>IF(A1613="","",IFERROR(XLOOKUP(A1613,Tickets[TripKey],Tickets[VehClean]),""))</f>
        <v/>
      </c>
      <c r="I1613">
        <f>IF(A1613="","",IFERROR(XLOOKUP(A1613,Tickets[TripKey],Tickets[RouteLen]),0))</f>
        <v/>
      </c>
      <c r="J1613">
        <f>IF(A1613="","",IFERROR(XLOOKUP(A1613,Tickets[TripKey],Tickets[Capacity]),0))</f>
        <v/>
      </c>
      <c r="K1613">
        <f>IF(A1613="","",I1613*J1613)</f>
        <v/>
      </c>
      <c r="L1613">
        <f>IF(A1613="","",IFERROR(MINIFS(Tickets[Trip Start Time],Tickets[TripKey],A1613),""))</f>
        <v/>
      </c>
    </row>
    <row r="1614">
      <c r="B1614" s="8">
        <f>IF(A1614="","",IFERROR(DATEVALUE(TEXTBEFORE(A1614,"|")),--LEFT(A1614,10)))</f>
        <v/>
      </c>
      <c r="C1614">
        <f>IF(A1614="","",TEXTBEFORE(TEXTAFTER(A1614,"|"),"|"))</f>
        <v/>
      </c>
      <c r="D1614">
        <f>IF(A1614="","",TEXTAFTER(A1614,"|",2))</f>
        <v/>
      </c>
      <c r="E1614">
        <f>IF(A1614="","",SUMIF(Tickets[TripKey],A1614,Tickets[TP]))</f>
        <v/>
      </c>
      <c r="F1614">
        <f>IF(A1614="","",SUMIF(Tickets[TripKey],A1614,Tickets[Revenue]))</f>
        <v/>
      </c>
      <c r="G1614">
        <f>IF(A1614="","",SUMIF(Tickets[TripKey],A1614,Tickets[PK]))</f>
        <v/>
      </c>
      <c r="H1614">
        <f>IF(A1614="","",IFERROR(XLOOKUP(A1614,Tickets[TripKey],Tickets[VehClean]),""))</f>
        <v/>
      </c>
      <c r="I1614">
        <f>IF(A1614="","",IFERROR(XLOOKUP(A1614,Tickets[TripKey],Tickets[RouteLen]),0))</f>
        <v/>
      </c>
      <c r="J1614">
        <f>IF(A1614="","",IFERROR(XLOOKUP(A1614,Tickets[TripKey],Tickets[Capacity]),0))</f>
        <v/>
      </c>
      <c r="K1614">
        <f>IF(A1614="","",I1614*J1614)</f>
        <v/>
      </c>
      <c r="L1614">
        <f>IF(A1614="","",IFERROR(MINIFS(Tickets[Trip Start Time],Tickets[TripKey],A1614),""))</f>
        <v/>
      </c>
    </row>
    <row r="1615">
      <c r="B1615" s="8">
        <f>IF(A1615="","",IFERROR(DATEVALUE(TEXTBEFORE(A1615,"|")),--LEFT(A1615,10)))</f>
        <v/>
      </c>
      <c r="C1615">
        <f>IF(A1615="","",TEXTBEFORE(TEXTAFTER(A1615,"|"),"|"))</f>
        <v/>
      </c>
      <c r="D1615">
        <f>IF(A1615="","",TEXTAFTER(A1615,"|",2))</f>
        <v/>
      </c>
      <c r="E1615">
        <f>IF(A1615="","",SUMIF(Tickets[TripKey],A1615,Tickets[TP]))</f>
        <v/>
      </c>
      <c r="F1615">
        <f>IF(A1615="","",SUMIF(Tickets[TripKey],A1615,Tickets[Revenue]))</f>
        <v/>
      </c>
      <c r="G1615">
        <f>IF(A1615="","",SUMIF(Tickets[TripKey],A1615,Tickets[PK]))</f>
        <v/>
      </c>
      <c r="H1615">
        <f>IF(A1615="","",IFERROR(XLOOKUP(A1615,Tickets[TripKey],Tickets[VehClean]),""))</f>
        <v/>
      </c>
      <c r="I1615">
        <f>IF(A1615="","",IFERROR(XLOOKUP(A1615,Tickets[TripKey],Tickets[RouteLen]),0))</f>
        <v/>
      </c>
      <c r="J1615">
        <f>IF(A1615="","",IFERROR(XLOOKUP(A1615,Tickets[TripKey],Tickets[Capacity]),0))</f>
        <v/>
      </c>
      <c r="K1615">
        <f>IF(A1615="","",I1615*J1615)</f>
        <v/>
      </c>
      <c r="L1615">
        <f>IF(A1615="","",IFERROR(MINIFS(Tickets[Trip Start Time],Tickets[TripKey],A1615),""))</f>
        <v/>
      </c>
    </row>
    <row r="1616">
      <c r="B1616" s="8">
        <f>IF(A1616="","",IFERROR(DATEVALUE(TEXTBEFORE(A1616,"|")),--LEFT(A1616,10)))</f>
        <v/>
      </c>
      <c r="C1616">
        <f>IF(A1616="","",TEXTBEFORE(TEXTAFTER(A1616,"|"),"|"))</f>
        <v/>
      </c>
      <c r="D1616">
        <f>IF(A1616="","",TEXTAFTER(A1616,"|",2))</f>
        <v/>
      </c>
      <c r="E1616">
        <f>IF(A1616="","",SUMIF(Tickets[TripKey],A1616,Tickets[TP]))</f>
        <v/>
      </c>
      <c r="F1616">
        <f>IF(A1616="","",SUMIF(Tickets[TripKey],A1616,Tickets[Revenue]))</f>
        <v/>
      </c>
      <c r="G1616">
        <f>IF(A1616="","",SUMIF(Tickets[TripKey],A1616,Tickets[PK]))</f>
        <v/>
      </c>
      <c r="H1616">
        <f>IF(A1616="","",IFERROR(XLOOKUP(A1616,Tickets[TripKey],Tickets[VehClean]),""))</f>
        <v/>
      </c>
      <c r="I1616">
        <f>IF(A1616="","",IFERROR(XLOOKUP(A1616,Tickets[TripKey],Tickets[RouteLen]),0))</f>
        <v/>
      </c>
      <c r="J1616">
        <f>IF(A1616="","",IFERROR(XLOOKUP(A1616,Tickets[TripKey],Tickets[Capacity]),0))</f>
        <v/>
      </c>
      <c r="K1616">
        <f>IF(A1616="","",I1616*J1616)</f>
        <v/>
      </c>
      <c r="L1616">
        <f>IF(A1616="","",IFERROR(MINIFS(Tickets[Trip Start Time],Tickets[TripKey],A1616),""))</f>
        <v/>
      </c>
    </row>
    <row r="1617">
      <c r="B1617" s="8">
        <f>IF(A1617="","",IFERROR(DATEVALUE(TEXTBEFORE(A1617,"|")),--LEFT(A1617,10)))</f>
        <v/>
      </c>
      <c r="C1617">
        <f>IF(A1617="","",TEXTBEFORE(TEXTAFTER(A1617,"|"),"|"))</f>
        <v/>
      </c>
      <c r="D1617">
        <f>IF(A1617="","",TEXTAFTER(A1617,"|",2))</f>
        <v/>
      </c>
      <c r="E1617">
        <f>IF(A1617="","",SUMIF(Tickets[TripKey],A1617,Tickets[TP]))</f>
        <v/>
      </c>
      <c r="F1617">
        <f>IF(A1617="","",SUMIF(Tickets[TripKey],A1617,Tickets[Revenue]))</f>
        <v/>
      </c>
      <c r="G1617">
        <f>IF(A1617="","",SUMIF(Tickets[TripKey],A1617,Tickets[PK]))</f>
        <v/>
      </c>
      <c r="H1617">
        <f>IF(A1617="","",IFERROR(XLOOKUP(A1617,Tickets[TripKey],Tickets[VehClean]),""))</f>
        <v/>
      </c>
      <c r="I1617">
        <f>IF(A1617="","",IFERROR(XLOOKUP(A1617,Tickets[TripKey],Tickets[RouteLen]),0))</f>
        <v/>
      </c>
      <c r="J1617">
        <f>IF(A1617="","",IFERROR(XLOOKUP(A1617,Tickets[TripKey],Tickets[Capacity]),0))</f>
        <v/>
      </c>
      <c r="K1617">
        <f>IF(A1617="","",I1617*J1617)</f>
        <v/>
      </c>
      <c r="L1617">
        <f>IF(A1617="","",IFERROR(MINIFS(Tickets[Trip Start Time],Tickets[TripKey],A1617),""))</f>
        <v/>
      </c>
    </row>
    <row r="1618">
      <c r="B1618" s="8">
        <f>IF(A1618="","",IFERROR(DATEVALUE(TEXTBEFORE(A1618,"|")),--LEFT(A1618,10)))</f>
        <v/>
      </c>
      <c r="C1618">
        <f>IF(A1618="","",TEXTBEFORE(TEXTAFTER(A1618,"|"),"|"))</f>
        <v/>
      </c>
      <c r="D1618">
        <f>IF(A1618="","",TEXTAFTER(A1618,"|",2))</f>
        <v/>
      </c>
      <c r="E1618">
        <f>IF(A1618="","",SUMIF(Tickets[TripKey],A1618,Tickets[TP]))</f>
        <v/>
      </c>
      <c r="F1618">
        <f>IF(A1618="","",SUMIF(Tickets[TripKey],A1618,Tickets[Revenue]))</f>
        <v/>
      </c>
      <c r="G1618">
        <f>IF(A1618="","",SUMIF(Tickets[TripKey],A1618,Tickets[PK]))</f>
        <v/>
      </c>
      <c r="H1618">
        <f>IF(A1618="","",IFERROR(XLOOKUP(A1618,Tickets[TripKey],Tickets[VehClean]),""))</f>
        <v/>
      </c>
      <c r="I1618">
        <f>IF(A1618="","",IFERROR(XLOOKUP(A1618,Tickets[TripKey],Tickets[RouteLen]),0))</f>
        <v/>
      </c>
      <c r="J1618">
        <f>IF(A1618="","",IFERROR(XLOOKUP(A1618,Tickets[TripKey],Tickets[Capacity]),0))</f>
        <v/>
      </c>
      <c r="K1618">
        <f>IF(A1618="","",I1618*J1618)</f>
        <v/>
      </c>
      <c r="L1618">
        <f>IF(A1618="","",IFERROR(MINIFS(Tickets[Trip Start Time],Tickets[TripKey],A1618),""))</f>
        <v/>
      </c>
    </row>
    <row r="1619">
      <c r="B1619" s="8">
        <f>IF(A1619="","",IFERROR(DATEVALUE(TEXTBEFORE(A1619,"|")),--LEFT(A1619,10)))</f>
        <v/>
      </c>
      <c r="C1619">
        <f>IF(A1619="","",TEXTBEFORE(TEXTAFTER(A1619,"|"),"|"))</f>
        <v/>
      </c>
      <c r="D1619">
        <f>IF(A1619="","",TEXTAFTER(A1619,"|",2))</f>
        <v/>
      </c>
      <c r="E1619">
        <f>IF(A1619="","",SUMIF(Tickets[TripKey],A1619,Tickets[TP]))</f>
        <v/>
      </c>
      <c r="F1619">
        <f>IF(A1619="","",SUMIF(Tickets[TripKey],A1619,Tickets[Revenue]))</f>
        <v/>
      </c>
      <c r="G1619">
        <f>IF(A1619="","",SUMIF(Tickets[TripKey],A1619,Tickets[PK]))</f>
        <v/>
      </c>
      <c r="H1619">
        <f>IF(A1619="","",IFERROR(XLOOKUP(A1619,Tickets[TripKey],Tickets[VehClean]),""))</f>
        <v/>
      </c>
      <c r="I1619">
        <f>IF(A1619="","",IFERROR(XLOOKUP(A1619,Tickets[TripKey],Tickets[RouteLen]),0))</f>
        <v/>
      </c>
      <c r="J1619">
        <f>IF(A1619="","",IFERROR(XLOOKUP(A1619,Tickets[TripKey],Tickets[Capacity]),0))</f>
        <v/>
      </c>
      <c r="K1619">
        <f>IF(A1619="","",I1619*J1619)</f>
        <v/>
      </c>
      <c r="L1619">
        <f>IF(A1619="","",IFERROR(MINIFS(Tickets[Trip Start Time],Tickets[TripKey],A1619),""))</f>
        <v/>
      </c>
    </row>
    <row r="1620">
      <c r="B1620" s="8">
        <f>IF(A1620="","",IFERROR(DATEVALUE(TEXTBEFORE(A1620,"|")),--LEFT(A1620,10)))</f>
        <v/>
      </c>
      <c r="C1620">
        <f>IF(A1620="","",TEXTBEFORE(TEXTAFTER(A1620,"|"),"|"))</f>
        <v/>
      </c>
      <c r="D1620">
        <f>IF(A1620="","",TEXTAFTER(A1620,"|",2))</f>
        <v/>
      </c>
      <c r="E1620">
        <f>IF(A1620="","",SUMIF(Tickets[TripKey],A1620,Tickets[TP]))</f>
        <v/>
      </c>
      <c r="F1620">
        <f>IF(A1620="","",SUMIF(Tickets[TripKey],A1620,Tickets[Revenue]))</f>
        <v/>
      </c>
      <c r="G1620">
        <f>IF(A1620="","",SUMIF(Tickets[TripKey],A1620,Tickets[PK]))</f>
        <v/>
      </c>
      <c r="H1620">
        <f>IF(A1620="","",IFERROR(XLOOKUP(A1620,Tickets[TripKey],Tickets[VehClean]),""))</f>
        <v/>
      </c>
      <c r="I1620">
        <f>IF(A1620="","",IFERROR(XLOOKUP(A1620,Tickets[TripKey],Tickets[RouteLen]),0))</f>
        <v/>
      </c>
      <c r="J1620">
        <f>IF(A1620="","",IFERROR(XLOOKUP(A1620,Tickets[TripKey],Tickets[Capacity]),0))</f>
        <v/>
      </c>
      <c r="K1620">
        <f>IF(A1620="","",I1620*J1620)</f>
        <v/>
      </c>
      <c r="L1620">
        <f>IF(A1620="","",IFERROR(MINIFS(Tickets[Trip Start Time],Tickets[TripKey],A1620),""))</f>
        <v/>
      </c>
    </row>
    <row r="1621">
      <c r="B1621" s="8">
        <f>IF(A1621="","",IFERROR(DATEVALUE(TEXTBEFORE(A1621,"|")),--LEFT(A1621,10)))</f>
        <v/>
      </c>
      <c r="C1621">
        <f>IF(A1621="","",TEXTBEFORE(TEXTAFTER(A1621,"|"),"|"))</f>
        <v/>
      </c>
      <c r="D1621">
        <f>IF(A1621="","",TEXTAFTER(A1621,"|",2))</f>
        <v/>
      </c>
      <c r="E1621">
        <f>IF(A1621="","",SUMIF(Tickets[TripKey],A1621,Tickets[TP]))</f>
        <v/>
      </c>
      <c r="F1621">
        <f>IF(A1621="","",SUMIF(Tickets[TripKey],A1621,Tickets[Revenue]))</f>
        <v/>
      </c>
      <c r="G1621">
        <f>IF(A1621="","",SUMIF(Tickets[TripKey],A1621,Tickets[PK]))</f>
        <v/>
      </c>
      <c r="H1621">
        <f>IF(A1621="","",IFERROR(XLOOKUP(A1621,Tickets[TripKey],Tickets[VehClean]),""))</f>
        <v/>
      </c>
      <c r="I1621">
        <f>IF(A1621="","",IFERROR(XLOOKUP(A1621,Tickets[TripKey],Tickets[RouteLen]),0))</f>
        <v/>
      </c>
      <c r="J1621">
        <f>IF(A1621="","",IFERROR(XLOOKUP(A1621,Tickets[TripKey],Tickets[Capacity]),0))</f>
        <v/>
      </c>
      <c r="K1621">
        <f>IF(A1621="","",I1621*J1621)</f>
        <v/>
      </c>
      <c r="L1621">
        <f>IF(A1621="","",IFERROR(MINIFS(Tickets[Trip Start Time],Tickets[TripKey],A1621),""))</f>
        <v/>
      </c>
    </row>
    <row r="1622">
      <c r="B1622" s="8">
        <f>IF(A1622="","",IFERROR(DATEVALUE(TEXTBEFORE(A1622,"|")),--LEFT(A1622,10)))</f>
        <v/>
      </c>
      <c r="C1622">
        <f>IF(A1622="","",TEXTBEFORE(TEXTAFTER(A1622,"|"),"|"))</f>
        <v/>
      </c>
      <c r="D1622">
        <f>IF(A1622="","",TEXTAFTER(A1622,"|",2))</f>
        <v/>
      </c>
      <c r="E1622">
        <f>IF(A1622="","",SUMIF(Tickets[TripKey],A1622,Tickets[TP]))</f>
        <v/>
      </c>
      <c r="F1622">
        <f>IF(A1622="","",SUMIF(Tickets[TripKey],A1622,Tickets[Revenue]))</f>
        <v/>
      </c>
      <c r="G1622">
        <f>IF(A1622="","",SUMIF(Tickets[TripKey],A1622,Tickets[PK]))</f>
        <v/>
      </c>
      <c r="H1622">
        <f>IF(A1622="","",IFERROR(XLOOKUP(A1622,Tickets[TripKey],Tickets[VehClean]),""))</f>
        <v/>
      </c>
      <c r="I1622">
        <f>IF(A1622="","",IFERROR(XLOOKUP(A1622,Tickets[TripKey],Tickets[RouteLen]),0))</f>
        <v/>
      </c>
      <c r="J1622">
        <f>IF(A1622="","",IFERROR(XLOOKUP(A1622,Tickets[TripKey],Tickets[Capacity]),0))</f>
        <v/>
      </c>
      <c r="K1622">
        <f>IF(A1622="","",I1622*J1622)</f>
        <v/>
      </c>
      <c r="L1622">
        <f>IF(A1622="","",IFERROR(MINIFS(Tickets[Trip Start Time],Tickets[TripKey],A1622),""))</f>
        <v/>
      </c>
    </row>
    <row r="1623">
      <c r="B1623" s="8">
        <f>IF(A1623="","",IFERROR(DATEVALUE(TEXTBEFORE(A1623,"|")),--LEFT(A1623,10)))</f>
        <v/>
      </c>
      <c r="C1623">
        <f>IF(A1623="","",TEXTBEFORE(TEXTAFTER(A1623,"|"),"|"))</f>
        <v/>
      </c>
      <c r="D1623">
        <f>IF(A1623="","",TEXTAFTER(A1623,"|",2))</f>
        <v/>
      </c>
      <c r="E1623">
        <f>IF(A1623="","",SUMIF(Tickets[TripKey],A1623,Tickets[TP]))</f>
        <v/>
      </c>
      <c r="F1623">
        <f>IF(A1623="","",SUMIF(Tickets[TripKey],A1623,Tickets[Revenue]))</f>
        <v/>
      </c>
      <c r="G1623">
        <f>IF(A1623="","",SUMIF(Tickets[TripKey],A1623,Tickets[PK]))</f>
        <v/>
      </c>
      <c r="H1623">
        <f>IF(A1623="","",IFERROR(XLOOKUP(A1623,Tickets[TripKey],Tickets[VehClean]),""))</f>
        <v/>
      </c>
      <c r="I1623">
        <f>IF(A1623="","",IFERROR(XLOOKUP(A1623,Tickets[TripKey],Tickets[RouteLen]),0))</f>
        <v/>
      </c>
      <c r="J1623">
        <f>IF(A1623="","",IFERROR(XLOOKUP(A1623,Tickets[TripKey],Tickets[Capacity]),0))</f>
        <v/>
      </c>
      <c r="K1623">
        <f>IF(A1623="","",I1623*J1623)</f>
        <v/>
      </c>
      <c r="L1623">
        <f>IF(A1623="","",IFERROR(MINIFS(Tickets[Trip Start Time],Tickets[TripKey],A1623),""))</f>
        <v/>
      </c>
    </row>
    <row r="1624">
      <c r="B1624" s="8">
        <f>IF(A1624="","",IFERROR(DATEVALUE(TEXTBEFORE(A1624,"|")),--LEFT(A1624,10)))</f>
        <v/>
      </c>
      <c r="C1624">
        <f>IF(A1624="","",TEXTBEFORE(TEXTAFTER(A1624,"|"),"|"))</f>
        <v/>
      </c>
      <c r="D1624">
        <f>IF(A1624="","",TEXTAFTER(A1624,"|",2))</f>
        <v/>
      </c>
      <c r="E1624">
        <f>IF(A1624="","",SUMIF(Tickets[TripKey],A1624,Tickets[TP]))</f>
        <v/>
      </c>
      <c r="F1624">
        <f>IF(A1624="","",SUMIF(Tickets[TripKey],A1624,Tickets[Revenue]))</f>
        <v/>
      </c>
      <c r="G1624">
        <f>IF(A1624="","",SUMIF(Tickets[TripKey],A1624,Tickets[PK]))</f>
        <v/>
      </c>
      <c r="H1624">
        <f>IF(A1624="","",IFERROR(XLOOKUP(A1624,Tickets[TripKey],Tickets[VehClean]),""))</f>
        <v/>
      </c>
      <c r="I1624">
        <f>IF(A1624="","",IFERROR(XLOOKUP(A1624,Tickets[TripKey],Tickets[RouteLen]),0))</f>
        <v/>
      </c>
      <c r="J1624">
        <f>IF(A1624="","",IFERROR(XLOOKUP(A1624,Tickets[TripKey],Tickets[Capacity]),0))</f>
        <v/>
      </c>
      <c r="K1624">
        <f>IF(A1624="","",I1624*J1624)</f>
        <v/>
      </c>
      <c r="L1624">
        <f>IF(A1624="","",IFERROR(MINIFS(Tickets[Trip Start Time],Tickets[TripKey],A1624),""))</f>
        <v/>
      </c>
    </row>
    <row r="1625">
      <c r="B1625" s="8">
        <f>IF(A1625="","",IFERROR(DATEVALUE(TEXTBEFORE(A1625,"|")),--LEFT(A1625,10)))</f>
        <v/>
      </c>
      <c r="C1625">
        <f>IF(A1625="","",TEXTBEFORE(TEXTAFTER(A1625,"|"),"|"))</f>
        <v/>
      </c>
      <c r="D1625">
        <f>IF(A1625="","",TEXTAFTER(A1625,"|",2))</f>
        <v/>
      </c>
      <c r="E1625">
        <f>IF(A1625="","",SUMIF(Tickets[TripKey],A1625,Tickets[TP]))</f>
        <v/>
      </c>
      <c r="F1625">
        <f>IF(A1625="","",SUMIF(Tickets[TripKey],A1625,Tickets[Revenue]))</f>
        <v/>
      </c>
      <c r="G1625">
        <f>IF(A1625="","",SUMIF(Tickets[TripKey],A1625,Tickets[PK]))</f>
        <v/>
      </c>
      <c r="H1625">
        <f>IF(A1625="","",IFERROR(XLOOKUP(A1625,Tickets[TripKey],Tickets[VehClean]),""))</f>
        <v/>
      </c>
      <c r="I1625">
        <f>IF(A1625="","",IFERROR(XLOOKUP(A1625,Tickets[TripKey],Tickets[RouteLen]),0))</f>
        <v/>
      </c>
      <c r="J1625">
        <f>IF(A1625="","",IFERROR(XLOOKUP(A1625,Tickets[TripKey],Tickets[Capacity]),0))</f>
        <v/>
      </c>
      <c r="K1625">
        <f>IF(A1625="","",I1625*J1625)</f>
        <v/>
      </c>
      <c r="L1625">
        <f>IF(A1625="","",IFERROR(MINIFS(Tickets[Trip Start Time],Tickets[TripKey],A1625),""))</f>
        <v/>
      </c>
    </row>
    <row r="1626">
      <c r="B1626" s="8">
        <f>IF(A1626="","",IFERROR(DATEVALUE(TEXTBEFORE(A1626,"|")),--LEFT(A1626,10)))</f>
        <v/>
      </c>
      <c r="C1626">
        <f>IF(A1626="","",TEXTBEFORE(TEXTAFTER(A1626,"|"),"|"))</f>
        <v/>
      </c>
      <c r="D1626">
        <f>IF(A1626="","",TEXTAFTER(A1626,"|",2))</f>
        <v/>
      </c>
      <c r="E1626">
        <f>IF(A1626="","",SUMIF(Tickets[TripKey],A1626,Tickets[TP]))</f>
        <v/>
      </c>
      <c r="F1626">
        <f>IF(A1626="","",SUMIF(Tickets[TripKey],A1626,Tickets[Revenue]))</f>
        <v/>
      </c>
      <c r="G1626">
        <f>IF(A1626="","",SUMIF(Tickets[TripKey],A1626,Tickets[PK]))</f>
        <v/>
      </c>
      <c r="H1626">
        <f>IF(A1626="","",IFERROR(XLOOKUP(A1626,Tickets[TripKey],Tickets[VehClean]),""))</f>
        <v/>
      </c>
      <c r="I1626">
        <f>IF(A1626="","",IFERROR(XLOOKUP(A1626,Tickets[TripKey],Tickets[RouteLen]),0))</f>
        <v/>
      </c>
      <c r="J1626">
        <f>IF(A1626="","",IFERROR(XLOOKUP(A1626,Tickets[TripKey],Tickets[Capacity]),0))</f>
        <v/>
      </c>
      <c r="K1626">
        <f>IF(A1626="","",I1626*J1626)</f>
        <v/>
      </c>
      <c r="L1626">
        <f>IF(A1626="","",IFERROR(MINIFS(Tickets[Trip Start Time],Tickets[TripKey],A1626),""))</f>
        <v/>
      </c>
    </row>
    <row r="1627">
      <c r="B1627" s="8">
        <f>IF(A1627="","",IFERROR(DATEVALUE(TEXTBEFORE(A1627,"|")),--LEFT(A1627,10)))</f>
        <v/>
      </c>
      <c r="C1627">
        <f>IF(A1627="","",TEXTBEFORE(TEXTAFTER(A1627,"|"),"|"))</f>
        <v/>
      </c>
      <c r="D1627">
        <f>IF(A1627="","",TEXTAFTER(A1627,"|",2))</f>
        <v/>
      </c>
      <c r="E1627">
        <f>IF(A1627="","",SUMIF(Tickets[TripKey],A1627,Tickets[TP]))</f>
        <v/>
      </c>
      <c r="F1627">
        <f>IF(A1627="","",SUMIF(Tickets[TripKey],A1627,Tickets[Revenue]))</f>
        <v/>
      </c>
      <c r="G1627">
        <f>IF(A1627="","",SUMIF(Tickets[TripKey],A1627,Tickets[PK]))</f>
        <v/>
      </c>
      <c r="H1627">
        <f>IF(A1627="","",IFERROR(XLOOKUP(A1627,Tickets[TripKey],Tickets[VehClean]),""))</f>
        <v/>
      </c>
      <c r="I1627">
        <f>IF(A1627="","",IFERROR(XLOOKUP(A1627,Tickets[TripKey],Tickets[RouteLen]),0))</f>
        <v/>
      </c>
      <c r="J1627">
        <f>IF(A1627="","",IFERROR(XLOOKUP(A1627,Tickets[TripKey],Tickets[Capacity]),0))</f>
        <v/>
      </c>
      <c r="K1627">
        <f>IF(A1627="","",I1627*J1627)</f>
        <v/>
      </c>
      <c r="L1627">
        <f>IF(A1627="","",IFERROR(MINIFS(Tickets[Trip Start Time],Tickets[TripKey],A1627),""))</f>
        <v/>
      </c>
    </row>
    <row r="1628">
      <c r="B1628" s="8">
        <f>IF(A1628="","",IFERROR(DATEVALUE(TEXTBEFORE(A1628,"|")),--LEFT(A1628,10)))</f>
        <v/>
      </c>
      <c r="C1628">
        <f>IF(A1628="","",TEXTBEFORE(TEXTAFTER(A1628,"|"),"|"))</f>
        <v/>
      </c>
      <c r="D1628">
        <f>IF(A1628="","",TEXTAFTER(A1628,"|",2))</f>
        <v/>
      </c>
      <c r="E1628">
        <f>IF(A1628="","",SUMIF(Tickets[TripKey],A1628,Tickets[TP]))</f>
        <v/>
      </c>
      <c r="F1628">
        <f>IF(A1628="","",SUMIF(Tickets[TripKey],A1628,Tickets[Revenue]))</f>
        <v/>
      </c>
      <c r="G1628">
        <f>IF(A1628="","",SUMIF(Tickets[TripKey],A1628,Tickets[PK]))</f>
        <v/>
      </c>
      <c r="H1628">
        <f>IF(A1628="","",IFERROR(XLOOKUP(A1628,Tickets[TripKey],Tickets[VehClean]),""))</f>
        <v/>
      </c>
      <c r="I1628">
        <f>IF(A1628="","",IFERROR(XLOOKUP(A1628,Tickets[TripKey],Tickets[RouteLen]),0))</f>
        <v/>
      </c>
      <c r="J1628">
        <f>IF(A1628="","",IFERROR(XLOOKUP(A1628,Tickets[TripKey],Tickets[Capacity]),0))</f>
        <v/>
      </c>
      <c r="K1628">
        <f>IF(A1628="","",I1628*J1628)</f>
        <v/>
      </c>
      <c r="L1628">
        <f>IF(A1628="","",IFERROR(MINIFS(Tickets[Trip Start Time],Tickets[TripKey],A1628),""))</f>
        <v/>
      </c>
    </row>
    <row r="1629">
      <c r="B1629" s="8">
        <f>IF(A1629="","",IFERROR(DATEVALUE(TEXTBEFORE(A1629,"|")),--LEFT(A1629,10)))</f>
        <v/>
      </c>
      <c r="C1629">
        <f>IF(A1629="","",TEXTBEFORE(TEXTAFTER(A1629,"|"),"|"))</f>
        <v/>
      </c>
      <c r="D1629">
        <f>IF(A1629="","",TEXTAFTER(A1629,"|",2))</f>
        <v/>
      </c>
      <c r="E1629">
        <f>IF(A1629="","",SUMIF(Tickets[TripKey],A1629,Tickets[TP]))</f>
        <v/>
      </c>
      <c r="F1629">
        <f>IF(A1629="","",SUMIF(Tickets[TripKey],A1629,Tickets[Revenue]))</f>
        <v/>
      </c>
      <c r="G1629">
        <f>IF(A1629="","",SUMIF(Tickets[TripKey],A1629,Tickets[PK]))</f>
        <v/>
      </c>
      <c r="H1629">
        <f>IF(A1629="","",IFERROR(XLOOKUP(A1629,Tickets[TripKey],Tickets[VehClean]),""))</f>
        <v/>
      </c>
      <c r="I1629">
        <f>IF(A1629="","",IFERROR(XLOOKUP(A1629,Tickets[TripKey],Tickets[RouteLen]),0))</f>
        <v/>
      </c>
      <c r="J1629">
        <f>IF(A1629="","",IFERROR(XLOOKUP(A1629,Tickets[TripKey],Tickets[Capacity]),0))</f>
        <v/>
      </c>
      <c r="K1629">
        <f>IF(A1629="","",I1629*J1629)</f>
        <v/>
      </c>
      <c r="L1629">
        <f>IF(A1629="","",IFERROR(MINIFS(Tickets[Trip Start Time],Tickets[TripKey],A1629),""))</f>
        <v/>
      </c>
    </row>
    <row r="1630">
      <c r="B1630" s="8">
        <f>IF(A1630="","",IFERROR(DATEVALUE(TEXTBEFORE(A1630,"|")),--LEFT(A1630,10)))</f>
        <v/>
      </c>
      <c r="C1630">
        <f>IF(A1630="","",TEXTBEFORE(TEXTAFTER(A1630,"|"),"|"))</f>
        <v/>
      </c>
      <c r="D1630">
        <f>IF(A1630="","",TEXTAFTER(A1630,"|",2))</f>
        <v/>
      </c>
      <c r="E1630">
        <f>IF(A1630="","",SUMIF(Tickets[TripKey],A1630,Tickets[TP]))</f>
        <v/>
      </c>
      <c r="F1630">
        <f>IF(A1630="","",SUMIF(Tickets[TripKey],A1630,Tickets[Revenue]))</f>
        <v/>
      </c>
      <c r="G1630">
        <f>IF(A1630="","",SUMIF(Tickets[TripKey],A1630,Tickets[PK]))</f>
        <v/>
      </c>
      <c r="H1630">
        <f>IF(A1630="","",IFERROR(XLOOKUP(A1630,Tickets[TripKey],Tickets[VehClean]),""))</f>
        <v/>
      </c>
      <c r="I1630">
        <f>IF(A1630="","",IFERROR(XLOOKUP(A1630,Tickets[TripKey],Tickets[RouteLen]),0))</f>
        <v/>
      </c>
      <c r="J1630">
        <f>IF(A1630="","",IFERROR(XLOOKUP(A1630,Tickets[TripKey],Tickets[Capacity]),0))</f>
        <v/>
      </c>
      <c r="K1630">
        <f>IF(A1630="","",I1630*J1630)</f>
        <v/>
      </c>
      <c r="L1630">
        <f>IF(A1630="","",IFERROR(MINIFS(Tickets[Trip Start Time],Tickets[TripKey],A1630),""))</f>
        <v/>
      </c>
    </row>
    <row r="1631">
      <c r="B1631" s="8">
        <f>IF(A1631="","",IFERROR(DATEVALUE(TEXTBEFORE(A1631,"|")),--LEFT(A1631,10)))</f>
        <v/>
      </c>
      <c r="C1631">
        <f>IF(A1631="","",TEXTBEFORE(TEXTAFTER(A1631,"|"),"|"))</f>
        <v/>
      </c>
      <c r="D1631">
        <f>IF(A1631="","",TEXTAFTER(A1631,"|",2))</f>
        <v/>
      </c>
      <c r="E1631">
        <f>IF(A1631="","",SUMIF(Tickets[TripKey],A1631,Tickets[TP]))</f>
        <v/>
      </c>
      <c r="F1631">
        <f>IF(A1631="","",SUMIF(Tickets[TripKey],A1631,Tickets[Revenue]))</f>
        <v/>
      </c>
      <c r="G1631">
        <f>IF(A1631="","",SUMIF(Tickets[TripKey],A1631,Tickets[PK]))</f>
        <v/>
      </c>
      <c r="H1631">
        <f>IF(A1631="","",IFERROR(XLOOKUP(A1631,Tickets[TripKey],Tickets[VehClean]),""))</f>
        <v/>
      </c>
      <c r="I1631">
        <f>IF(A1631="","",IFERROR(XLOOKUP(A1631,Tickets[TripKey],Tickets[RouteLen]),0))</f>
        <v/>
      </c>
      <c r="J1631">
        <f>IF(A1631="","",IFERROR(XLOOKUP(A1631,Tickets[TripKey],Tickets[Capacity]),0))</f>
        <v/>
      </c>
      <c r="K1631">
        <f>IF(A1631="","",I1631*J1631)</f>
        <v/>
      </c>
      <c r="L1631">
        <f>IF(A1631="","",IFERROR(MINIFS(Tickets[Trip Start Time],Tickets[TripKey],A1631),""))</f>
        <v/>
      </c>
    </row>
    <row r="1632">
      <c r="B1632" s="8">
        <f>IF(A1632="","",IFERROR(DATEVALUE(TEXTBEFORE(A1632,"|")),--LEFT(A1632,10)))</f>
        <v/>
      </c>
      <c r="C1632">
        <f>IF(A1632="","",TEXTBEFORE(TEXTAFTER(A1632,"|"),"|"))</f>
        <v/>
      </c>
      <c r="D1632">
        <f>IF(A1632="","",TEXTAFTER(A1632,"|",2))</f>
        <v/>
      </c>
      <c r="E1632">
        <f>IF(A1632="","",SUMIF(Tickets[TripKey],A1632,Tickets[TP]))</f>
        <v/>
      </c>
      <c r="F1632">
        <f>IF(A1632="","",SUMIF(Tickets[TripKey],A1632,Tickets[Revenue]))</f>
        <v/>
      </c>
      <c r="G1632">
        <f>IF(A1632="","",SUMIF(Tickets[TripKey],A1632,Tickets[PK]))</f>
        <v/>
      </c>
      <c r="H1632">
        <f>IF(A1632="","",IFERROR(XLOOKUP(A1632,Tickets[TripKey],Tickets[VehClean]),""))</f>
        <v/>
      </c>
      <c r="I1632">
        <f>IF(A1632="","",IFERROR(XLOOKUP(A1632,Tickets[TripKey],Tickets[RouteLen]),0))</f>
        <v/>
      </c>
      <c r="J1632">
        <f>IF(A1632="","",IFERROR(XLOOKUP(A1632,Tickets[TripKey],Tickets[Capacity]),0))</f>
        <v/>
      </c>
      <c r="K1632">
        <f>IF(A1632="","",I1632*J1632)</f>
        <v/>
      </c>
      <c r="L1632">
        <f>IF(A1632="","",IFERROR(MINIFS(Tickets[Trip Start Time],Tickets[TripKey],A1632),""))</f>
        <v/>
      </c>
    </row>
    <row r="1633">
      <c r="B1633" s="8">
        <f>IF(A1633="","",IFERROR(DATEVALUE(TEXTBEFORE(A1633,"|")),--LEFT(A1633,10)))</f>
        <v/>
      </c>
      <c r="C1633">
        <f>IF(A1633="","",TEXTBEFORE(TEXTAFTER(A1633,"|"),"|"))</f>
        <v/>
      </c>
      <c r="D1633">
        <f>IF(A1633="","",TEXTAFTER(A1633,"|",2))</f>
        <v/>
      </c>
      <c r="E1633">
        <f>IF(A1633="","",SUMIF(Tickets[TripKey],A1633,Tickets[TP]))</f>
        <v/>
      </c>
      <c r="F1633">
        <f>IF(A1633="","",SUMIF(Tickets[TripKey],A1633,Tickets[Revenue]))</f>
        <v/>
      </c>
      <c r="G1633">
        <f>IF(A1633="","",SUMIF(Tickets[TripKey],A1633,Tickets[PK]))</f>
        <v/>
      </c>
      <c r="H1633">
        <f>IF(A1633="","",IFERROR(XLOOKUP(A1633,Tickets[TripKey],Tickets[VehClean]),""))</f>
        <v/>
      </c>
      <c r="I1633">
        <f>IF(A1633="","",IFERROR(XLOOKUP(A1633,Tickets[TripKey],Tickets[RouteLen]),0))</f>
        <v/>
      </c>
      <c r="J1633">
        <f>IF(A1633="","",IFERROR(XLOOKUP(A1633,Tickets[TripKey],Tickets[Capacity]),0))</f>
        <v/>
      </c>
      <c r="K1633">
        <f>IF(A1633="","",I1633*J1633)</f>
        <v/>
      </c>
      <c r="L1633">
        <f>IF(A1633="","",IFERROR(MINIFS(Tickets[Trip Start Time],Tickets[TripKey],A1633),""))</f>
        <v/>
      </c>
    </row>
    <row r="1634">
      <c r="B1634" s="8">
        <f>IF(A1634="","",IFERROR(DATEVALUE(TEXTBEFORE(A1634,"|")),--LEFT(A1634,10)))</f>
        <v/>
      </c>
      <c r="C1634">
        <f>IF(A1634="","",TEXTBEFORE(TEXTAFTER(A1634,"|"),"|"))</f>
        <v/>
      </c>
      <c r="D1634">
        <f>IF(A1634="","",TEXTAFTER(A1634,"|",2))</f>
        <v/>
      </c>
      <c r="E1634">
        <f>IF(A1634="","",SUMIF(Tickets[TripKey],A1634,Tickets[TP]))</f>
        <v/>
      </c>
      <c r="F1634">
        <f>IF(A1634="","",SUMIF(Tickets[TripKey],A1634,Tickets[Revenue]))</f>
        <v/>
      </c>
      <c r="G1634">
        <f>IF(A1634="","",SUMIF(Tickets[TripKey],A1634,Tickets[PK]))</f>
        <v/>
      </c>
      <c r="H1634">
        <f>IF(A1634="","",IFERROR(XLOOKUP(A1634,Tickets[TripKey],Tickets[VehClean]),""))</f>
        <v/>
      </c>
      <c r="I1634">
        <f>IF(A1634="","",IFERROR(XLOOKUP(A1634,Tickets[TripKey],Tickets[RouteLen]),0))</f>
        <v/>
      </c>
      <c r="J1634">
        <f>IF(A1634="","",IFERROR(XLOOKUP(A1634,Tickets[TripKey],Tickets[Capacity]),0))</f>
        <v/>
      </c>
      <c r="K1634">
        <f>IF(A1634="","",I1634*J1634)</f>
        <v/>
      </c>
      <c r="L1634">
        <f>IF(A1634="","",IFERROR(MINIFS(Tickets[Trip Start Time],Tickets[TripKey],A1634),""))</f>
        <v/>
      </c>
    </row>
    <row r="1635">
      <c r="B1635" s="8">
        <f>IF(A1635="","",IFERROR(DATEVALUE(TEXTBEFORE(A1635,"|")),--LEFT(A1635,10)))</f>
        <v/>
      </c>
      <c r="C1635">
        <f>IF(A1635="","",TEXTBEFORE(TEXTAFTER(A1635,"|"),"|"))</f>
        <v/>
      </c>
      <c r="D1635">
        <f>IF(A1635="","",TEXTAFTER(A1635,"|",2))</f>
        <v/>
      </c>
      <c r="E1635">
        <f>IF(A1635="","",SUMIF(Tickets[TripKey],A1635,Tickets[TP]))</f>
        <v/>
      </c>
      <c r="F1635">
        <f>IF(A1635="","",SUMIF(Tickets[TripKey],A1635,Tickets[Revenue]))</f>
        <v/>
      </c>
      <c r="G1635">
        <f>IF(A1635="","",SUMIF(Tickets[TripKey],A1635,Tickets[PK]))</f>
        <v/>
      </c>
      <c r="H1635">
        <f>IF(A1635="","",IFERROR(XLOOKUP(A1635,Tickets[TripKey],Tickets[VehClean]),""))</f>
        <v/>
      </c>
      <c r="I1635">
        <f>IF(A1635="","",IFERROR(XLOOKUP(A1635,Tickets[TripKey],Tickets[RouteLen]),0))</f>
        <v/>
      </c>
      <c r="J1635">
        <f>IF(A1635="","",IFERROR(XLOOKUP(A1635,Tickets[TripKey],Tickets[Capacity]),0))</f>
        <v/>
      </c>
      <c r="K1635">
        <f>IF(A1635="","",I1635*J1635)</f>
        <v/>
      </c>
      <c r="L1635">
        <f>IF(A1635="","",IFERROR(MINIFS(Tickets[Trip Start Time],Tickets[TripKey],A1635),""))</f>
        <v/>
      </c>
    </row>
    <row r="1636">
      <c r="B1636" s="8">
        <f>IF(A1636="","",IFERROR(DATEVALUE(TEXTBEFORE(A1636,"|")),--LEFT(A1636,10)))</f>
        <v/>
      </c>
      <c r="C1636">
        <f>IF(A1636="","",TEXTBEFORE(TEXTAFTER(A1636,"|"),"|"))</f>
        <v/>
      </c>
      <c r="D1636">
        <f>IF(A1636="","",TEXTAFTER(A1636,"|",2))</f>
        <v/>
      </c>
      <c r="E1636">
        <f>IF(A1636="","",SUMIF(Tickets[TripKey],A1636,Tickets[TP]))</f>
        <v/>
      </c>
      <c r="F1636">
        <f>IF(A1636="","",SUMIF(Tickets[TripKey],A1636,Tickets[Revenue]))</f>
        <v/>
      </c>
      <c r="G1636">
        <f>IF(A1636="","",SUMIF(Tickets[TripKey],A1636,Tickets[PK]))</f>
        <v/>
      </c>
      <c r="H1636">
        <f>IF(A1636="","",IFERROR(XLOOKUP(A1636,Tickets[TripKey],Tickets[VehClean]),""))</f>
        <v/>
      </c>
      <c r="I1636">
        <f>IF(A1636="","",IFERROR(XLOOKUP(A1636,Tickets[TripKey],Tickets[RouteLen]),0))</f>
        <v/>
      </c>
      <c r="J1636">
        <f>IF(A1636="","",IFERROR(XLOOKUP(A1636,Tickets[TripKey],Tickets[Capacity]),0))</f>
        <v/>
      </c>
      <c r="K1636">
        <f>IF(A1636="","",I1636*J1636)</f>
        <v/>
      </c>
      <c r="L1636">
        <f>IF(A1636="","",IFERROR(MINIFS(Tickets[Trip Start Time],Tickets[TripKey],A1636),""))</f>
        <v/>
      </c>
    </row>
    <row r="1637">
      <c r="B1637" s="8">
        <f>IF(A1637="","",IFERROR(DATEVALUE(TEXTBEFORE(A1637,"|")),--LEFT(A1637,10)))</f>
        <v/>
      </c>
      <c r="C1637">
        <f>IF(A1637="","",TEXTBEFORE(TEXTAFTER(A1637,"|"),"|"))</f>
        <v/>
      </c>
      <c r="D1637">
        <f>IF(A1637="","",TEXTAFTER(A1637,"|",2))</f>
        <v/>
      </c>
      <c r="E1637">
        <f>IF(A1637="","",SUMIF(Tickets[TripKey],A1637,Tickets[TP]))</f>
        <v/>
      </c>
      <c r="F1637">
        <f>IF(A1637="","",SUMIF(Tickets[TripKey],A1637,Tickets[Revenue]))</f>
        <v/>
      </c>
      <c r="G1637">
        <f>IF(A1637="","",SUMIF(Tickets[TripKey],A1637,Tickets[PK]))</f>
        <v/>
      </c>
      <c r="H1637">
        <f>IF(A1637="","",IFERROR(XLOOKUP(A1637,Tickets[TripKey],Tickets[VehClean]),""))</f>
        <v/>
      </c>
      <c r="I1637">
        <f>IF(A1637="","",IFERROR(XLOOKUP(A1637,Tickets[TripKey],Tickets[RouteLen]),0))</f>
        <v/>
      </c>
      <c r="J1637">
        <f>IF(A1637="","",IFERROR(XLOOKUP(A1637,Tickets[TripKey],Tickets[Capacity]),0))</f>
        <v/>
      </c>
      <c r="K1637">
        <f>IF(A1637="","",I1637*J1637)</f>
        <v/>
      </c>
      <c r="L1637">
        <f>IF(A1637="","",IFERROR(MINIFS(Tickets[Trip Start Time],Tickets[TripKey],A1637),""))</f>
        <v/>
      </c>
    </row>
    <row r="1638">
      <c r="B1638" s="8">
        <f>IF(A1638="","",IFERROR(DATEVALUE(TEXTBEFORE(A1638,"|")),--LEFT(A1638,10)))</f>
        <v/>
      </c>
      <c r="C1638">
        <f>IF(A1638="","",TEXTBEFORE(TEXTAFTER(A1638,"|"),"|"))</f>
        <v/>
      </c>
      <c r="D1638">
        <f>IF(A1638="","",TEXTAFTER(A1638,"|",2))</f>
        <v/>
      </c>
      <c r="E1638">
        <f>IF(A1638="","",SUMIF(Tickets[TripKey],A1638,Tickets[TP]))</f>
        <v/>
      </c>
      <c r="F1638">
        <f>IF(A1638="","",SUMIF(Tickets[TripKey],A1638,Tickets[Revenue]))</f>
        <v/>
      </c>
      <c r="G1638">
        <f>IF(A1638="","",SUMIF(Tickets[TripKey],A1638,Tickets[PK]))</f>
        <v/>
      </c>
      <c r="H1638">
        <f>IF(A1638="","",IFERROR(XLOOKUP(A1638,Tickets[TripKey],Tickets[VehClean]),""))</f>
        <v/>
      </c>
      <c r="I1638">
        <f>IF(A1638="","",IFERROR(XLOOKUP(A1638,Tickets[TripKey],Tickets[RouteLen]),0))</f>
        <v/>
      </c>
      <c r="J1638">
        <f>IF(A1638="","",IFERROR(XLOOKUP(A1638,Tickets[TripKey],Tickets[Capacity]),0))</f>
        <v/>
      </c>
      <c r="K1638">
        <f>IF(A1638="","",I1638*J1638)</f>
        <v/>
      </c>
      <c r="L1638">
        <f>IF(A1638="","",IFERROR(MINIFS(Tickets[Trip Start Time],Tickets[TripKey],A1638),""))</f>
        <v/>
      </c>
    </row>
    <row r="1639">
      <c r="B1639" s="8">
        <f>IF(A1639="","",IFERROR(DATEVALUE(TEXTBEFORE(A1639,"|")),--LEFT(A1639,10)))</f>
        <v/>
      </c>
      <c r="C1639">
        <f>IF(A1639="","",TEXTBEFORE(TEXTAFTER(A1639,"|"),"|"))</f>
        <v/>
      </c>
      <c r="D1639">
        <f>IF(A1639="","",TEXTAFTER(A1639,"|",2))</f>
        <v/>
      </c>
      <c r="E1639">
        <f>IF(A1639="","",SUMIF(Tickets[TripKey],A1639,Tickets[TP]))</f>
        <v/>
      </c>
      <c r="F1639">
        <f>IF(A1639="","",SUMIF(Tickets[TripKey],A1639,Tickets[Revenue]))</f>
        <v/>
      </c>
      <c r="G1639">
        <f>IF(A1639="","",SUMIF(Tickets[TripKey],A1639,Tickets[PK]))</f>
        <v/>
      </c>
      <c r="H1639">
        <f>IF(A1639="","",IFERROR(XLOOKUP(A1639,Tickets[TripKey],Tickets[VehClean]),""))</f>
        <v/>
      </c>
      <c r="I1639">
        <f>IF(A1639="","",IFERROR(XLOOKUP(A1639,Tickets[TripKey],Tickets[RouteLen]),0))</f>
        <v/>
      </c>
      <c r="J1639">
        <f>IF(A1639="","",IFERROR(XLOOKUP(A1639,Tickets[TripKey],Tickets[Capacity]),0))</f>
        <v/>
      </c>
      <c r="K1639">
        <f>IF(A1639="","",I1639*J1639)</f>
        <v/>
      </c>
      <c r="L1639">
        <f>IF(A1639="","",IFERROR(MINIFS(Tickets[Trip Start Time],Tickets[TripKey],A1639),""))</f>
        <v/>
      </c>
    </row>
    <row r="1640">
      <c r="B1640" s="8">
        <f>IF(A1640="","",IFERROR(DATEVALUE(TEXTBEFORE(A1640,"|")),--LEFT(A1640,10)))</f>
        <v/>
      </c>
      <c r="C1640">
        <f>IF(A1640="","",TEXTBEFORE(TEXTAFTER(A1640,"|"),"|"))</f>
        <v/>
      </c>
      <c r="D1640">
        <f>IF(A1640="","",TEXTAFTER(A1640,"|",2))</f>
        <v/>
      </c>
      <c r="E1640">
        <f>IF(A1640="","",SUMIF(Tickets[TripKey],A1640,Tickets[TP]))</f>
        <v/>
      </c>
      <c r="F1640">
        <f>IF(A1640="","",SUMIF(Tickets[TripKey],A1640,Tickets[Revenue]))</f>
        <v/>
      </c>
      <c r="G1640">
        <f>IF(A1640="","",SUMIF(Tickets[TripKey],A1640,Tickets[PK]))</f>
        <v/>
      </c>
      <c r="H1640">
        <f>IF(A1640="","",IFERROR(XLOOKUP(A1640,Tickets[TripKey],Tickets[VehClean]),""))</f>
        <v/>
      </c>
      <c r="I1640">
        <f>IF(A1640="","",IFERROR(XLOOKUP(A1640,Tickets[TripKey],Tickets[RouteLen]),0))</f>
        <v/>
      </c>
      <c r="J1640">
        <f>IF(A1640="","",IFERROR(XLOOKUP(A1640,Tickets[TripKey],Tickets[Capacity]),0))</f>
        <v/>
      </c>
      <c r="K1640">
        <f>IF(A1640="","",I1640*J1640)</f>
        <v/>
      </c>
      <c r="L1640">
        <f>IF(A1640="","",IFERROR(MINIFS(Tickets[Trip Start Time],Tickets[TripKey],A1640),""))</f>
        <v/>
      </c>
    </row>
    <row r="1641">
      <c r="B1641" s="8">
        <f>IF(A1641="","",IFERROR(DATEVALUE(TEXTBEFORE(A1641,"|")),--LEFT(A1641,10)))</f>
        <v/>
      </c>
      <c r="C1641">
        <f>IF(A1641="","",TEXTBEFORE(TEXTAFTER(A1641,"|"),"|"))</f>
        <v/>
      </c>
      <c r="D1641">
        <f>IF(A1641="","",TEXTAFTER(A1641,"|",2))</f>
        <v/>
      </c>
      <c r="E1641">
        <f>IF(A1641="","",SUMIF(Tickets[TripKey],A1641,Tickets[TP]))</f>
        <v/>
      </c>
      <c r="F1641">
        <f>IF(A1641="","",SUMIF(Tickets[TripKey],A1641,Tickets[Revenue]))</f>
        <v/>
      </c>
      <c r="G1641">
        <f>IF(A1641="","",SUMIF(Tickets[TripKey],A1641,Tickets[PK]))</f>
        <v/>
      </c>
      <c r="H1641">
        <f>IF(A1641="","",IFERROR(XLOOKUP(A1641,Tickets[TripKey],Tickets[VehClean]),""))</f>
        <v/>
      </c>
      <c r="I1641">
        <f>IF(A1641="","",IFERROR(XLOOKUP(A1641,Tickets[TripKey],Tickets[RouteLen]),0))</f>
        <v/>
      </c>
      <c r="J1641">
        <f>IF(A1641="","",IFERROR(XLOOKUP(A1641,Tickets[TripKey],Tickets[Capacity]),0))</f>
        <v/>
      </c>
      <c r="K1641">
        <f>IF(A1641="","",I1641*J1641)</f>
        <v/>
      </c>
      <c r="L1641">
        <f>IF(A1641="","",IFERROR(MINIFS(Tickets[Trip Start Time],Tickets[TripKey],A1641),""))</f>
        <v/>
      </c>
    </row>
    <row r="1642">
      <c r="B1642" s="8">
        <f>IF(A1642="","",IFERROR(DATEVALUE(TEXTBEFORE(A1642,"|")),--LEFT(A1642,10)))</f>
        <v/>
      </c>
      <c r="C1642">
        <f>IF(A1642="","",TEXTBEFORE(TEXTAFTER(A1642,"|"),"|"))</f>
        <v/>
      </c>
      <c r="D1642">
        <f>IF(A1642="","",TEXTAFTER(A1642,"|",2))</f>
        <v/>
      </c>
      <c r="E1642">
        <f>IF(A1642="","",SUMIF(Tickets[TripKey],A1642,Tickets[TP]))</f>
        <v/>
      </c>
      <c r="F1642">
        <f>IF(A1642="","",SUMIF(Tickets[TripKey],A1642,Tickets[Revenue]))</f>
        <v/>
      </c>
      <c r="G1642">
        <f>IF(A1642="","",SUMIF(Tickets[TripKey],A1642,Tickets[PK]))</f>
        <v/>
      </c>
      <c r="H1642">
        <f>IF(A1642="","",IFERROR(XLOOKUP(A1642,Tickets[TripKey],Tickets[VehClean]),""))</f>
        <v/>
      </c>
      <c r="I1642">
        <f>IF(A1642="","",IFERROR(XLOOKUP(A1642,Tickets[TripKey],Tickets[RouteLen]),0))</f>
        <v/>
      </c>
      <c r="J1642">
        <f>IF(A1642="","",IFERROR(XLOOKUP(A1642,Tickets[TripKey],Tickets[Capacity]),0))</f>
        <v/>
      </c>
      <c r="K1642">
        <f>IF(A1642="","",I1642*J1642)</f>
        <v/>
      </c>
      <c r="L1642">
        <f>IF(A1642="","",IFERROR(MINIFS(Tickets[Trip Start Time],Tickets[TripKey],A1642),""))</f>
        <v/>
      </c>
    </row>
    <row r="1643">
      <c r="B1643" s="8">
        <f>IF(A1643="","",IFERROR(DATEVALUE(TEXTBEFORE(A1643,"|")),--LEFT(A1643,10)))</f>
        <v/>
      </c>
      <c r="C1643">
        <f>IF(A1643="","",TEXTBEFORE(TEXTAFTER(A1643,"|"),"|"))</f>
        <v/>
      </c>
      <c r="D1643">
        <f>IF(A1643="","",TEXTAFTER(A1643,"|",2))</f>
        <v/>
      </c>
      <c r="E1643">
        <f>IF(A1643="","",SUMIF(Tickets[TripKey],A1643,Tickets[TP]))</f>
        <v/>
      </c>
      <c r="F1643">
        <f>IF(A1643="","",SUMIF(Tickets[TripKey],A1643,Tickets[Revenue]))</f>
        <v/>
      </c>
      <c r="G1643">
        <f>IF(A1643="","",SUMIF(Tickets[TripKey],A1643,Tickets[PK]))</f>
        <v/>
      </c>
      <c r="H1643">
        <f>IF(A1643="","",IFERROR(XLOOKUP(A1643,Tickets[TripKey],Tickets[VehClean]),""))</f>
        <v/>
      </c>
      <c r="I1643">
        <f>IF(A1643="","",IFERROR(XLOOKUP(A1643,Tickets[TripKey],Tickets[RouteLen]),0))</f>
        <v/>
      </c>
      <c r="J1643">
        <f>IF(A1643="","",IFERROR(XLOOKUP(A1643,Tickets[TripKey],Tickets[Capacity]),0))</f>
        <v/>
      </c>
      <c r="K1643">
        <f>IF(A1643="","",I1643*J1643)</f>
        <v/>
      </c>
      <c r="L1643">
        <f>IF(A1643="","",IFERROR(MINIFS(Tickets[Trip Start Time],Tickets[TripKey],A1643),""))</f>
        <v/>
      </c>
    </row>
    <row r="1644">
      <c r="B1644" s="8">
        <f>IF(A1644="","",IFERROR(DATEVALUE(TEXTBEFORE(A1644,"|")),--LEFT(A1644,10)))</f>
        <v/>
      </c>
      <c r="C1644">
        <f>IF(A1644="","",TEXTBEFORE(TEXTAFTER(A1644,"|"),"|"))</f>
        <v/>
      </c>
      <c r="D1644">
        <f>IF(A1644="","",TEXTAFTER(A1644,"|",2))</f>
        <v/>
      </c>
      <c r="E1644">
        <f>IF(A1644="","",SUMIF(Tickets[TripKey],A1644,Tickets[TP]))</f>
        <v/>
      </c>
      <c r="F1644">
        <f>IF(A1644="","",SUMIF(Tickets[TripKey],A1644,Tickets[Revenue]))</f>
        <v/>
      </c>
      <c r="G1644">
        <f>IF(A1644="","",SUMIF(Tickets[TripKey],A1644,Tickets[PK]))</f>
        <v/>
      </c>
      <c r="H1644">
        <f>IF(A1644="","",IFERROR(XLOOKUP(A1644,Tickets[TripKey],Tickets[VehClean]),""))</f>
        <v/>
      </c>
      <c r="I1644">
        <f>IF(A1644="","",IFERROR(XLOOKUP(A1644,Tickets[TripKey],Tickets[RouteLen]),0))</f>
        <v/>
      </c>
      <c r="J1644">
        <f>IF(A1644="","",IFERROR(XLOOKUP(A1644,Tickets[TripKey],Tickets[Capacity]),0))</f>
        <v/>
      </c>
      <c r="K1644">
        <f>IF(A1644="","",I1644*J1644)</f>
        <v/>
      </c>
      <c r="L1644">
        <f>IF(A1644="","",IFERROR(MINIFS(Tickets[Trip Start Time],Tickets[TripKey],A1644),""))</f>
        <v/>
      </c>
    </row>
    <row r="1645">
      <c r="B1645" s="8">
        <f>IF(A1645="","",IFERROR(DATEVALUE(TEXTBEFORE(A1645,"|")),--LEFT(A1645,10)))</f>
        <v/>
      </c>
      <c r="C1645">
        <f>IF(A1645="","",TEXTBEFORE(TEXTAFTER(A1645,"|"),"|"))</f>
        <v/>
      </c>
      <c r="D1645">
        <f>IF(A1645="","",TEXTAFTER(A1645,"|",2))</f>
        <v/>
      </c>
      <c r="E1645">
        <f>IF(A1645="","",SUMIF(Tickets[TripKey],A1645,Tickets[TP]))</f>
        <v/>
      </c>
      <c r="F1645">
        <f>IF(A1645="","",SUMIF(Tickets[TripKey],A1645,Tickets[Revenue]))</f>
        <v/>
      </c>
      <c r="G1645">
        <f>IF(A1645="","",SUMIF(Tickets[TripKey],A1645,Tickets[PK]))</f>
        <v/>
      </c>
      <c r="H1645">
        <f>IF(A1645="","",IFERROR(XLOOKUP(A1645,Tickets[TripKey],Tickets[VehClean]),""))</f>
        <v/>
      </c>
      <c r="I1645">
        <f>IF(A1645="","",IFERROR(XLOOKUP(A1645,Tickets[TripKey],Tickets[RouteLen]),0))</f>
        <v/>
      </c>
      <c r="J1645">
        <f>IF(A1645="","",IFERROR(XLOOKUP(A1645,Tickets[TripKey],Tickets[Capacity]),0))</f>
        <v/>
      </c>
      <c r="K1645">
        <f>IF(A1645="","",I1645*J1645)</f>
        <v/>
      </c>
      <c r="L1645">
        <f>IF(A1645="","",IFERROR(MINIFS(Tickets[Trip Start Time],Tickets[TripKey],A1645),""))</f>
        <v/>
      </c>
    </row>
    <row r="1646">
      <c r="B1646" s="8">
        <f>IF(A1646="","",IFERROR(DATEVALUE(TEXTBEFORE(A1646,"|")),--LEFT(A1646,10)))</f>
        <v/>
      </c>
      <c r="C1646">
        <f>IF(A1646="","",TEXTBEFORE(TEXTAFTER(A1646,"|"),"|"))</f>
        <v/>
      </c>
      <c r="D1646">
        <f>IF(A1646="","",TEXTAFTER(A1646,"|",2))</f>
        <v/>
      </c>
      <c r="E1646">
        <f>IF(A1646="","",SUMIF(Tickets[TripKey],A1646,Tickets[TP]))</f>
        <v/>
      </c>
      <c r="F1646">
        <f>IF(A1646="","",SUMIF(Tickets[TripKey],A1646,Tickets[Revenue]))</f>
        <v/>
      </c>
      <c r="G1646">
        <f>IF(A1646="","",SUMIF(Tickets[TripKey],A1646,Tickets[PK]))</f>
        <v/>
      </c>
      <c r="H1646">
        <f>IF(A1646="","",IFERROR(XLOOKUP(A1646,Tickets[TripKey],Tickets[VehClean]),""))</f>
        <v/>
      </c>
      <c r="I1646">
        <f>IF(A1646="","",IFERROR(XLOOKUP(A1646,Tickets[TripKey],Tickets[RouteLen]),0))</f>
        <v/>
      </c>
      <c r="J1646">
        <f>IF(A1646="","",IFERROR(XLOOKUP(A1646,Tickets[TripKey],Tickets[Capacity]),0))</f>
        <v/>
      </c>
      <c r="K1646">
        <f>IF(A1646="","",I1646*J1646)</f>
        <v/>
      </c>
      <c r="L1646">
        <f>IF(A1646="","",IFERROR(MINIFS(Tickets[Trip Start Time],Tickets[TripKey],A1646),""))</f>
        <v/>
      </c>
    </row>
    <row r="1647">
      <c r="B1647" s="8">
        <f>IF(A1647="","",IFERROR(DATEVALUE(TEXTBEFORE(A1647,"|")),--LEFT(A1647,10)))</f>
        <v/>
      </c>
      <c r="C1647">
        <f>IF(A1647="","",TEXTBEFORE(TEXTAFTER(A1647,"|"),"|"))</f>
        <v/>
      </c>
      <c r="D1647">
        <f>IF(A1647="","",TEXTAFTER(A1647,"|",2))</f>
        <v/>
      </c>
      <c r="E1647">
        <f>IF(A1647="","",SUMIF(Tickets[TripKey],A1647,Tickets[TP]))</f>
        <v/>
      </c>
      <c r="F1647">
        <f>IF(A1647="","",SUMIF(Tickets[TripKey],A1647,Tickets[Revenue]))</f>
        <v/>
      </c>
      <c r="G1647">
        <f>IF(A1647="","",SUMIF(Tickets[TripKey],A1647,Tickets[PK]))</f>
        <v/>
      </c>
      <c r="H1647">
        <f>IF(A1647="","",IFERROR(XLOOKUP(A1647,Tickets[TripKey],Tickets[VehClean]),""))</f>
        <v/>
      </c>
      <c r="I1647">
        <f>IF(A1647="","",IFERROR(XLOOKUP(A1647,Tickets[TripKey],Tickets[RouteLen]),0))</f>
        <v/>
      </c>
      <c r="J1647">
        <f>IF(A1647="","",IFERROR(XLOOKUP(A1647,Tickets[TripKey],Tickets[Capacity]),0))</f>
        <v/>
      </c>
      <c r="K1647">
        <f>IF(A1647="","",I1647*J1647)</f>
        <v/>
      </c>
      <c r="L1647">
        <f>IF(A1647="","",IFERROR(MINIFS(Tickets[Trip Start Time],Tickets[TripKey],A1647),""))</f>
        <v/>
      </c>
    </row>
    <row r="1648">
      <c r="B1648" s="8">
        <f>IF(A1648="","",IFERROR(DATEVALUE(TEXTBEFORE(A1648,"|")),--LEFT(A1648,10)))</f>
        <v/>
      </c>
      <c r="C1648">
        <f>IF(A1648="","",TEXTBEFORE(TEXTAFTER(A1648,"|"),"|"))</f>
        <v/>
      </c>
      <c r="D1648">
        <f>IF(A1648="","",TEXTAFTER(A1648,"|",2))</f>
        <v/>
      </c>
      <c r="E1648">
        <f>IF(A1648="","",SUMIF(Tickets[TripKey],A1648,Tickets[TP]))</f>
        <v/>
      </c>
      <c r="F1648">
        <f>IF(A1648="","",SUMIF(Tickets[TripKey],A1648,Tickets[Revenue]))</f>
        <v/>
      </c>
      <c r="G1648">
        <f>IF(A1648="","",SUMIF(Tickets[TripKey],A1648,Tickets[PK]))</f>
        <v/>
      </c>
      <c r="H1648">
        <f>IF(A1648="","",IFERROR(XLOOKUP(A1648,Tickets[TripKey],Tickets[VehClean]),""))</f>
        <v/>
      </c>
      <c r="I1648">
        <f>IF(A1648="","",IFERROR(XLOOKUP(A1648,Tickets[TripKey],Tickets[RouteLen]),0))</f>
        <v/>
      </c>
      <c r="J1648">
        <f>IF(A1648="","",IFERROR(XLOOKUP(A1648,Tickets[TripKey],Tickets[Capacity]),0))</f>
        <v/>
      </c>
      <c r="K1648">
        <f>IF(A1648="","",I1648*J1648)</f>
        <v/>
      </c>
      <c r="L1648">
        <f>IF(A1648="","",IFERROR(MINIFS(Tickets[Trip Start Time],Tickets[TripKey],A1648),""))</f>
        <v/>
      </c>
    </row>
    <row r="1649">
      <c r="B1649" s="8">
        <f>IF(A1649="","",IFERROR(DATEVALUE(TEXTBEFORE(A1649,"|")),--LEFT(A1649,10)))</f>
        <v/>
      </c>
      <c r="C1649">
        <f>IF(A1649="","",TEXTBEFORE(TEXTAFTER(A1649,"|"),"|"))</f>
        <v/>
      </c>
      <c r="D1649">
        <f>IF(A1649="","",TEXTAFTER(A1649,"|",2))</f>
        <v/>
      </c>
      <c r="E1649">
        <f>IF(A1649="","",SUMIF(Tickets[TripKey],A1649,Tickets[TP]))</f>
        <v/>
      </c>
      <c r="F1649">
        <f>IF(A1649="","",SUMIF(Tickets[TripKey],A1649,Tickets[Revenue]))</f>
        <v/>
      </c>
      <c r="G1649">
        <f>IF(A1649="","",SUMIF(Tickets[TripKey],A1649,Tickets[PK]))</f>
        <v/>
      </c>
      <c r="H1649">
        <f>IF(A1649="","",IFERROR(XLOOKUP(A1649,Tickets[TripKey],Tickets[VehClean]),""))</f>
        <v/>
      </c>
      <c r="I1649">
        <f>IF(A1649="","",IFERROR(XLOOKUP(A1649,Tickets[TripKey],Tickets[RouteLen]),0))</f>
        <v/>
      </c>
      <c r="J1649">
        <f>IF(A1649="","",IFERROR(XLOOKUP(A1649,Tickets[TripKey],Tickets[Capacity]),0))</f>
        <v/>
      </c>
      <c r="K1649">
        <f>IF(A1649="","",I1649*J1649)</f>
        <v/>
      </c>
      <c r="L1649">
        <f>IF(A1649="","",IFERROR(MINIFS(Tickets[Trip Start Time],Tickets[TripKey],A1649),""))</f>
        <v/>
      </c>
    </row>
    <row r="1650">
      <c r="B1650" s="8">
        <f>IF(A1650="","",IFERROR(DATEVALUE(TEXTBEFORE(A1650,"|")),--LEFT(A1650,10)))</f>
        <v/>
      </c>
      <c r="C1650">
        <f>IF(A1650="","",TEXTBEFORE(TEXTAFTER(A1650,"|"),"|"))</f>
        <v/>
      </c>
      <c r="D1650">
        <f>IF(A1650="","",TEXTAFTER(A1650,"|",2))</f>
        <v/>
      </c>
      <c r="E1650">
        <f>IF(A1650="","",SUMIF(Tickets[TripKey],A1650,Tickets[TP]))</f>
        <v/>
      </c>
      <c r="F1650">
        <f>IF(A1650="","",SUMIF(Tickets[TripKey],A1650,Tickets[Revenue]))</f>
        <v/>
      </c>
      <c r="G1650">
        <f>IF(A1650="","",SUMIF(Tickets[TripKey],A1650,Tickets[PK]))</f>
        <v/>
      </c>
      <c r="H1650">
        <f>IF(A1650="","",IFERROR(XLOOKUP(A1650,Tickets[TripKey],Tickets[VehClean]),""))</f>
        <v/>
      </c>
      <c r="I1650">
        <f>IF(A1650="","",IFERROR(XLOOKUP(A1650,Tickets[TripKey],Tickets[RouteLen]),0))</f>
        <v/>
      </c>
      <c r="J1650">
        <f>IF(A1650="","",IFERROR(XLOOKUP(A1650,Tickets[TripKey],Tickets[Capacity]),0))</f>
        <v/>
      </c>
      <c r="K1650">
        <f>IF(A1650="","",I1650*J1650)</f>
        <v/>
      </c>
      <c r="L1650">
        <f>IF(A1650="","",IFERROR(MINIFS(Tickets[Trip Start Time],Tickets[TripKey],A1650),""))</f>
        <v/>
      </c>
    </row>
    <row r="1651">
      <c r="B1651" s="8">
        <f>IF(A1651="","",IFERROR(DATEVALUE(TEXTBEFORE(A1651,"|")),--LEFT(A1651,10)))</f>
        <v/>
      </c>
      <c r="C1651">
        <f>IF(A1651="","",TEXTBEFORE(TEXTAFTER(A1651,"|"),"|"))</f>
        <v/>
      </c>
      <c r="D1651">
        <f>IF(A1651="","",TEXTAFTER(A1651,"|",2))</f>
        <v/>
      </c>
      <c r="E1651">
        <f>IF(A1651="","",SUMIF(Tickets[TripKey],A1651,Tickets[TP]))</f>
        <v/>
      </c>
      <c r="F1651">
        <f>IF(A1651="","",SUMIF(Tickets[TripKey],A1651,Tickets[Revenue]))</f>
        <v/>
      </c>
      <c r="G1651">
        <f>IF(A1651="","",SUMIF(Tickets[TripKey],A1651,Tickets[PK]))</f>
        <v/>
      </c>
      <c r="H1651">
        <f>IF(A1651="","",IFERROR(XLOOKUP(A1651,Tickets[TripKey],Tickets[VehClean]),""))</f>
        <v/>
      </c>
      <c r="I1651">
        <f>IF(A1651="","",IFERROR(XLOOKUP(A1651,Tickets[TripKey],Tickets[RouteLen]),0))</f>
        <v/>
      </c>
      <c r="J1651">
        <f>IF(A1651="","",IFERROR(XLOOKUP(A1651,Tickets[TripKey],Tickets[Capacity]),0))</f>
        <v/>
      </c>
      <c r="K1651">
        <f>IF(A1651="","",I1651*J1651)</f>
        <v/>
      </c>
      <c r="L1651">
        <f>IF(A1651="","",IFERROR(MINIFS(Tickets[Trip Start Time],Tickets[TripKey],A1651),""))</f>
        <v/>
      </c>
    </row>
    <row r="1652">
      <c r="B1652" s="8">
        <f>IF(A1652="","",IFERROR(DATEVALUE(TEXTBEFORE(A1652,"|")),--LEFT(A1652,10)))</f>
        <v/>
      </c>
      <c r="C1652">
        <f>IF(A1652="","",TEXTBEFORE(TEXTAFTER(A1652,"|"),"|"))</f>
        <v/>
      </c>
      <c r="D1652">
        <f>IF(A1652="","",TEXTAFTER(A1652,"|",2))</f>
        <v/>
      </c>
      <c r="E1652">
        <f>IF(A1652="","",SUMIF(Tickets[TripKey],A1652,Tickets[TP]))</f>
        <v/>
      </c>
      <c r="F1652">
        <f>IF(A1652="","",SUMIF(Tickets[TripKey],A1652,Tickets[Revenue]))</f>
        <v/>
      </c>
      <c r="G1652">
        <f>IF(A1652="","",SUMIF(Tickets[TripKey],A1652,Tickets[PK]))</f>
        <v/>
      </c>
      <c r="H1652">
        <f>IF(A1652="","",IFERROR(XLOOKUP(A1652,Tickets[TripKey],Tickets[VehClean]),""))</f>
        <v/>
      </c>
      <c r="I1652">
        <f>IF(A1652="","",IFERROR(XLOOKUP(A1652,Tickets[TripKey],Tickets[RouteLen]),0))</f>
        <v/>
      </c>
      <c r="J1652">
        <f>IF(A1652="","",IFERROR(XLOOKUP(A1652,Tickets[TripKey],Tickets[Capacity]),0))</f>
        <v/>
      </c>
      <c r="K1652">
        <f>IF(A1652="","",I1652*J1652)</f>
        <v/>
      </c>
      <c r="L1652">
        <f>IF(A1652="","",IFERROR(MINIFS(Tickets[Trip Start Time],Tickets[TripKey],A1652),""))</f>
        <v/>
      </c>
    </row>
    <row r="1653">
      <c r="B1653" s="8">
        <f>IF(A1653="","",IFERROR(DATEVALUE(TEXTBEFORE(A1653,"|")),--LEFT(A1653,10)))</f>
        <v/>
      </c>
      <c r="C1653">
        <f>IF(A1653="","",TEXTBEFORE(TEXTAFTER(A1653,"|"),"|"))</f>
        <v/>
      </c>
      <c r="D1653">
        <f>IF(A1653="","",TEXTAFTER(A1653,"|",2))</f>
        <v/>
      </c>
      <c r="E1653">
        <f>IF(A1653="","",SUMIF(Tickets[TripKey],A1653,Tickets[TP]))</f>
        <v/>
      </c>
      <c r="F1653">
        <f>IF(A1653="","",SUMIF(Tickets[TripKey],A1653,Tickets[Revenue]))</f>
        <v/>
      </c>
      <c r="G1653">
        <f>IF(A1653="","",SUMIF(Tickets[TripKey],A1653,Tickets[PK]))</f>
        <v/>
      </c>
      <c r="H1653">
        <f>IF(A1653="","",IFERROR(XLOOKUP(A1653,Tickets[TripKey],Tickets[VehClean]),""))</f>
        <v/>
      </c>
      <c r="I1653">
        <f>IF(A1653="","",IFERROR(XLOOKUP(A1653,Tickets[TripKey],Tickets[RouteLen]),0))</f>
        <v/>
      </c>
      <c r="J1653">
        <f>IF(A1653="","",IFERROR(XLOOKUP(A1653,Tickets[TripKey],Tickets[Capacity]),0))</f>
        <v/>
      </c>
      <c r="K1653">
        <f>IF(A1653="","",I1653*J1653)</f>
        <v/>
      </c>
      <c r="L1653">
        <f>IF(A1653="","",IFERROR(MINIFS(Tickets[Trip Start Time],Tickets[TripKey],A1653),""))</f>
        <v/>
      </c>
    </row>
    <row r="1654">
      <c r="B1654" s="8">
        <f>IF(A1654="","",IFERROR(DATEVALUE(TEXTBEFORE(A1654,"|")),--LEFT(A1654,10)))</f>
        <v/>
      </c>
      <c r="C1654">
        <f>IF(A1654="","",TEXTBEFORE(TEXTAFTER(A1654,"|"),"|"))</f>
        <v/>
      </c>
      <c r="D1654">
        <f>IF(A1654="","",TEXTAFTER(A1654,"|",2))</f>
        <v/>
      </c>
      <c r="E1654">
        <f>IF(A1654="","",SUMIF(Tickets[TripKey],A1654,Tickets[TP]))</f>
        <v/>
      </c>
      <c r="F1654">
        <f>IF(A1654="","",SUMIF(Tickets[TripKey],A1654,Tickets[Revenue]))</f>
        <v/>
      </c>
      <c r="G1654">
        <f>IF(A1654="","",SUMIF(Tickets[TripKey],A1654,Tickets[PK]))</f>
        <v/>
      </c>
      <c r="H1654">
        <f>IF(A1654="","",IFERROR(XLOOKUP(A1654,Tickets[TripKey],Tickets[VehClean]),""))</f>
        <v/>
      </c>
      <c r="I1654">
        <f>IF(A1654="","",IFERROR(XLOOKUP(A1654,Tickets[TripKey],Tickets[RouteLen]),0))</f>
        <v/>
      </c>
      <c r="J1654">
        <f>IF(A1654="","",IFERROR(XLOOKUP(A1654,Tickets[TripKey],Tickets[Capacity]),0))</f>
        <v/>
      </c>
      <c r="K1654">
        <f>IF(A1654="","",I1654*J1654)</f>
        <v/>
      </c>
      <c r="L1654">
        <f>IF(A1654="","",IFERROR(MINIFS(Tickets[Trip Start Time],Tickets[TripKey],A1654),""))</f>
        <v/>
      </c>
    </row>
    <row r="1655">
      <c r="B1655" s="8">
        <f>IF(A1655="","",IFERROR(DATEVALUE(TEXTBEFORE(A1655,"|")),--LEFT(A1655,10)))</f>
        <v/>
      </c>
      <c r="C1655">
        <f>IF(A1655="","",TEXTBEFORE(TEXTAFTER(A1655,"|"),"|"))</f>
        <v/>
      </c>
      <c r="D1655">
        <f>IF(A1655="","",TEXTAFTER(A1655,"|",2))</f>
        <v/>
      </c>
      <c r="E1655">
        <f>IF(A1655="","",SUMIF(Tickets[TripKey],A1655,Tickets[TP]))</f>
        <v/>
      </c>
      <c r="F1655">
        <f>IF(A1655="","",SUMIF(Tickets[TripKey],A1655,Tickets[Revenue]))</f>
        <v/>
      </c>
      <c r="G1655">
        <f>IF(A1655="","",SUMIF(Tickets[TripKey],A1655,Tickets[PK]))</f>
        <v/>
      </c>
      <c r="H1655">
        <f>IF(A1655="","",IFERROR(XLOOKUP(A1655,Tickets[TripKey],Tickets[VehClean]),""))</f>
        <v/>
      </c>
      <c r="I1655">
        <f>IF(A1655="","",IFERROR(XLOOKUP(A1655,Tickets[TripKey],Tickets[RouteLen]),0))</f>
        <v/>
      </c>
      <c r="J1655">
        <f>IF(A1655="","",IFERROR(XLOOKUP(A1655,Tickets[TripKey],Tickets[Capacity]),0))</f>
        <v/>
      </c>
      <c r="K1655">
        <f>IF(A1655="","",I1655*J1655)</f>
        <v/>
      </c>
      <c r="L1655">
        <f>IF(A1655="","",IFERROR(MINIFS(Tickets[Trip Start Time],Tickets[TripKey],A1655),""))</f>
        <v/>
      </c>
    </row>
    <row r="1656">
      <c r="B1656" s="8">
        <f>IF(A1656="","",IFERROR(DATEVALUE(TEXTBEFORE(A1656,"|")),--LEFT(A1656,10)))</f>
        <v/>
      </c>
      <c r="C1656">
        <f>IF(A1656="","",TEXTBEFORE(TEXTAFTER(A1656,"|"),"|"))</f>
        <v/>
      </c>
      <c r="D1656">
        <f>IF(A1656="","",TEXTAFTER(A1656,"|",2))</f>
        <v/>
      </c>
      <c r="E1656">
        <f>IF(A1656="","",SUMIF(Tickets[TripKey],A1656,Tickets[TP]))</f>
        <v/>
      </c>
      <c r="F1656">
        <f>IF(A1656="","",SUMIF(Tickets[TripKey],A1656,Tickets[Revenue]))</f>
        <v/>
      </c>
      <c r="G1656">
        <f>IF(A1656="","",SUMIF(Tickets[TripKey],A1656,Tickets[PK]))</f>
        <v/>
      </c>
      <c r="H1656">
        <f>IF(A1656="","",IFERROR(XLOOKUP(A1656,Tickets[TripKey],Tickets[VehClean]),""))</f>
        <v/>
      </c>
      <c r="I1656">
        <f>IF(A1656="","",IFERROR(XLOOKUP(A1656,Tickets[TripKey],Tickets[RouteLen]),0))</f>
        <v/>
      </c>
      <c r="J1656">
        <f>IF(A1656="","",IFERROR(XLOOKUP(A1656,Tickets[TripKey],Tickets[Capacity]),0))</f>
        <v/>
      </c>
      <c r="K1656">
        <f>IF(A1656="","",I1656*J1656)</f>
        <v/>
      </c>
      <c r="L1656">
        <f>IF(A1656="","",IFERROR(MINIFS(Tickets[Trip Start Time],Tickets[TripKey],A1656),""))</f>
        <v/>
      </c>
    </row>
    <row r="1657">
      <c r="B1657" s="8">
        <f>IF(A1657="","",IFERROR(DATEVALUE(TEXTBEFORE(A1657,"|")),--LEFT(A1657,10)))</f>
        <v/>
      </c>
      <c r="C1657">
        <f>IF(A1657="","",TEXTBEFORE(TEXTAFTER(A1657,"|"),"|"))</f>
        <v/>
      </c>
      <c r="D1657">
        <f>IF(A1657="","",TEXTAFTER(A1657,"|",2))</f>
        <v/>
      </c>
      <c r="E1657">
        <f>IF(A1657="","",SUMIF(Tickets[TripKey],A1657,Tickets[TP]))</f>
        <v/>
      </c>
      <c r="F1657">
        <f>IF(A1657="","",SUMIF(Tickets[TripKey],A1657,Tickets[Revenue]))</f>
        <v/>
      </c>
      <c r="G1657">
        <f>IF(A1657="","",SUMIF(Tickets[TripKey],A1657,Tickets[PK]))</f>
        <v/>
      </c>
      <c r="H1657">
        <f>IF(A1657="","",IFERROR(XLOOKUP(A1657,Tickets[TripKey],Tickets[VehClean]),""))</f>
        <v/>
      </c>
      <c r="I1657">
        <f>IF(A1657="","",IFERROR(XLOOKUP(A1657,Tickets[TripKey],Tickets[RouteLen]),0))</f>
        <v/>
      </c>
      <c r="J1657">
        <f>IF(A1657="","",IFERROR(XLOOKUP(A1657,Tickets[TripKey],Tickets[Capacity]),0))</f>
        <v/>
      </c>
      <c r="K1657">
        <f>IF(A1657="","",I1657*J1657)</f>
        <v/>
      </c>
      <c r="L1657">
        <f>IF(A1657="","",IFERROR(MINIFS(Tickets[Trip Start Time],Tickets[TripKey],A1657),""))</f>
        <v/>
      </c>
    </row>
    <row r="1658">
      <c r="B1658" s="8">
        <f>IF(A1658="","",IFERROR(DATEVALUE(TEXTBEFORE(A1658,"|")),--LEFT(A1658,10)))</f>
        <v/>
      </c>
      <c r="C1658">
        <f>IF(A1658="","",TEXTBEFORE(TEXTAFTER(A1658,"|"),"|"))</f>
        <v/>
      </c>
      <c r="D1658">
        <f>IF(A1658="","",TEXTAFTER(A1658,"|",2))</f>
        <v/>
      </c>
      <c r="E1658">
        <f>IF(A1658="","",SUMIF(Tickets[TripKey],A1658,Tickets[TP]))</f>
        <v/>
      </c>
      <c r="F1658">
        <f>IF(A1658="","",SUMIF(Tickets[TripKey],A1658,Tickets[Revenue]))</f>
        <v/>
      </c>
      <c r="G1658">
        <f>IF(A1658="","",SUMIF(Tickets[TripKey],A1658,Tickets[PK]))</f>
        <v/>
      </c>
      <c r="H1658">
        <f>IF(A1658="","",IFERROR(XLOOKUP(A1658,Tickets[TripKey],Tickets[VehClean]),""))</f>
        <v/>
      </c>
      <c r="I1658">
        <f>IF(A1658="","",IFERROR(XLOOKUP(A1658,Tickets[TripKey],Tickets[RouteLen]),0))</f>
        <v/>
      </c>
      <c r="J1658">
        <f>IF(A1658="","",IFERROR(XLOOKUP(A1658,Tickets[TripKey],Tickets[Capacity]),0))</f>
        <v/>
      </c>
      <c r="K1658">
        <f>IF(A1658="","",I1658*J1658)</f>
        <v/>
      </c>
      <c r="L1658">
        <f>IF(A1658="","",IFERROR(MINIFS(Tickets[Trip Start Time],Tickets[TripKey],A1658),""))</f>
        <v/>
      </c>
    </row>
    <row r="1659">
      <c r="B1659" s="8">
        <f>IF(A1659="","",IFERROR(DATEVALUE(TEXTBEFORE(A1659,"|")),--LEFT(A1659,10)))</f>
        <v/>
      </c>
      <c r="C1659">
        <f>IF(A1659="","",TEXTBEFORE(TEXTAFTER(A1659,"|"),"|"))</f>
        <v/>
      </c>
      <c r="D1659">
        <f>IF(A1659="","",TEXTAFTER(A1659,"|",2))</f>
        <v/>
      </c>
      <c r="E1659">
        <f>IF(A1659="","",SUMIF(Tickets[TripKey],A1659,Tickets[TP]))</f>
        <v/>
      </c>
      <c r="F1659">
        <f>IF(A1659="","",SUMIF(Tickets[TripKey],A1659,Tickets[Revenue]))</f>
        <v/>
      </c>
      <c r="G1659">
        <f>IF(A1659="","",SUMIF(Tickets[TripKey],A1659,Tickets[PK]))</f>
        <v/>
      </c>
      <c r="H1659">
        <f>IF(A1659="","",IFERROR(XLOOKUP(A1659,Tickets[TripKey],Tickets[VehClean]),""))</f>
        <v/>
      </c>
      <c r="I1659">
        <f>IF(A1659="","",IFERROR(XLOOKUP(A1659,Tickets[TripKey],Tickets[RouteLen]),0))</f>
        <v/>
      </c>
      <c r="J1659">
        <f>IF(A1659="","",IFERROR(XLOOKUP(A1659,Tickets[TripKey],Tickets[Capacity]),0))</f>
        <v/>
      </c>
      <c r="K1659">
        <f>IF(A1659="","",I1659*J1659)</f>
        <v/>
      </c>
      <c r="L1659">
        <f>IF(A1659="","",IFERROR(MINIFS(Tickets[Trip Start Time],Tickets[TripKey],A1659),""))</f>
        <v/>
      </c>
    </row>
    <row r="1660">
      <c r="B1660" s="8">
        <f>IF(A1660="","",IFERROR(DATEVALUE(TEXTBEFORE(A1660,"|")),--LEFT(A1660,10)))</f>
        <v/>
      </c>
      <c r="C1660">
        <f>IF(A1660="","",TEXTBEFORE(TEXTAFTER(A1660,"|"),"|"))</f>
        <v/>
      </c>
      <c r="D1660">
        <f>IF(A1660="","",TEXTAFTER(A1660,"|",2))</f>
        <v/>
      </c>
      <c r="E1660">
        <f>IF(A1660="","",SUMIF(Tickets[TripKey],A1660,Tickets[TP]))</f>
        <v/>
      </c>
      <c r="F1660">
        <f>IF(A1660="","",SUMIF(Tickets[TripKey],A1660,Tickets[Revenue]))</f>
        <v/>
      </c>
      <c r="G1660">
        <f>IF(A1660="","",SUMIF(Tickets[TripKey],A1660,Tickets[PK]))</f>
        <v/>
      </c>
      <c r="H1660">
        <f>IF(A1660="","",IFERROR(XLOOKUP(A1660,Tickets[TripKey],Tickets[VehClean]),""))</f>
        <v/>
      </c>
      <c r="I1660">
        <f>IF(A1660="","",IFERROR(XLOOKUP(A1660,Tickets[TripKey],Tickets[RouteLen]),0))</f>
        <v/>
      </c>
      <c r="J1660">
        <f>IF(A1660="","",IFERROR(XLOOKUP(A1660,Tickets[TripKey],Tickets[Capacity]),0))</f>
        <v/>
      </c>
      <c r="K1660">
        <f>IF(A1660="","",I1660*J1660)</f>
        <v/>
      </c>
      <c r="L1660">
        <f>IF(A1660="","",IFERROR(MINIFS(Tickets[Trip Start Time],Tickets[TripKey],A1660),""))</f>
        <v/>
      </c>
    </row>
    <row r="1661">
      <c r="B1661" s="8">
        <f>IF(A1661="","",IFERROR(DATEVALUE(TEXTBEFORE(A1661,"|")),--LEFT(A1661,10)))</f>
        <v/>
      </c>
      <c r="C1661">
        <f>IF(A1661="","",TEXTBEFORE(TEXTAFTER(A1661,"|"),"|"))</f>
        <v/>
      </c>
      <c r="D1661">
        <f>IF(A1661="","",TEXTAFTER(A1661,"|",2))</f>
        <v/>
      </c>
      <c r="E1661">
        <f>IF(A1661="","",SUMIF(Tickets[TripKey],A1661,Tickets[TP]))</f>
        <v/>
      </c>
      <c r="F1661">
        <f>IF(A1661="","",SUMIF(Tickets[TripKey],A1661,Tickets[Revenue]))</f>
        <v/>
      </c>
      <c r="G1661">
        <f>IF(A1661="","",SUMIF(Tickets[TripKey],A1661,Tickets[PK]))</f>
        <v/>
      </c>
      <c r="H1661">
        <f>IF(A1661="","",IFERROR(XLOOKUP(A1661,Tickets[TripKey],Tickets[VehClean]),""))</f>
        <v/>
      </c>
      <c r="I1661">
        <f>IF(A1661="","",IFERROR(XLOOKUP(A1661,Tickets[TripKey],Tickets[RouteLen]),0))</f>
        <v/>
      </c>
      <c r="J1661">
        <f>IF(A1661="","",IFERROR(XLOOKUP(A1661,Tickets[TripKey],Tickets[Capacity]),0))</f>
        <v/>
      </c>
      <c r="K1661">
        <f>IF(A1661="","",I1661*J1661)</f>
        <v/>
      </c>
      <c r="L1661">
        <f>IF(A1661="","",IFERROR(MINIFS(Tickets[Trip Start Time],Tickets[TripKey],A1661),""))</f>
        <v/>
      </c>
    </row>
    <row r="1662">
      <c r="B1662" s="8">
        <f>IF(A1662="","",IFERROR(DATEVALUE(TEXTBEFORE(A1662,"|")),--LEFT(A1662,10)))</f>
        <v/>
      </c>
      <c r="C1662">
        <f>IF(A1662="","",TEXTBEFORE(TEXTAFTER(A1662,"|"),"|"))</f>
        <v/>
      </c>
      <c r="D1662">
        <f>IF(A1662="","",TEXTAFTER(A1662,"|",2))</f>
        <v/>
      </c>
      <c r="E1662">
        <f>IF(A1662="","",SUMIF(Tickets[TripKey],A1662,Tickets[TP]))</f>
        <v/>
      </c>
      <c r="F1662">
        <f>IF(A1662="","",SUMIF(Tickets[TripKey],A1662,Tickets[Revenue]))</f>
        <v/>
      </c>
      <c r="G1662">
        <f>IF(A1662="","",SUMIF(Tickets[TripKey],A1662,Tickets[PK]))</f>
        <v/>
      </c>
      <c r="H1662">
        <f>IF(A1662="","",IFERROR(XLOOKUP(A1662,Tickets[TripKey],Tickets[VehClean]),""))</f>
        <v/>
      </c>
      <c r="I1662">
        <f>IF(A1662="","",IFERROR(XLOOKUP(A1662,Tickets[TripKey],Tickets[RouteLen]),0))</f>
        <v/>
      </c>
      <c r="J1662">
        <f>IF(A1662="","",IFERROR(XLOOKUP(A1662,Tickets[TripKey],Tickets[Capacity]),0))</f>
        <v/>
      </c>
      <c r="K1662">
        <f>IF(A1662="","",I1662*J1662)</f>
        <v/>
      </c>
      <c r="L1662">
        <f>IF(A1662="","",IFERROR(MINIFS(Tickets[Trip Start Time],Tickets[TripKey],A1662),""))</f>
        <v/>
      </c>
    </row>
    <row r="1663">
      <c r="B1663" s="8">
        <f>IF(A1663="","",IFERROR(DATEVALUE(TEXTBEFORE(A1663,"|")),--LEFT(A1663,10)))</f>
        <v/>
      </c>
      <c r="C1663">
        <f>IF(A1663="","",TEXTBEFORE(TEXTAFTER(A1663,"|"),"|"))</f>
        <v/>
      </c>
      <c r="D1663">
        <f>IF(A1663="","",TEXTAFTER(A1663,"|",2))</f>
        <v/>
      </c>
      <c r="E1663">
        <f>IF(A1663="","",SUMIF(Tickets[TripKey],A1663,Tickets[TP]))</f>
        <v/>
      </c>
      <c r="F1663">
        <f>IF(A1663="","",SUMIF(Tickets[TripKey],A1663,Tickets[Revenue]))</f>
        <v/>
      </c>
      <c r="G1663">
        <f>IF(A1663="","",SUMIF(Tickets[TripKey],A1663,Tickets[PK]))</f>
        <v/>
      </c>
      <c r="H1663">
        <f>IF(A1663="","",IFERROR(XLOOKUP(A1663,Tickets[TripKey],Tickets[VehClean]),""))</f>
        <v/>
      </c>
      <c r="I1663">
        <f>IF(A1663="","",IFERROR(XLOOKUP(A1663,Tickets[TripKey],Tickets[RouteLen]),0))</f>
        <v/>
      </c>
      <c r="J1663">
        <f>IF(A1663="","",IFERROR(XLOOKUP(A1663,Tickets[TripKey],Tickets[Capacity]),0))</f>
        <v/>
      </c>
      <c r="K1663">
        <f>IF(A1663="","",I1663*J1663)</f>
        <v/>
      </c>
      <c r="L1663">
        <f>IF(A1663="","",IFERROR(MINIFS(Tickets[Trip Start Time],Tickets[TripKey],A1663),""))</f>
        <v/>
      </c>
    </row>
    <row r="1664">
      <c r="B1664" s="8">
        <f>IF(A1664="","",IFERROR(DATEVALUE(TEXTBEFORE(A1664,"|")),--LEFT(A1664,10)))</f>
        <v/>
      </c>
      <c r="C1664">
        <f>IF(A1664="","",TEXTBEFORE(TEXTAFTER(A1664,"|"),"|"))</f>
        <v/>
      </c>
      <c r="D1664">
        <f>IF(A1664="","",TEXTAFTER(A1664,"|",2))</f>
        <v/>
      </c>
      <c r="E1664">
        <f>IF(A1664="","",SUMIF(Tickets[TripKey],A1664,Tickets[TP]))</f>
        <v/>
      </c>
      <c r="F1664">
        <f>IF(A1664="","",SUMIF(Tickets[TripKey],A1664,Tickets[Revenue]))</f>
        <v/>
      </c>
      <c r="G1664">
        <f>IF(A1664="","",SUMIF(Tickets[TripKey],A1664,Tickets[PK]))</f>
        <v/>
      </c>
      <c r="H1664">
        <f>IF(A1664="","",IFERROR(XLOOKUP(A1664,Tickets[TripKey],Tickets[VehClean]),""))</f>
        <v/>
      </c>
      <c r="I1664">
        <f>IF(A1664="","",IFERROR(XLOOKUP(A1664,Tickets[TripKey],Tickets[RouteLen]),0))</f>
        <v/>
      </c>
      <c r="J1664">
        <f>IF(A1664="","",IFERROR(XLOOKUP(A1664,Tickets[TripKey],Tickets[Capacity]),0))</f>
        <v/>
      </c>
      <c r="K1664">
        <f>IF(A1664="","",I1664*J1664)</f>
        <v/>
      </c>
      <c r="L1664">
        <f>IF(A1664="","",IFERROR(MINIFS(Tickets[Trip Start Time],Tickets[TripKey],A1664),""))</f>
        <v/>
      </c>
    </row>
    <row r="1665">
      <c r="B1665" s="8">
        <f>IF(A1665="","",IFERROR(DATEVALUE(TEXTBEFORE(A1665,"|")),--LEFT(A1665,10)))</f>
        <v/>
      </c>
      <c r="C1665">
        <f>IF(A1665="","",TEXTBEFORE(TEXTAFTER(A1665,"|"),"|"))</f>
        <v/>
      </c>
      <c r="D1665">
        <f>IF(A1665="","",TEXTAFTER(A1665,"|",2))</f>
        <v/>
      </c>
      <c r="E1665">
        <f>IF(A1665="","",SUMIF(Tickets[TripKey],A1665,Tickets[TP]))</f>
        <v/>
      </c>
      <c r="F1665">
        <f>IF(A1665="","",SUMIF(Tickets[TripKey],A1665,Tickets[Revenue]))</f>
        <v/>
      </c>
      <c r="G1665">
        <f>IF(A1665="","",SUMIF(Tickets[TripKey],A1665,Tickets[PK]))</f>
        <v/>
      </c>
      <c r="H1665">
        <f>IF(A1665="","",IFERROR(XLOOKUP(A1665,Tickets[TripKey],Tickets[VehClean]),""))</f>
        <v/>
      </c>
      <c r="I1665">
        <f>IF(A1665="","",IFERROR(XLOOKUP(A1665,Tickets[TripKey],Tickets[RouteLen]),0))</f>
        <v/>
      </c>
      <c r="J1665">
        <f>IF(A1665="","",IFERROR(XLOOKUP(A1665,Tickets[TripKey],Tickets[Capacity]),0))</f>
        <v/>
      </c>
      <c r="K1665">
        <f>IF(A1665="","",I1665*J1665)</f>
        <v/>
      </c>
      <c r="L1665">
        <f>IF(A1665="","",IFERROR(MINIFS(Tickets[Trip Start Time],Tickets[TripKey],A1665),""))</f>
        <v/>
      </c>
    </row>
    <row r="1666">
      <c r="B1666" s="8">
        <f>IF(A1666="","",IFERROR(DATEVALUE(TEXTBEFORE(A1666,"|")),--LEFT(A1666,10)))</f>
        <v/>
      </c>
      <c r="C1666">
        <f>IF(A1666="","",TEXTBEFORE(TEXTAFTER(A1666,"|"),"|"))</f>
        <v/>
      </c>
      <c r="D1666">
        <f>IF(A1666="","",TEXTAFTER(A1666,"|",2))</f>
        <v/>
      </c>
      <c r="E1666">
        <f>IF(A1666="","",SUMIF(Tickets[TripKey],A1666,Tickets[TP]))</f>
        <v/>
      </c>
      <c r="F1666">
        <f>IF(A1666="","",SUMIF(Tickets[TripKey],A1666,Tickets[Revenue]))</f>
        <v/>
      </c>
      <c r="G1666">
        <f>IF(A1666="","",SUMIF(Tickets[TripKey],A1666,Tickets[PK]))</f>
        <v/>
      </c>
      <c r="H1666">
        <f>IF(A1666="","",IFERROR(XLOOKUP(A1666,Tickets[TripKey],Tickets[VehClean]),""))</f>
        <v/>
      </c>
      <c r="I1666">
        <f>IF(A1666="","",IFERROR(XLOOKUP(A1666,Tickets[TripKey],Tickets[RouteLen]),0))</f>
        <v/>
      </c>
      <c r="J1666">
        <f>IF(A1666="","",IFERROR(XLOOKUP(A1666,Tickets[TripKey],Tickets[Capacity]),0))</f>
        <v/>
      </c>
      <c r="K1666">
        <f>IF(A1666="","",I1666*J1666)</f>
        <v/>
      </c>
      <c r="L1666">
        <f>IF(A1666="","",IFERROR(MINIFS(Tickets[Trip Start Time],Tickets[TripKey],A1666),""))</f>
        <v/>
      </c>
    </row>
    <row r="1667">
      <c r="B1667" s="8">
        <f>IF(A1667="","",IFERROR(DATEVALUE(TEXTBEFORE(A1667,"|")),--LEFT(A1667,10)))</f>
        <v/>
      </c>
      <c r="C1667">
        <f>IF(A1667="","",TEXTBEFORE(TEXTAFTER(A1667,"|"),"|"))</f>
        <v/>
      </c>
      <c r="D1667">
        <f>IF(A1667="","",TEXTAFTER(A1667,"|",2))</f>
        <v/>
      </c>
      <c r="E1667">
        <f>IF(A1667="","",SUMIF(Tickets[TripKey],A1667,Tickets[TP]))</f>
        <v/>
      </c>
      <c r="F1667">
        <f>IF(A1667="","",SUMIF(Tickets[TripKey],A1667,Tickets[Revenue]))</f>
        <v/>
      </c>
      <c r="G1667">
        <f>IF(A1667="","",SUMIF(Tickets[TripKey],A1667,Tickets[PK]))</f>
        <v/>
      </c>
      <c r="H1667">
        <f>IF(A1667="","",IFERROR(XLOOKUP(A1667,Tickets[TripKey],Tickets[VehClean]),""))</f>
        <v/>
      </c>
      <c r="I1667">
        <f>IF(A1667="","",IFERROR(XLOOKUP(A1667,Tickets[TripKey],Tickets[RouteLen]),0))</f>
        <v/>
      </c>
      <c r="J1667">
        <f>IF(A1667="","",IFERROR(XLOOKUP(A1667,Tickets[TripKey],Tickets[Capacity]),0))</f>
        <v/>
      </c>
      <c r="K1667">
        <f>IF(A1667="","",I1667*J1667)</f>
        <v/>
      </c>
      <c r="L1667">
        <f>IF(A1667="","",IFERROR(MINIFS(Tickets[Trip Start Time],Tickets[TripKey],A1667),""))</f>
        <v/>
      </c>
    </row>
    <row r="1668">
      <c r="B1668" s="8">
        <f>IF(A1668="","",IFERROR(DATEVALUE(TEXTBEFORE(A1668,"|")),--LEFT(A1668,10)))</f>
        <v/>
      </c>
      <c r="C1668">
        <f>IF(A1668="","",TEXTBEFORE(TEXTAFTER(A1668,"|"),"|"))</f>
        <v/>
      </c>
      <c r="D1668">
        <f>IF(A1668="","",TEXTAFTER(A1668,"|",2))</f>
        <v/>
      </c>
      <c r="E1668">
        <f>IF(A1668="","",SUMIF(Tickets[TripKey],A1668,Tickets[TP]))</f>
        <v/>
      </c>
      <c r="F1668">
        <f>IF(A1668="","",SUMIF(Tickets[TripKey],A1668,Tickets[Revenue]))</f>
        <v/>
      </c>
      <c r="G1668">
        <f>IF(A1668="","",SUMIF(Tickets[TripKey],A1668,Tickets[PK]))</f>
        <v/>
      </c>
      <c r="H1668">
        <f>IF(A1668="","",IFERROR(XLOOKUP(A1668,Tickets[TripKey],Tickets[VehClean]),""))</f>
        <v/>
      </c>
      <c r="I1668">
        <f>IF(A1668="","",IFERROR(XLOOKUP(A1668,Tickets[TripKey],Tickets[RouteLen]),0))</f>
        <v/>
      </c>
      <c r="J1668">
        <f>IF(A1668="","",IFERROR(XLOOKUP(A1668,Tickets[TripKey],Tickets[Capacity]),0))</f>
        <v/>
      </c>
      <c r="K1668">
        <f>IF(A1668="","",I1668*J1668)</f>
        <v/>
      </c>
      <c r="L1668">
        <f>IF(A1668="","",IFERROR(MINIFS(Tickets[Trip Start Time],Tickets[TripKey],A1668),""))</f>
        <v/>
      </c>
    </row>
    <row r="1669">
      <c r="B1669" s="8">
        <f>IF(A1669="","",IFERROR(DATEVALUE(TEXTBEFORE(A1669,"|")),--LEFT(A1669,10)))</f>
        <v/>
      </c>
      <c r="C1669">
        <f>IF(A1669="","",TEXTBEFORE(TEXTAFTER(A1669,"|"),"|"))</f>
        <v/>
      </c>
      <c r="D1669">
        <f>IF(A1669="","",TEXTAFTER(A1669,"|",2))</f>
        <v/>
      </c>
      <c r="E1669">
        <f>IF(A1669="","",SUMIF(Tickets[TripKey],A1669,Tickets[TP]))</f>
        <v/>
      </c>
      <c r="F1669">
        <f>IF(A1669="","",SUMIF(Tickets[TripKey],A1669,Tickets[Revenue]))</f>
        <v/>
      </c>
      <c r="G1669">
        <f>IF(A1669="","",SUMIF(Tickets[TripKey],A1669,Tickets[PK]))</f>
        <v/>
      </c>
      <c r="H1669">
        <f>IF(A1669="","",IFERROR(XLOOKUP(A1669,Tickets[TripKey],Tickets[VehClean]),""))</f>
        <v/>
      </c>
      <c r="I1669">
        <f>IF(A1669="","",IFERROR(XLOOKUP(A1669,Tickets[TripKey],Tickets[RouteLen]),0))</f>
        <v/>
      </c>
      <c r="J1669">
        <f>IF(A1669="","",IFERROR(XLOOKUP(A1669,Tickets[TripKey],Tickets[Capacity]),0))</f>
        <v/>
      </c>
      <c r="K1669">
        <f>IF(A1669="","",I1669*J1669)</f>
        <v/>
      </c>
      <c r="L1669">
        <f>IF(A1669="","",IFERROR(MINIFS(Tickets[Trip Start Time],Tickets[TripKey],A1669),""))</f>
        <v/>
      </c>
    </row>
    <row r="1670">
      <c r="B1670" s="8">
        <f>IF(A1670="","",IFERROR(DATEVALUE(TEXTBEFORE(A1670,"|")),--LEFT(A1670,10)))</f>
        <v/>
      </c>
      <c r="C1670">
        <f>IF(A1670="","",TEXTBEFORE(TEXTAFTER(A1670,"|"),"|"))</f>
        <v/>
      </c>
      <c r="D1670">
        <f>IF(A1670="","",TEXTAFTER(A1670,"|",2))</f>
        <v/>
      </c>
      <c r="E1670">
        <f>IF(A1670="","",SUMIF(Tickets[TripKey],A1670,Tickets[TP]))</f>
        <v/>
      </c>
      <c r="F1670">
        <f>IF(A1670="","",SUMIF(Tickets[TripKey],A1670,Tickets[Revenue]))</f>
        <v/>
      </c>
      <c r="G1670">
        <f>IF(A1670="","",SUMIF(Tickets[TripKey],A1670,Tickets[PK]))</f>
        <v/>
      </c>
      <c r="H1670">
        <f>IF(A1670="","",IFERROR(XLOOKUP(A1670,Tickets[TripKey],Tickets[VehClean]),""))</f>
        <v/>
      </c>
      <c r="I1670">
        <f>IF(A1670="","",IFERROR(XLOOKUP(A1670,Tickets[TripKey],Tickets[RouteLen]),0))</f>
        <v/>
      </c>
      <c r="J1670">
        <f>IF(A1670="","",IFERROR(XLOOKUP(A1670,Tickets[TripKey],Tickets[Capacity]),0))</f>
        <v/>
      </c>
      <c r="K1670">
        <f>IF(A1670="","",I1670*J1670)</f>
        <v/>
      </c>
      <c r="L1670">
        <f>IF(A1670="","",IFERROR(MINIFS(Tickets[Trip Start Time],Tickets[TripKey],A1670),""))</f>
        <v/>
      </c>
    </row>
    <row r="1671">
      <c r="B1671" s="8">
        <f>IF(A1671="","",IFERROR(DATEVALUE(TEXTBEFORE(A1671,"|")),--LEFT(A1671,10)))</f>
        <v/>
      </c>
      <c r="C1671">
        <f>IF(A1671="","",TEXTBEFORE(TEXTAFTER(A1671,"|"),"|"))</f>
        <v/>
      </c>
      <c r="D1671">
        <f>IF(A1671="","",TEXTAFTER(A1671,"|",2))</f>
        <v/>
      </c>
      <c r="E1671">
        <f>IF(A1671="","",SUMIF(Tickets[TripKey],A1671,Tickets[TP]))</f>
        <v/>
      </c>
      <c r="F1671">
        <f>IF(A1671="","",SUMIF(Tickets[TripKey],A1671,Tickets[Revenue]))</f>
        <v/>
      </c>
      <c r="G1671">
        <f>IF(A1671="","",SUMIF(Tickets[TripKey],A1671,Tickets[PK]))</f>
        <v/>
      </c>
      <c r="H1671">
        <f>IF(A1671="","",IFERROR(XLOOKUP(A1671,Tickets[TripKey],Tickets[VehClean]),""))</f>
        <v/>
      </c>
      <c r="I1671">
        <f>IF(A1671="","",IFERROR(XLOOKUP(A1671,Tickets[TripKey],Tickets[RouteLen]),0))</f>
        <v/>
      </c>
      <c r="J1671">
        <f>IF(A1671="","",IFERROR(XLOOKUP(A1671,Tickets[TripKey],Tickets[Capacity]),0))</f>
        <v/>
      </c>
      <c r="K1671">
        <f>IF(A1671="","",I1671*J1671)</f>
        <v/>
      </c>
      <c r="L1671">
        <f>IF(A1671="","",IFERROR(MINIFS(Tickets[Trip Start Time],Tickets[TripKey],A1671),""))</f>
        <v/>
      </c>
    </row>
    <row r="1672">
      <c r="B1672" s="8">
        <f>IF(A1672="","",IFERROR(DATEVALUE(TEXTBEFORE(A1672,"|")),--LEFT(A1672,10)))</f>
        <v/>
      </c>
      <c r="C1672">
        <f>IF(A1672="","",TEXTBEFORE(TEXTAFTER(A1672,"|"),"|"))</f>
        <v/>
      </c>
      <c r="D1672">
        <f>IF(A1672="","",TEXTAFTER(A1672,"|",2))</f>
        <v/>
      </c>
      <c r="E1672">
        <f>IF(A1672="","",SUMIF(Tickets[TripKey],A1672,Tickets[TP]))</f>
        <v/>
      </c>
      <c r="F1672">
        <f>IF(A1672="","",SUMIF(Tickets[TripKey],A1672,Tickets[Revenue]))</f>
        <v/>
      </c>
      <c r="G1672">
        <f>IF(A1672="","",SUMIF(Tickets[TripKey],A1672,Tickets[PK]))</f>
        <v/>
      </c>
      <c r="H1672">
        <f>IF(A1672="","",IFERROR(XLOOKUP(A1672,Tickets[TripKey],Tickets[VehClean]),""))</f>
        <v/>
      </c>
      <c r="I1672">
        <f>IF(A1672="","",IFERROR(XLOOKUP(A1672,Tickets[TripKey],Tickets[RouteLen]),0))</f>
        <v/>
      </c>
      <c r="J1672">
        <f>IF(A1672="","",IFERROR(XLOOKUP(A1672,Tickets[TripKey],Tickets[Capacity]),0))</f>
        <v/>
      </c>
      <c r="K1672">
        <f>IF(A1672="","",I1672*J1672)</f>
        <v/>
      </c>
      <c r="L1672">
        <f>IF(A1672="","",IFERROR(MINIFS(Tickets[Trip Start Time],Tickets[TripKey],A1672),""))</f>
        <v/>
      </c>
    </row>
    <row r="1673">
      <c r="B1673" s="8">
        <f>IF(A1673="","",IFERROR(DATEVALUE(TEXTBEFORE(A1673,"|")),--LEFT(A1673,10)))</f>
        <v/>
      </c>
      <c r="C1673">
        <f>IF(A1673="","",TEXTBEFORE(TEXTAFTER(A1673,"|"),"|"))</f>
        <v/>
      </c>
      <c r="D1673">
        <f>IF(A1673="","",TEXTAFTER(A1673,"|",2))</f>
        <v/>
      </c>
      <c r="E1673">
        <f>IF(A1673="","",SUMIF(Tickets[TripKey],A1673,Tickets[TP]))</f>
        <v/>
      </c>
      <c r="F1673">
        <f>IF(A1673="","",SUMIF(Tickets[TripKey],A1673,Tickets[Revenue]))</f>
        <v/>
      </c>
      <c r="G1673">
        <f>IF(A1673="","",SUMIF(Tickets[TripKey],A1673,Tickets[PK]))</f>
        <v/>
      </c>
      <c r="H1673">
        <f>IF(A1673="","",IFERROR(XLOOKUP(A1673,Tickets[TripKey],Tickets[VehClean]),""))</f>
        <v/>
      </c>
      <c r="I1673">
        <f>IF(A1673="","",IFERROR(XLOOKUP(A1673,Tickets[TripKey],Tickets[RouteLen]),0))</f>
        <v/>
      </c>
      <c r="J1673">
        <f>IF(A1673="","",IFERROR(XLOOKUP(A1673,Tickets[TripKey],Tickets[Capacity]),0))</f>
        <v/>
      </c>
      <c r="K1673">
        <f>IF(A1673="","",I1673*J1673)</f>
        <v/>
      </c>
      <c r="L1673">
        <f>IF(A1673="","",IFERROR(MINIFS(Tickets[Trip Start Time],Tickets[TripKey],A1673),""))</f>
        <v/>
      </c>
    </row>
    <row r="1674">
      <c r="B1674" s="8">
        <f>IF(A1674="","",IFERROR(DATEVALUE(TEXTBEFORE(A1674,"|")),--LEFT(A1674,10)))</f>
        <v/>
      </c>
      <c r="C1674">
        <f>IF(A1674="","",TEXTBEFORE(TEXTAFTER(A1674,"|"),"|"))</f>
        <v/>
      </c>
      <c r="D1674">
        <f>IF(A1674="","",TEXTAFTER(A1674,"|",2))</f>
        <v/>
      </c>
      <c r="E1674">
        <f>IF(A1674="","",SUMIF(Tickets[TripKey],A1674,Tickets[TP]))</f>
        <v/>
      </c>
      <c r="F1674">
        <f>IF(A1674="","",SUMIF(Tickets[TripKey],A1674,Tickets[Revenue]))</f>
        <v/>
      </c>
      <c r="G1674">
        <f>IF(A1674="","",SUMIF(Tickets[TripKey],A1674,Tickets[PK]))</f>
        <v/>
      </c>
      <c r="H1674">
        <f>IF(A1674="","",IFERROR(XLOOKUP(A1674,Tickets[TripKey],Tickets[VehClean]),""))</f>
        <v/>
      </c>
      <c r="I1674">
        <f>IF(A1674="","",IFERROR(XLOOKUP(A1674,Tickets[TripKey],Tickets[RouteLen]),0))</f>
        <v/>
      </c>
      <c r="J1674">
        <f>IF(A1674="","",IFERROR(XLOOKUP(A1674,Tickets[TripKey],Tickets[Capacity]),0))</f>
        <v/>
      </c>
      <c r="K1674">
        <f>IF(A1674="","",I1674*J1674)</f>
        <v/>
      </c>
      <c r="L1674">
        <f>IF(A1674="","",IFERROR(MINIFS(Tickets[Trip Start Time],Tickets[TripKey],A1674),""))</f>
        <v/>
      </c>
    </row>
    <row r="1675">
      <c r="B1675" s="8">
        <f>IF(A1675="","",IFERROR(DATEVALUE(TEXTBEFORE(A1675,"|")),--LEFT(A1675,10)))</f>
        <v/>
      </c>
      <c r="C1675">
        <f>IF(A1675="","",TEXTBEFORE(TEXTAFTER(A1675,"|"),"|"))</f>
        <v/>
      </c>
      <c r="D1675">
        <f>IF(A1675="","",TEXTAFTER(A1675,"|",2))</f>
        <v/>
      </c>
      <c r="E1675">
        <f>IF(A1675="","",SUMIF(Tickets[TripKey],A1675,Tickets[TP]))</f>
        <v/>
      </c>
      <c r="F1675">
        <f>IF(A1675="","",SUMIF(Tickets[TripKey],A1675,Tickets[Revenue]))</f>
        <v/>
      </c>
      <c r="G1675">
        <f>IF(A1675="","",SUMIF(Tickets[TripKey],A1675,Tickets[PK]))</f>
        <v/>
      </c>
      <c r="H1675">
        <f>IF(A1675="","",IFERROR(XLOOKUP(A1675,Tickets[TripKey],Tickets[VehClean]),""))</f>
        <v/>
      </c>
      <c r="I1675">
        <f>IF(A1675="","",IFERROR(XLOOKUP(A1675,Tickets[TripKey],Tickets[RouteLen]),0))</f>
        <v/>
      </c>
      <c r="J1675">
        <f>IF(A1675="","",IFERROR(XLOOKUP(A1675,Tickets[TripKey],Tickets[Capacity]),0))</f>
        <v/>
      </c>
      <c r="K1675">
        <f>IF(A1675="","",I1675*J1675)</f>
        <v/>
      </c>
      <c r="L1675">
        <f>IF(A1675="","",IFERROR(MINIFS(Tickets[Trip Start Time],Tickets[TripKey],A1675),""))</f>
        <v/>
      </c>
    </row>
    <row r="1676">
      <c r="B1676" s="8">
        <f>IF(A1676="","",IFERROR(DATEVALUE(TEXTBEFORE(A1676,"|")),--LEFT(A1676,10)))</f>
        <v/>
      </c>
      <c r="C1676">
        <f>IF(A1676="","",TEXTBEFORE(TEXTAFTER(A1676,"|"),"|"))</f>
        <v/>
      </c>
      <c r="D1676">
        <f>IF(A1676="","",TEXTAFTER(A1676,"|",2))</f>
        <v/>
      </c>
      <c r="E1676">
        <f>IF(A1676="","",SUMIF(Tickets[TripKey],A1676,Tickets[TP]))</f>
        <v/>
      </c>
      <c r="F1676">
        <f>IF(A1676="","",SUMIF(Tickets[TripKey],A1676,Tickets[Revenue]))</f>
        <v/>
      </c>
      <c r="G1676">
        <f>IF(A1676="","",SUMIF(Tickets[TripKey],A1676,Tickets[PK]))</f>
        <v/>
      </c>
      <c r="H1676">
        <f>IF(A1676="","",IFERROR(XLOOKUP(A1676,Tickets[TripKey],Tickets[VehClean]),""))</f>
        <v/>
      </c>
      <c r="I1676">
        <f>IF(A1676="","",IFERROR(XLOOKUP(A1676,Tickets[TripKey],Tickets[RouteLen]),0))</f>
        <v/>
      </c>
      <c r="J1676">
        <f>IF(A1676="","",IFERROR(XLOOKUP(A1676,Tickets[TripKey],Tickets[Capacity]),0))</f>
        <v/>
      </c>
      <c r="K1676">
        <f>IF(A1676="","",I1676*J1676)</f>
        <v/>
      </c>
      <c r="L1676">
        <f>IF(A1676="","",IFERROR(MINIFS(Tickets[Trip Start Time],Tickets[TripKey],A1676),""))</f>
        <v/>
      </c>
    </row>
    <row r="1677">
      <c r="B1677" s="8">
        <f>IF(A1677="","",IFERROR(DATEVALUE(TEXTBEFORE(A1677,"|")),--LEFT(A1677,10)))</f>
        <v/>
      </c>
      <c r="C1677">
        <f>IF(A1677="","",TEXTBEFORE(TEXTAFTER(A1677,"|"),"|"))</f>
        <v/>
      </c>
      <c r="D1677">
        <f>IF(A1677="","",TEXTAFTER(A1677,"|",2))</f>
        <v/>
      </c>
      <c r="E1677">
        <f>IF(A1677="","",SUMIF(Tickets[TripKey],A1677,Tickets[TP]))</f>
        <v/>
      </c>
      <c r="F1677">
        <f>IF(A1677="","",SUMIF(Tickets[TripKey],A1677,Tickets[Revenue]))</f>
        <v/>
      </c>
      <c r="G1677">
        <f>IF(A1677="","",SUMIF(Tickets[TripKey],A1677,Tickets[PK]))</f>
        <v/>
      </c>
      <c r="H1677">
        <f>IF(A1677="","",IFERROR(XLOOKUP(A1677,Tickets[TripKey],Tickets[VehClean]),""))</f>
        <v/>
      </c>
      <c r="I1677">
        <f>IF(A1677="","",IFERROR(XLOOKUP(A1677,Tickets[TripKey],Tickets[RouteLen]),0))</f>
        <v/>
      </c>
      <c r="J1677">
        <f>IF(A1677="","",IFERROR(XLOOKUP(A1677,Tickets[TripKey],Tickets[Capacity]),0))</f>
        <v/>
      </c>
      <c r="K1677">
        <f>IF(A1677="","",I1677*J1677)</f>
        <v/>
      </c>
      <c r="L1677">
        <f>IF(A1677="","",IFERROR(MINIFS(Tickets[Trip Start Time],Tickets[TripKey],A1677),""))</f>
        <v/>
      </c>
    </row>
    <row r="1678">
      <c r="B1678" s="8">
        <f>IF(A1678="","",IFERROR(DATEVALUE(TEXTBEFORE(A1678,"|")),--LEFT(A1678,10)))</f>
        <v/>
      </c>
      <c r="C1678">
        <f>IF(A1678="","",TEXTBEFORE(TEXTAFTER(A1678,"|"),"|"))</f>
        <v/>
      </c>
      <c r="D1678">
        <f>IF(A1678="","",TEXTAFTER(A1678,"|",2))</f>
        <v/>
      </c>
      <c r="E1678">
        <f>IF(A1678="","",SUMIF(Tickets[TripKey],A1678,Tickets[TP]))</f>
        <v/>
      </c>
      <c r="F1678">
        <f>IF(A1678="","",SUMIF(Tickets[TripKey],A1678,Tickets[Revenue]))</f>
        <v/>
      </c>
      <c r="G1678">
        <f>IF(A1678="","",SUMIF(Tickets[TripKey],A1678,Tickets[PK]))</f>
        <v/>
      </c>
      <c r="H1678">
        <f>IF(A1678="","",IFERROR(XLOOKUP(A1678,Tickets[TripKey],Tickets[VehClean]),""))</f>
        <v/>
      </c>
      <c r="I1678">
        <f>IF(A1678="","",IFERROR(XLOOKUP(A1678,Tickets[TripKey],Tickets[RouteLen]),0))</f>
        <v/>
      </c>
      <c r="J1678">
        <f>IF(A1678="","",IFERROR(XLOOKUP(A1678,Tickets[TripKey],Tickets[Capacity]),0))</f>
        <v/>
      </c>
      <c r="K1678">
        <f>IF(A1678="","",I1678*J1678)</f>
        <v/>
      </c>
      <c r="L1678">
        <f>IF(A1678="","",IFERROR(MINIFS(Tickets[Trip Start Time],Tickets[TripKey],A1678),""))</f>
        <v/>
      </c>
    </row>
    <row r="1679">
      <c r="B1679" s="8">
        <f>IF(A1679="","",IFERROR(DATEVALUE(TEXTBEFORE(A1679,"|")),--LEFT(A1679,10)))</f>
        <v/>
      </c>
      <c r="C1679">
        <f>IF(A1679="","",TEXTBEFORE(TEXTAFTER(A1679,"|"),"|"))</f>
        <v/>
      </c>
      <c r="D1679">
        <f>IF(A1679="","",TEXTAFTER(A1679,"|",2))</f>
        <v/>
      </c>
      <c r="E1679">
        <f>IF(A1679="","",SUMIF(Tickets[TripKey],A1679,Tickets[TP]))</f>
        <v/>
      </c>
      <c r="F1679">
        <f>IF(A1679="","",SUMIF(Tickets[TripKey],A1679,Tickets[Revenue]))</f>
        <v/>
      </c>
      <c r="G1679">
        <f>IF(A1679="","",SUMIF(Tickets[TripKey],A1679,Tickets[PK]))</f>
        <v/>
      </c>
      <c r="H1679">
        <f>IF(A1679="","",IFERROR(XLOOKUP(A1679,Tickets[TripKey],Tickets[VehClean]),""))</f>
        <v/>
      </c>
      <c r="I1679">
        <f>IF(A1679="","",IFERROR(XLOOKUP(A1679,Tickets[TripKey],Tickets[RouteLen]),0))</f>
        <v/>
      </c>
      <c r="J1679">
        <f>IF(A1679="","",IFERROR(XLOOKUP(A1679,Tickets[TripKey],Tickets[Capacity]),0))</f>
        <v/>
      </c>
      <c r="K1679">
        <f>IF(A1679="","",I1679*J1679)</f>
        <v/>
      </c>
      <c r="L1679">
        <f>IF(A1679="","",IFERROR(MINIFS(Tickets[Trip Start Time],Tickets[TripKey],A1679),""))</f>
        <v/>
      </c>
    </row>
    <row r="1680">
      <c r="B1680" s="8">
        <f>IF(A1680="","",IFERROR(DATEVALUE(TEXTBEFORE(A1680,"|")),--LEFT(A1680,10)))</f>
        <v/>
      </c>
      <c r="C1680">
        <f>IF(A1680="","",TEXTBEFORE(TEXTAFTER(A1680,"|"),"|"))</f>
        <v/>
      </c>
      <c r="D1680">
        <f>IF(A1680="","",TEXTAFTER(A1680,"|",2))</f>
        <v/>
      </c>
      <c r="E1680">
        <f>IF(A1680="","",SUMIF(Tickets[TripKey],A1680,Tickets[TP]))</f>
        <v/>
      </c>
      <c r="F1680">
        <f>IF(A1680="","",SUMIF(Tickets[TripKey],A1680,Tickets[Revenue]))</f>
        <v/>
      </c>
      <c r="G1680">
        <f>IF(A1680="","",SUMIF(Tickets[TripKey],A1680,Tickets[PK]))</f>
        <v/>
      </c>
      <c r="H1680">
        <f>IF(A1680="","",IFERROR(XLOOKUP(A1680,Tickets[TripKey],Tickets[VehClean]),""))</f>
        <v/>
      </c>
      <c r="I1680">
        <f>IF(A1680="","",IFERROR(XLOOKUP(A1680,Tickets[TripKey],Tickets[RouteLen]),0))</f>
        <v/>
      </c>
      <c r="J1680">
        <f>IF(A1680="","",IFERROR(XLOOKUP(A1680,Tickets[TripKey],Tickets[Capacity]),0))</f>
        <v/>
      </c>
      <c r="K1680">
        <f>IF(A1680="","",I1680*J1680)</f>
        <v/>
      </c>
      <c r="L1680">
        <f>IF(A1680="","",IFERROR(MINIFS(Tickets[Trip Start Time],Tickets[TripKey],A1680),""))</f>
        <v/>
      </c>
    </row>
    <row r="1681">
      <c r="B1681" s="8">
        <f>IF(A1681="","",IFERROR(DATEVALUE(TEXTBEFORE(A1681,"|")),--LEFT(A1681,10)))</f>
        <v/>
      </c>
      <c r="C1681">
        <f>IF(A1681="","",TEXTBEFORE(TEXTAFTER(A1681,"|"),"|"))</f>
        <v/>
      </c>
      <c r="D1681">
        <f>IF(A1681="","",TEXTAFTER(A1681,"|",2))</f>
        <v/>
      </c>
      <c r="E1681">
        <f>IF(A1681="","",SUMIF(Tickets[TripKey],A1681,Tickets[TP]))</f>
        <v/>
      </c>
      <c r="F1681">
        <f>IF(A1681="","",SUMIF(Tickets[TripKey],A1681,Tickets[Revenue]))</f>
        <v/>
      </c>
      <c r="G1681">
        <f>IF(A1681="","",SUMIF(Tickets[TripKey],A1681,Tickets[PK]))</f>
        <v/>
      </c>
      <c r="H1681">
        <f>IF(A1681="","",IFERROR(XLOOKUP(A1681,Tickets[TripKey],Tickets[VehClean]),""))</f>
        <v/>
      </c>
      <c r="I1681">
        <f>IF(A1681="","",IFERROR(XLOOKUP(A1681,Tickets[TripKey],Tickets[RouteLen]),0))</f>
        <v/>
      </c>
      <c r="J1681">
        <f>IF(A1681="","",IFERROR(XLOOKUP(A1681,Tickets[TripKey],Tickets[Capacity]),0))</f>
        <v/>
      </c>
      <c r="K1681">
        <f>IF(A1681="","",I1681*J1681)</f>
        <v/>
      </c>
      <c r="L1681">
        <f>IF(A1681="","",IFERROR(MINIFS(Tickets[Trip Start Time],Tickets[TripKey],A1681),""))</f>
        <v/>
      </c>
    </row>
    <row r="1682">
      <c r="B1682" s="8">
        <f>IF(A1682="","",IFERROR(DATEVALUE(TEXTBEFORE(A1682,"|")),--LEFT(A1682,10)))</f>
        <v/>
      </c>
      <c r="C1682">
        <f>IF(A1682="","",TEXTBEFORE(TEXTAFTER(A1682,"|"),"|"))</f>
        <v/>
      </c>
      <c r="D1682">
        <f>IF(A1682="","",TEXTAFTER(A1682,"|",2))</f>
        <v/>
      </c>
      <c r="E1682">
        <f>IF(A1682="","",SUMIF(Tickets[TripKey],A1682,Tickets[TP]))</f>
        <v/>
      </c>
      <c r="F1682">
        <f>IF(A1682="","",SUMIF(Tickets[TripKey],A1682,Tickets[Revenue]))</f>
        <v/>
      </c>
      <c r="G1682">
        <f>IF(A1682="","",SUMIF(Tickets[TripKey],A1682,Tickets[PK]))</f>
        <v/>
      </c>
      <c r="H1682">
        <f>IF(A1682="","",IFERROR(XLOOKUP(A1682,Tickets[TripKey],Tickets[VehClean]),""))</f>
        <v/>
      </c>
      <c r="I1682">
        <f>IF(A1682="","",IFERROR(XLOOKUP(A1682,Tickets[TripKey],Tickets[RouteLen]),0))</f>
        <v/>
      </c>
      <c r="J1682">
        <f>IF(A1682="","",IFERROR(XLOOKUP(A1682,Tickets[TripKey],Tickets[Capacity]),0))</f>
        <v/>
      </c>
      <c r="K1682">
        <f>IF(A1682="","",I1682*J1682)</f>
        <v/>
      </c>
      <c r="L1682">
        <f>IF(A1682="","",IFERROR(MINIFS(Tickets[Trip Start Time],Tickets[TripKey],A1682),""))</f>
        <v/>
      </c>
    </row>
    <row r="1683">
      <c r="B1683" s="8">
        <f>IF(A1683="","",IFERROR(DATEVALUE(TEXTBEFORE(A1683,"|")),--LEFT(A1683,10)))</f>
        <v/>
      </c>
      <c r="C1683">
        <f>IF(A1683="","",TEXTBEFORE(TEXTAFTER(A1683,"|"),"|"))</f>
        <v/>
      </c>
      <c r="D1683">
        <f>IF(A1683="","",TEXTAFTER(A1683,"|",2))</f>
        <v/>
      </c>
      <c r="E1683">
        <f>IF(A1683="","",SUMIF(Tickets[TripKey],A1683,Tickets[TP]))</f>
        <v/>
      </c>
      <c r="F1683">
        <f>IF(A1683="","",SUMIF(Tickets[TripKey],A1683,Tickets[Revenue]))</f>
        <v/>
      </c>
      <c r="G1683">
        <f>IF(A1683="","",SUMIF(Tickets[TripKey],A1683,Tickets[PK]))</f>
        <v/>
      </c>
      <c r="H1683">
        <f>IF(A1683="","",IFERROR(XLOOKUP(A1683,Tickets[TripKey],Tickets[VehClean]),""))</f>
        <v/>
      </c>
      <c r="I1683">
        <f>IF(A1683="","",IFERROR(XLOOKUP(A1683,Tickets[TripKey],Tickets[RouteLen]),0))</f>
        <v/>
      </c>
      <c r="J1683">
        <f>IF(A1683="","",IFERROR(XLOOKUP(A1683,Tickets[TripKey],Tickets[Capacity]),0))</f>
        <v/>
      </c>
      <c r="K1683">
        <f>IF(A1683="","",I1683*J1683)</f>
        <v/>
      </c>
      <c r="L1683">
        <f>IF(A1683="","",IFERROR(MINIFS(Tickets[Trip Start Time],Tickets[TripKey],A1683),""))</f>
        <v/>
      </c>
    </row>
    <row r="1684">
      <c r="B1684" s="8">
        <f>IF(A1684="","",IFERROR(DATEVALUE(TEXTBEFORE(A1684,"|")),--LEFT(A1684,10)))</f>
        <v/>
      </c>
      <c r="C1684">
        <f>IF(A1684="","",TEXTBEFORE(TEXTAFTER(A1684,"|"),"|"))</f>
        <v/>
      </c>
      <c r="D1684">
        <f>IF(A1684="","",TEXTAFTER(A1684,"|",2))</f>
        <v/>
      </c>
      <c r="E1684">
        <f>IF(A1684="","",SUMIF(Tickets[TripKey],A1684,Tickets[TP]))</f>
        <v/>
      </c>
      <c r="F1684">
        <f>IF(A1684="","",SUMIF(Tickets[TripKey],A1684,Tickets[Revenue]))</f>
        <v/>
      </c>
      <c r="G1684">
        <f>IF(A1684="","",SUMIF(Tickets[TripKey],A1684,Tickets[PK]))</f>
        <v/>
      </c>
      <c r="H1684">
        <f>IF(A1684="","",IFERROR(XLOOKUP(A1684,Tickets[TripKey],Tickets[VehClean]),""))</f>
        <v/>
      </c>
      <c r="I1684">
        <f>IF(A1684="","",IFERROR(XLOOKUP(A1684,Tickets[TripKey],Tickets[RouteLen]),0))</f>
        <v/>
      </c>
      <c r="J1684">
        <f>IF(A1684="","",IFERROR(XLOOKUP(A1684,Tickets[TripKey],Tickets[Capacity]),0))</f>
        <v/>
      </c>
      <c r="K1684">
        <f>IF(A1684="","",I1684*J1684)</f>
        <v/>
      </c>
      <c r="L1684">
        <f>IF(A1684="","",IFERROR(MINIFS(Tickets[Trip Start Time],Tickets[TripKey],A1684),""))</f>
        <v/>
      </c>
    </row>
    <row r="1685">
      <c r="B1685" s="8">
        <f>IF(A1685="","",IFERROR(DATEVALUE(TEXTBEFORE(A1685,"|")),--LEFT(A1685,10)))</f>
        <v/>
      </c>
      <c r="C1685">
        <f>IF(A1685="","",TEXTBEFORE(TEXTAFTER(A1685,"|"),"|"))</f>
        <v/>
      </c>
      <c r="D1685">
        <f>IF(A1685="","",TEXTAFTER(A1685,"|",2))</f>
        <v/>
      </c>
      <c r="E1685">
        <f>IF(A1685="","",SUMIF(Tickets[TripKey],A1685,Tickets[TP]))</f>
        <v/>
      </c>
      <c r="F1685">
        <f>IF(A1685="","",SUMIF(Tickets[TripKey],A1685,Tickets[Revenue]))</f>
        <v/>
      </c>
      <c r="G1685">
        <f>IF(A1685="","",SUMIF(Tickets[TripKey],A1685,Tickets[PK]))</f>
        <v/>
      </c>
      <c r="H1685">
        <f>IF(A1685="","",IFERROR(XLOOKUP(A1685,Tickets[TripKey],Tickets[VehClean]),""))</f>
        <v/>
      </c>
      <c r="I1685">
        <f>IF(A1685="","",IFERROR(XLOOKUP(A1685,Tickets[TripKey],Tickets[RouteLen]),0))</f>
        <v/>
      </c>
      <c r="J1685">
        <f>IF(A1685="","",IFERROR(XLOOKUP(A1685,Tickets[TripKey],Tickets[Capacity]),0))</f>
        <v/>
      </c>
      <c r="K1685">
        <f>IF(A1685="","",I1685*J1685)</f>
        <v/>
      </c>
      <c r="L1685">
        <f>IF(A1685="","",IFERROR(MINIFS(Tickets[Trip Start Time],Tickets[TripKey],A1685),""))</f>
        <v/>
      </c>
    </row>
    <row r="1686">
      <c r="B1686" s="8">
        <f>IF(A1686="","",IFERROR(DATEVALUE(TEXTBEFORE(A1686,"|")),--LEFT(A1686,10)))</f>
        <v/>
      </c>
      <c r="C1686">
        <f>IF(A1686="","",TEXTBEFORE(TEXTAFTER(A1686,"|"),"|"))</f>
        <v/>
      </c>
      <c r="D1686">
        <f>IF(A1686="","",TEXTAFTER(A1686,"|",2))</f>
        <v/>
      </c>
      <c r="E1686">
        <f>IF(A1686="","",SUMIF(Tickets[TripKey],A1686,Tickets[TP]))</f>
        <v/>
      </c>
      <c r="F1686">
        <f>IF(A1686="","",SUMIF(Tickets[TripKey],A1686,Tickets[Revenue]))</f>
        <v/>
      </c>
      <c r="G1686">
        <f>IF(A1686="","",SUMIF(Tickets[TripKey],A1686,Tickets[PK]))</f>
        <v/>
      </c>
      <c r="H1686">
        <f>IF(A1686="","",IFERROR(XLOOKUP(A1686,Tickets[TripKey],Tickets[VehClean]),""))</f>
        <v/>
      </c>
      <c r="I1686">
        <f>IF(A1686="","",IFERROR(XLOOKUP(A1686,Tickets[TripKey],Tickets[RouteLen]),0))</f>
        <v/>
      </c>
      <c r="J1686">
        <f>IF(A1686="","",IFERROR(XLOOKUP(A1686,Tickets[TripKey],Tickets[Capacity]),0))</f>
        <v/>
      </c>
      <c r="K1686">
        <f>IF(A1686="","",I1686*J1686)</f>
        <v/>
      </c>
      <c r="L1686">
        <f>IF(A1686="","",IFERROR(MINIFS(Tickets[Trip Start Time],Tickets[TripKey],A1686),""))</f>
        <v/>
      </c>
    </row>
    <row r="1687">
      <c r="B1687" s="8">
        <f>IF(A1687="","",IFERROR(DATEVALUE(TEXTBEFORE(A1687,"|")),--LEFT(A1687,10)))</f>
        <v/>
      </c>
      <c r="C1687">
        <f>IF(A1687="","",TEXTBEFORE(TEXTAFTER(A1687,"|"),"|"))</f>
        <v/>
      </c>
      <c r="D1687">
        <f>IF(A1687="","",TEXTAFTER(A1687,"|",2))</f>
        <v/>
      </c>
      <c r="E1687">
        <f>IF(A1687="","",SUMIF(Tickets[TripKey],A1687,Tickets[TP]))</f>
        <v/>
      </c>
      <c r="F1687">
        <f>IF(A1687="","",SUMIF(Tickets[TripKey],A1687,Tickets[Revenue]))</f>
        <v/>
      </c>
      <c r="G1687">
        <f>IF(A1687="","",SUMIF(Tickets[TripKey],A1687,Tickets[PK]))</f>
        <v/>
      </c>
      <c r="H1687">
        <f>IF(A1687="","",IFERROR(XLOOKUP(A1687,Tickets[TripKey],Tickets[VehClean]),""))</f>
        <v/>
      </c>
      <c r="I1687">
        <f>IF(A1687="","",IFERROR(XLOOKUP(A1687,Tickets[TripKey],Tickets[RouteLen]),0))</f>
        <v/>
      </c>
      <c r="J1687">
        <f>IF(A1687="","",IFERROR(XLOOKUP(A1687,Tickets[TripKey],Tickets[Capacity]),0))</f>
        <v/>
      </c>
      <c r="K1687">
        <f>IF(A1687="","",I1687*J1687)</f>
        <v/>
      </c>
      <c r="L1687">
        <f>IF(A1687="","",IFERROR(MINIFS(Tickets[Trip Start Time],Tickets[TripKey],A1687),""))</f>
        <v/>
      </c>
    </row>
    <row r="1688">
      <c r="B1688" s="8">
        <f>IF(A1688="","",IFERROR(DATEVALUE(TEXTBEFORE(A1688,"|")),--LEFT(A1688,10)))</f>
        <v/>
      </c>
      <c r="C1688">
        <f>IF(A1688="","",TEXTBEFORE(TEXTAFTER(A1688,"|"),"|"))</f>
        <v/>
      </c>
      <c r="D1688">
        <f>IF(A1688="","",TEXTAFTER(A1688,"|",2))</f>
        <v/>
      </c>
      <c r="E1688">
        <f>IF(A1688="","",SUMIF(Tickets[TripKey],A1688,Tickets[TP]))</f>
        <v/>
      </c>
      <c r="F1688">
        <f>IF(A1688="","",SUMIF(Tickets[TripKey],A1688,Tickets[Revenue]))</f>
        <v/>
      </c>
      <c r="G1688">
        <f>IF(A1688="","",SUMIF(Tickets[TripKey],A1688,Tickets[PK]))</f>
        <v/>
      </c>
      <c r="H1688">
        <f>IF(A1688="","",IFERROR(XLOOKUP(A1688,Tickets[TripKey],Tickets[VehClean]),""))</f>
        <v/>
      </c>
      <c r="I1688">
        <f>IF(A1688="","",IFERROR(XLOOKUP(A1688,Tickets[TripKey],Tickets[RouteLen]),0))</f>
        <v/>
      </c>
      <c r="J1688">
        <f>IF(A1688="","",IFERROR(XLOOKUP(A1688,Tickets[TripKey],Tickets[Capacity]),0))</f>
        <v/>
      </c>
      <c r="K1688">
        <f>IF(A1688="","",I1688*J1688)</f>
        <v/>
      </c>
      <c r="L1688">
        <f>IF(A1688="","",IFERROR(MINIFS(Tickets[Trip Start Time],Tickets[TripKey],A1688),""))</f>
        <v/>
      </c>
    </row>
    <row r="1689">
      <c r="B1689" s="8">
        <f>IF(A1689="","",IFERROR(DATEVALUE(TEXTBEFORE(A1689,"|")),--LEFT(A1689,10)))</f>
        <v/>
      </c>
      <c r="C1689">
        <f>IF(A1689="","",TEXTBEFORE(TEXTAFTER(A1689,"|"),"|"))</f>
        <v/>
      </c>
      <c r="D1689">
        <f>IF(A1689="","",TEXTAFTER(A1689,"|",2))</f>
        <v/>
      </c>
      <c r="E1689">
        <f>IF(A1689="","",SUMIF(Tickets[TripKey],A1689,Tickets[TP]))</f>
        <v/>
      </c>
      <c r="F1689">
        <f>IF(A1689="","",SUMIF(Tickets[TripKey],A1689,Tickets[Revenue]))</f>
        <v/>
      </c>
      <c r="G1689">
        <f>IF(A1689="","",SUMIF(Tickets[TripKey],A1689,Tickets[PK]))</f>
        <v/>
      </c>
      <c r="H1689">
        <f>IF(A1689="","",IFERROR(XLOOKUP(A1689,Tickets[TripKey],Tickets[VehClean]),""))</f>
        <v/>
      </c>
      <c r="I1689">
        <f>IF(A1689="","",IFERROR(XLOOKUP(A1689,Tickets[TripKey],Tickets[RouteLen]),0))</f>
        <v/>
      </c>
      <c r="J1689">
        <f>IF(A1689="","",IFERROR(XLOOKUP(A1689,Tickets[TripKey],Tickets[Capacity]),0))</f>
        <v/>
      </c>
      <c r="K1689">
        <f>IF(A1689="","",I1689*J1689)</f>
        <v/>
      </c>
      <c r="L1689">
        <f>IF(A1689="","",IFERROR(MINIFS(Tickets[Trip Start Time],Tickets[TripKey],A1689),""))</f>
        <v/>
      </c>
    </row>
    <row r="1690">
      <c r="B1690" s="8">
        <f>IF(A1690="","",IFERROR(DATEVALUE(TEXTBEFORE(A1690,"|")),--LEFT(A1690,10)))</f>
        <v/>
      </c>
      <c r="C1690">
        <f>IF(A1690="","",TEXTBEFORE(TEXTAFTER(A1690,"|"),"|"))</f>
        <v/>
      </c>
      <c r="D1690">
        <f>IF(A1690="","",TEXTAFTER(A1690,"|",2))</f>
        <v/>
      </c>
      <c r="E1690">
        <f>IF(A1690="","",SUMIF(Tickets[TripKey],A1690,Tickets[TP]))</f>
        <v/>
      </c>
      <c r="F1690">
        <f>IF(A1690="","",SUMIF(Tickets[TripKey],A1690,Tickets[Revenue]))</f>
        <v/>
      </c>
      <c r="G1690">
        <f>IF(A1690="","",SUMIF(Tickets[TripKey],A1690,Tickets[PK]))</f>
        <v/>
      </c>
      <c r="H1690">
        <f>IF(A1690="","",IFERROR(XLOOKUP(A1690,Tickets[TripKey],Tickets[VehClean]),""))</f>
        <v/>
      </c>
      <c r="I1690">
        <f>IF(A1690="","",IFERROR(XLOOKUP(A1690,Tickets[TripKey],Tickets[RouteLen]),0))</f>
        <v/>
      </c>
      <c r="J1690">
        <f>IF(A1690="","",IFERROR(XLOOKUP(A1690,Tickets[TripKey],Tickets[Capacity]),0))</f>
        <v/>
      </c>
      <c r="K1690">
        <f>IF(A1690="","",I1690*J1690)</f>
        <v/>
      </c>
      <c r="L1690">
        <f>IF(A1690="","",IFERROR(MINIFS(Tickets[Trip Start Time],Tickets[TripKey],A1690),""))</f>
        <v/>
      </c>
    </row>
    <row r="1691">
      <c r="B1691" s="8">
        <f>IF(A1691="","",IFERROR(DATEVALUE(TEXTBEFORE(A1691,"|")),--LEFT(A1691,10)))</f>
        <v/>
      </c>
      <c r="C1691">
        <f>IF(A1691="","",TEXTBEFORE(TEXTAFTER(A1691,"|"),"|"))</f>
        <v/>
      </c>
      <c r="D1691">
        <f>IF(A1691="","",TEXTAFTER(A1691,"|",2))</f>
        <v/>
      </c>
      <c r="E1691">
        <f>IF(A1691="","",SUMIF(Tickets[TripKey],A1691,Tickets[TP]))</f>
        <v/>
      </c>
      <c r="F1691">
        <f>IF(A1691="","",SUMIF(Tickets[TripKey],A1691,Tickets[Revenue]))</f>
        <v/>
      </c>
      <c r="G1691">
        <f>IF(A1691="","",SUMIF(Tickets[TripKey],A1691,Tickets[PK]))</f>
        <v/>
      </c>
      <c r="H1691">
        <f>IF(A1691="","",IFERROR(XLOOKUP(A1691,Tickets[TripKey],Tickets[VehClean]),""))</f>
        <v/>
      </c>
      <c r="I1691">
        <f>IF(A1691="","",IFERROR(XLOOKUP(A1691,Tickets[TripKey],Tickets[RouteLen]),0))</f>
        <v/>
      </c>
      <c r="J1691">
        <f>IF(A1691="","",IFERROR(XLOOKUP(A1691,Tickets[TripKey],Tickets[Capacity]),0))</f>
        <v/>
      </c>
      <c r="K1691">
        <f>IF(A1691="","",I1691*J1691)</f>
        <v/>
      </c>
      <c r="L1691">
        <f>IF(A1691="","",IFERROR(MINIFS(Tickets[Trip Start Time],Tickets[TripKey],A1691),""))</f>
        <v/>
      </c>
    </row>
    <row r="1692">
      <c r="B1692" s="8">
        <f>IF(A1692="","",IFERROR(DATEVALUE(TEXTBEFORE(A1692,"|")),--LEFT(A1692,10)))</f>
        <v/>
      </c>
      <c r="C1692">
        <f>IF(A1692="","",TEXTBEFORE(TEXTAFTER(A1692,"|"),"|"))</f>
        <v/>
      </c>
      <c r="D1692">
        <f>IF(A1692="","",TEXTAFTER(A1692,"|",2))</f>
        <v/>
      </c>
      <c r="E1692">
        <f>IF(A1692="","",SUMIF(Tickets[TripKey],A1692,Tickets[TP]))</f>
        <v/>
      </c>
      <c r="F1692">
        <f>IF(A1692="","",SUMIF(Tickets[TripKey],A1692,Tickets[Revenue]))</f>
        <v/>
      </c>
      <c r="G1692">
        <f>IF(A1692="","",SUMIF(Tickets[TripKey],A1692,Tickets[PK]))</f>
        <v/>
      </c>
      <c r="H1692">
        <f>IF(A1692="","",IFERROR(XLOOKUP(A1692,Tickets[TripKey],Tickets[VehClean]),""))</f>
        <v/>
      </c>
      <c r="I1692">
        <f>IF(A1692="","",IFERROR(XLOOKUP(A1692,Tickets[TripKey],Tickets[RouteLen]),0))</f>
        <v/>
      </c>
      <c r="J1692">
        <f>IF(A1692="","",IFERROR(XLOOKUP(A1692,Tickets[TripKey],Tickets[Capacity]),0))</f>
        <v/>
      </c>
      <c r="K1692">
        <f>IF(A1692="","",I1692*J1692)</f>
        <v/>
      </c>
      <c r="L1692">
        <f>IF(A1692="","",IFERROR(MINIFS(Tickets[Trip Start Time],Tickets[TripKey],A1692),""))</f>
        <v/>
      </c>
    </row>
    <row r="1693">
      <c r="B1693" s="8">
        <f>IF(A1693="","",IFERROR(DATEVALUE(TEXTBEFORE(A1693,"|")),--LEFT(A1693,10)))</f>
        <v/>
      </c>
      <c r="C1693">
        <f>IF(A1693="","",TEXTBEFORE(TEXTAFTER(A1693,"|"),"|"))</f>
        <v/>
      </c>
      <c r="D1693">
        <f>IF(A1693="","",TEXTAFTER(A1693,"|",2))</f>
        <v/>
      </c>
      <c r="E1693">
        <f>IF(A1693="","",SUMIF(Tickets[TripKey],A1693,Tickets[TP]))</f>
        <v/>
      </c>
      <c r="F1693">
        <f>IF(A1693="","",SUMIF(Tickets[TripKey],A1693,Tickets[Revenue]))</f>
        <v/>
      </c>
      <c r="G1693">
        <f>IF(A1693="","",SUMIF(Tickets[TripKey],A1693,Tickets[PK]))</f>
        <v/>
      </c>
      <c r="H1693">
        <f>IF(A1693="","",IFERROR(XLOOKUP(A1693,Tickets[TripKey],Tickets[VehClean]),""))</f>
        <v/>
      </c>
      <c r="I1693">
        <f>IF(A1693="","",IFERROR(XLOOKUP(A1693,Tickets[TripKey],Tickets[RouteLen]),0))</f>
        <v/>
      </c>
      <c r="J1693">
        <f>IF(A1693="","",IFERROR(XLOOKUP(A1693,Tickets[TripKey],Tickets[Capacity]),0))</f>
        <v/>
      </c>
      <c r="K1693">
        <f>IF(A1693="","",I1693*J1693)</f>
        <v/>
      </c>
      <c r="L1693">
        <f>IF(A1693="","",IFERROR(MINIFS(Tickets[Trip Start Time],Tickets[TripKey],A1693),""))</f>
        <v/>
      </c>
    </row>
    <row r="1694">
      <c r="B1694" s="8">
        <f>IF(A1694="","",IFERROR(DATEVALUE(TEXTBEFORE(A1694,"|")),--LEFT(A1694,10)))</f>
        <v/>
      </c>
      <c r="C1694">
        <f>IF(A1694="","",TEXTBEFORE(TEXTAFTER(A1694,"|"),"|"))</f>
        <v/>
      </c>
      <c r="D1694">
        <f>IF(A1694="","",TEXTAFTER(A1694,"|",2))</f>
        <v/>
      </c>
      <c r="E1694">
        <f>IF(A1694="","",SUMIF(Tickets[TripKey],A1694,Tickets[TP]))</f>
        <v/>
      </c>
      <c r="F1694">
        <f>IF(A1694="","",SUMIF(Tickets[TripKey],A1694,Tickets[Revenue]))</f>
        <v/>
      </c>
      <c r="G1694">
        <f>IF(A1694="","",SUMIF(Tickets[TripKey],A1694,Tickets[PK]))</f>
        <v/>
      </c>
      <c r="H1694">
        <f>IF(A1694="","",IFERROR(XLOOKUP(A1694,Tickets[TripKey],Tickets[VehClean]),""))</f>
        <v/>
      </c>
      <c r="I1694">
        <f>IF(A1694="","",IFERROR(XLOOKUP(A1694,Tickets[TripKey],Tickets[RouteLen]),0))</f>
        <v/>
      </c>
      <c r="J1694">
        <f>IF(A1694="","",IFERROR(XLOOKUP(A1694,Tickets[TripKey],Tickets[Capacity]),0))</f>
        <v/>
      </c>
      <c r="K1694">
        <f>IF(A1694="","",I1694*J1694)</f>
        <v/>
      </c>
      <c r="L1694">
        <f>IF(A1694="","",IFERROR(MINIFS(Tickets[Trip Start Time],Tickets[TripKey],A1694),""))</f>
        <v/>
      </c>
    </row>
    <row r="1695">
      <c r="B1695" s="8">
        <f>IF(A1695="","",IFERROR(DATEVALUE(TEXTBEFORE(A1695,"|")),--LEFT(A1695,10)))</f>
        <v/>
      </c>
      <c r="C1695">
        <f>IF(A1695="","",TEXTBEFORE(TEXTAFTER(A1695,"|"),"|"))</f>
        <v/>
      </c>
      <c r="D1695">
        <f>IF(A1695="","",TEXTAFTER(A1695,"|",2))</f>
        <v/>
      </c>
      <c r="E1695">
        <f>IF(A1695="","",SUMIF(Tickets[TripKey],A1695,Tickets[TP]))</f>
        <v/>
      </c>
      <c r="F1695">
        <f>IF(A1695="","",SUMIF(Tickets[TripKey],A1695,Tickets[Revenue]))</f>
        <v/>
      </c>
      <c r="G1695">
        <f>IF(A1695="","",SUMIF(Tickets[TripKey],A1695,Tickets[PK]))</f>
        <v/>
      </c>
      <c r="H1695">
        <f>IF(A1695="","",IFERROR(XLOOKUP(A1695,Tickets[TripKey],Tickets[VehClean]),""))</f>
        <v/>
      </c>
      <c r="I1695">
        <f>IF(A1695="","",IFERROR(XLOOKUP(A1695,Tickets[TripKey],Tickets[RouteLen]),0))</f>
        <v/>
      </c>
      <c r="J1695">
        <f>IF(A1695="","",IFERROR(XLOOKUP(A1695,Tickets[TripKey],Tickets[Capacity]),0))</f>
        <v/>
      </c>
      <c r="K1695">
        <f>IF(A1695="","",I1695*J1695)</f>
        <v/>
      </c>
      <c r="L1695">
        <f>IF(A1695="","",IFERROR(MINIFS(Tickets[Trip Start Time],Tickets[TripKey],A1695),""))</f>
        <v/>
      </c>
    </row>
    <row r="1696">
      <c r="B1696" s="8">
        <f>IF(A1696="","",IFERROR(DATEVALUE(TEXTBEFORE(A1696,"|")),--LEFT(A1696,10)))</f>
        <v/>
      </c>
      <c r="C1696">
        <f>IF(A1696="","",TEXTBEFORE(TEXTAFTER(A1696,"|"),"|"))</f>
        <v/>
      </c>
      <c r="D1696">
        <f>IF(A1696="","",TEXTAFTER(A1696,"|",2))</f>
        <v/>
      </c>
      <c r="E1696">
        <f>IF(A1696="","",SUMIF(Tickets[TripKey],A1696,Tickets[TP]))</f>
        <v/>
      </c>
      <c r="F1696">
        <f>IF(A1696="","",SUMIF(Tickets[TripKey],A1696,Tickets[Revenue]))</f>
        <v/>
      </c>
      <c r="G1696">
        <f>IF(A1696="","",SUMIF(Tickets[TripKey],A1696,Tickets[PK]))</f>
        <v/>
      </c>
      <c r="H1696">
        <f>IF(A1696="","",IFERROR(XLOOKUP(A1696,Tickets[TripKey],Tickets[VehClean]),""))</f>
        <v/>
      </c>
      <c r="I1696">
        <f>IF(A1696="","",IFERROR(XLOOKUP(A1696,Tickets[TripKey],Tickets[RouteLen]),0))</f>
        <v/>
      </c>
      <c r="J1696">
        <f>IF(A1696="","",IFERROR(XLOOKUP(A1696,Tickets[TripKey],Tickets[Capacity]),0))</f>
        <v/>
      </c>
      <c r="K1696">
        <f>IF(A1696="","",I1696*J1696)</f>
        <v/>
      </c>
      <c r="L1696">
        <f>IF(A1696="","",IFERROR(MINIFS(Tickets[Trip Start Time],Tickets[TripKey],A1696),""))</f>
        <v/>
      </c>
    </row>
    <row r="1697">
      <c r="B1697" s="8">
        <f>IF(A1697="","",IFERROR(DATEVALUE(TEXTBEFORE(A1697,"|")),--LEFT(A1697,10)))</f>
        <v/>
      </c>
      <c r="C1697">
        <f>IF(A1697="","",TEXTBEFORE(TEXTAFTER(A1697,"|"),"|"))</f>
        <v/>
      </c>
      <c r="D1697">
        <f>IF(A1697="","",TEXTAFTER(A1697,"|",2))</f>
        <v/>
      </c>
      <c r="E1697">
        <f>IF(A1697="","",SUMIF(Tickets[TripKey],A1697,Tickets[TP]))</f>
        <v/>
      </c>
      <c r="F1697">
        <f>IF(A1697="","",SUMIF(Tickets[TripKey],A1697,Tickets[Revenue]))</f>
        <v/>
      </c>
      <c r="G1697">
        <f>IF(A1697="","",SUMIF(Tickets[TripKey],A1697,Tickets[PK]))</f>
        <v/>
      </c>
      <c r="H1697">
        <f>IF(A1697="","",IFERROR(XLOOKUP(A1697,Tickets[TripKey],Tickets[VehClean]),""))</f>
        <v/>
      </c>
      <c r="I1697">
        <f>IF(A1697="","",IFERROR(XLOOKUP(A1697,Tickets[TripKey],Tickets[RouteLen]),0))</f>
        <v/>
      </c>
      <c r="J1697">
        <f>IF(A1697="","",IFERROR(XLOOKUP(A1697,Tickets[TripKey],Tickets[Capacity]),0))</f>
        <v/>
      </c>
      <c r="K1697">
        <f>IF(A1697="","",I1697*J1697)</f>
        <v/>
      </c>
      <c r="L1697">
        <f>IF(A1697="","",IFERROR(MINIFS(Tickets[Trip Start Time],Tickets[TripKey],A1697),""))</f>
        <v/>
      </c>
    </row>
    <row r="1698">
      <c r="B1698" s="8">
        <f>IF(A1698="","",IFERROR(DATEVALUE(TEXTBEFORE(A1698,"|")),--LEFT(A1698,10)))</f>
        <v/>
      </c>
      <c r="C1698">
        <f>IF(A1698="","",TEXTBEFORE(TEXTAFTER(A1698,"|"),"|"))</f>
        <v/>
      </c>
      <c r="D1698">
        <f>IF(A1698="","",TEXTAFTER(A1698,"|",2))</f>
        <v/>
      </c>
      <c r="E1698">
        <f>IF(A1698="","",SUMIF(Tickets[TripKey],A1698,Tickets[TP]))</f>
        <v/>
      </c>
      <c r="F1698">
        <f>IF(A1698="","",SUMIF(Tickets[TripKey],A1698,Tickets[Revenue]))</f>
        <v/>
      </c>
      <c r="G1698">
        <f>IF(A1698="","",SUMIF(Tickets[TripKey],A1698,Tickets[PK]))</f>
        <v/>
      </c>
      <c r="H1698">
        <f>IF(A1698="","",IFERROR(XLOOKUP(A1698,Tickets[TripKey],Tickets[VehClean]),""))</f>
        <v/>
      </c>
      <c r="I1698">
        <f>IF(A1698="","",IFERROR(XLOOKUP(A1698,Tickets[TripKey],Tickets[RouteLen]),0))</f>
        <v/>
      </c>
      <c r="J1698">
        <f>IF(A1698="","",IFERROR(XLOOKUP(A1698,Tickets[TripKey],Tickets[Capacity]),0))</f>
        <v/>
      </c>
      <c r="K1698">
        <f>IF(A1698="","",I1698*J1698)</f>
        <v/>
      </c>
      <c r="L1698">
        <f>IF(A1698="","",IFERROR(MINIFS(Tickets[Trip Start Time],Tickets[TripKey],A1698),""))</f>
        <v/>
      </c>
    </row>
    <row r="1699">
      <c r="B1699" s="8">
        <f>IF(A1699="","",IFERROR(DATEVALUE(TEXTBEFORE(A1699,"|")),--LEFT(A1699,10)))</f>
        <v/>
      </c>
      <c r="C1699">
        <f>IF(A1699="","",TEXTBEFORE(TEXTAFTER(A1699,"|"),"|"))</f>
        <v/>
      </c>
      <c r="D1699">
        <f>IF(A1699="","",TEXTAFTER(A1699,"|",2))</f>
        <v/>
      </c>
      <c r="E1699">
        <f>IF(A1699="","",SUMIF(Tickets[TripKey],A1699,Tickets[TP]))</f>
        <v/>
      </c>
      <c r="F1699">
        <f>IF(A1699="","",SUMIF(Tickets[TripKey],A1699,Tickets[Revenue]))</f>
        <v/>
      </c>
      <c r="G1699">
        <f>IF(A1699="","",SUMIF(Tickets[TripKey],A1699,Tickets[PK]))</f>
        <v/>
      </c>
      <c r="H1699">
        <f>IF(A1699="","",IFERROR(XLOOKUP(A1699,Tickets[TripKey],Tickets[VehClean]),""))</f>
        <v/>
      </c>
      <c r="I1699">
        <f>IF(A1699="","",IFERROR(XLOOKUP(A1699,Tickets[TripKey],Tickets[RouteLen]),0))</f>
        <v/>
      </c>
      <c r="J1699">
        <f>IF(A1699="","",IFERROR(XLOOKUP(A1699,Tickets[TripKey],Tickets[Capacity]),0))</f>
        <v/>
      </c>
      <c r="K1699">
        <f>IF(A1699="","",I1699*J1699)</f>
        <v/>
      </c>
      <c r="L1699">
        <f>IF(A1699="","",IFERROR(MINIFS(Tickets[Trip Start Time],Tickets[TripKey],A1699),""))</f>
        <v/>
      </c>
    </row>
    <row r="1700">
      <c r="B1700" s="8">
        <f>IF(A1700="","",IFERROR(DATEVALUE(TEXTBEFORE(A1700,"|")),--LEFT(A1700,10)))</f>
        <v/>
      </c>
      <c r="C1700">
        <f>IF(A1700="","",TEXTBEFORE(TEXTAFTER(A1700,"|"),"|"))</f>
        <v/>
      </c>
      <c r="D1700">
        <f>IF(A1700="","",TEXTAFTER(A1700,"|",2))</f>
        <v/>
      </c>
      <c r="E1700">
        <f>IF(A1700="","",SUMIF(Tickets[TripKey],A1700,Tickets[TP]))</f>
        <v/>
      </c>
      <c r="F1700">
        <f>IF(A1700="","",SUMIF(Tickets[TripKey],A1700,Tickets[Revenue]))</f>
        <v/>
      </c>
      <c r="G1700">
        <f>IF(A1700="","",SUMIF(Tickets[TripKey],A1700,Tickets[PK]))</f>
        <v/>
      </c>
      <c r="H1700">
        <f>IF(A1700="","",IFERROR(XLOOKUP(A1700,Tickets[TripKey],Tickets[VehClean]),""))</f>
        <v/>
      </c>
      <c r="I1700">
        <f>IF(A1700="","",IFERROR(XLOOKUP(A1700,Tickets[TripKey],Tickets[RouteLen]),0))</f>
        <v/>
      </c>
      <c r="J1700">
        <f>IF(A1700="","",IFERROR(XLOOKUP(A1700,Tickets[TripKey],Tickets[Capacity]),0))</f>
        <v/>
      </c>
      <c r="K1700">
        <f>IF(A1700="","",I1700*J1700)</f>
        <v/>
      </c>
      <c r="L1700">
        <f>IF(A1700="","",IFERROR(MINIFS(Tickets[Trip Start Time],Tickets[TripKey],A1700),""))</f>
        <v/>
      </c>
    </row>
    <row r="1701">
      <c r="B1701" s="8">
        <f>IF(A1701="","",IFERROR(DATEVALUE(TEXTBEFORE(A1701,"|")),--LEFT(A1701,10)))</f>
        <v/>
      </c>
      <c r="C1701">
        <f>IF(A1701="","",TEXTBEFORE(TEXTAFTER(A1701,"|"),"|"))</f>
        <v/>
      </c>
      <c r="D1701">
        <f>IF(A1701="","",TEXTAFTER(A1701,"|",2))</f>
        <v/>
      </c>
      <c r="E1701">
        <f>IF(A1701="","",SUMIF(Tickets[TripKey],A1701,Tickets[TP]))</f>
        <v/>
      </c>
      <c r="F1701">
        <f>IF(A1701="","",SUMIF(Tickets[TripKey],A1701,Tickets[Revenue]))</f>
        <v/>
      </c>
      <c r="G1701">
        <f>IF(A1701="","",SUMIF(Tickets[TripKey],A1701,Tickets[PK]))</f>
        <v/>
      </c>
      <c r="H1701">
        <f>IF(A1701="","",IFERROR(XLOOKUP(A1701,Tickets[TripKey],Tickets[VehClean]),""))</f>
        <v/>
      </c>
      <c r="I1701">
        <f>IF(A1701="","",IFERROR(XLOOKUP(A1701,Tickets[TripKey],Tickets[RouteLen]),0))</f>
        <v/>
      </c>
      <c r="J1701">
        <f>IF(A1701="","",IFERROR(XLOOKUP(A1701,Tickets[TripKey],Tickets[Capacity]),0))</f>
        <v/>
      </c>
      <c r="K1701">
        <f>IF(A1701="","",I1701*J1701)</f>
        <v/>
      </c>
      <c r="L1701">
        <f>IF(A1701="","",IFERROR(MINIFS(Tickets[Trip Start Time],Tickets[TripKey],A1701),""))</f>
        <v/>
      </c>
    </row>
    <row r="1702">
      <c r="B1702" s="8">
        <f>IF(A1702="","",IFERROR(DATEVALUE(TEXTBEFORE(A1702,"|")),--LEFT(A1702,10)))</f>
        <v/>
      </c>
      <c r="C1702">
        <f>IF(A1702="","",TEXTBEFORE(TEXTAFTER(A1702,"|"),"|"))</f>
        <v/>
      </c>
      <c r="D1702">
        <f>IF(A1702="","",TEXTAFTER(A1702,"|",2))</f>
        <v/>
      </c>
      <c r="E1702">
        <f>IF(A1702="","",SUMIF(Tickets[TripKey],A1702,Tickets[TP]))</f>
        <v/>
      </c>
      <c r="F1702">
        <f>IF(A1702="","",SUMIF(Tickets[TripKey],A1702,Tickets[Revenue]))</f>
        <v/>
      </c>
      <c r="G1702">
        <f>IF(A1702="","",SUMIF(Tickets[TripKey],A1702,Tickets[PK]))</f>
        <v/>
      </c>
      <c r="H1702">
        <f>IF(A1702="","",IFERROR(XLOOKUP(A1702,Tickets[TripKey],Tickets[VehClean]),""))</f>
        <v/>
      </c>
      <c r="I1702">
        <f>IF(A1702="","",IFERROR(XLOOKUP(A1702,Tickets[TripKey],Tickets[RouteLen]),0))</f>
        <v/>
      </c>
      <c r="J1702">
        <f>IF(A1702="","",IFERROR(XLOOKUP(A1702,Tickets[TripKey],Tickets[Capacity]),0))</f>
        <v/>
      </c>
      <c r="K1702">
        <f>IF(A1702="","",I1702*J1702)</f>
        <v/>
      </c>
      <c r="L1702">
        <f>IF(A1702="","",IFERROR(MINIFS(Tickets[Trip Start Time],Tickets[TripKey],A1702),""))</f>
        <v/>
      </c>
    </row>
    <row r="1703">
      <c r="B1703" s="8">
        <f>IF(A1703="","",IFERROR(DATEVALUE(TEXTBEFORE(A1703,"|")),--LEFT(A1703,10)))</f>
        <v/>
      </c>
      <c r="C1703">
        <f>IF(A1703="","",TEXTBEFORE(TEXTAFTER(A1703,"|"),"|"))</f>
        <v/>
      </c>
      <c r="D1703">
        <f>IF(A1703="","",TEXTAFTER(A1703,"|",2))</f>
        <v/>
      </c>
      <c r="E1703">
        <f>IF(A1703="","",SUMIF(Tickets[TripKey],A1703,Tickets[TP]))</f>
        <v/>
      </c>
      <c r="F1703">
        <f>IF(A1703="","",SUMIF(Tickets[TripKey],A1703,Tickets[Revenue]))</f>
        <v/>
      </c>
      <c r="G1703">
        <f>IF(A1703="","",SUMIF(Tickets[TripKey],A1703,Tickets[PK]))</f>
        <v/>
      </c>
      <c r="H1703">
        <f>IF(A1703="","",IFERROR(XLOOKUP(A1703,Tickets[TripKey],Tickets[VehClean]),""))</f>
        <v/>
      </c>
      <c r="I1703">
        <f>IF(A1703="","",IFERROR(XLOOKUP(A1703,Tickets[TripKey],Tickets[RouteLen]),0))</f>
        <v/>
      </c>
      <c r="J1703">
        <f>IF(A1703="","",IFERROR(XLOOKUP(A1703,Tickets[TripKey],Tickets[Capacity]),0))</f>
        <v/>
      </c>
      <c r="K1703">
        <f>IF(A1703="","",I1703*J1703)</f>
        <v/>
      </c>
      <c r="L1703">
        <f>IF(A1703="","",IFERROR(MINIFS(Tickets[Trip Start Time],Tickets[TripKey],A1703),""))</f>
        <v/>
      </c>
    </row>
    <row r="1704">
      <c r="B1704" s="8">
        <f>IF(A1704="","",IFERROR(DATEVALUE(TEXTBEFORE(A1704,"|")),--LEFT(A1704,10)))</f>
        <v/>
      </c>
      <c r="C1704">
        <f>IF(A1704="","",TEXTBEFORE(TEXTAFTER(A1704,"|"),"|"))</f>
        <v/>
      </c>
      <c r="D1704">
        <f>IF(A1704="","",TEXTAFTER(A1704,"|",2))</f>
        <v/>
      </c>
      <c r="E1704">
        <f>IF(A1704="","",SUMIF(Tickets[TripKey],A1704,Tickets[TP]))</f>
        <v/>
      </c>
      <c r="F1704">
        <f>IF(A1704="","",SUMIF(Tickets[TripKey],A1704,Tickets[Revenue]))</f>
        <v/>
      </c>
      <c r="G1704">
        <f>IF(A1704="","",SUMIF(Tickets[TripKey],A1704,Tickets[PK]))</f>
        <v/>
      </c>
      <c r="H1704">
        <f>IF(A1704="","",IFERROR(XLOOKUP(A1704,Tickets[TripKey],Tickets[VehClean]),""))</f>
        <v/>
      </c>
      <c r="I1704">
        <f>IF(A1704="","",IFERROR(XLOOKUP(A1704,Tickets[TripKey],Tickets[RouteLen]),0))</f>
        <v/>
      </c>
      <c r="J1704">
        <f>IF(A1704="","",IFERROR(XLOOKUP(A1704,Tickets[TripKey],Tickets[Capacity]),0))</f>
        <v/>
      </c>
      <c r="K1704">
        <f>IF(A1704="","",I1704*J1704)</f>
        <v/>
      </c>
      <c r="L1704">
        <f>IF(A1704="","",IFERROR(MINIFS(Tickets[Trip Start Time],Tickets[TripKey],A1704),""))</f>
        <v/>
      </c>
    </row>
    <row r="1705">
      <c r="B1705" s="8">
        <f>IF(A1705="","",IFERROR(DATEVALUE(TEXTBEFORE(A1705,"|")),--LEFT(A1705,10)))</f>
        <v/>
      </c>
      <c r="C1705">
        <f>IF(A1705="","",TEXTBEFORE(TEXTAFTER(A1705,"|"),"|"))</f>
        <v/>
      </c>
      <c r="D1705">
        <f>IF(A1705="","",TEXTAFTER(A1705,"|",2))</f>
        <v/>
      </c>
      <c r="E1705">
        <f>IF(A1705="","",SUMIF(Tickets[TripKey],A1705,Tickets[TP]))</f>
        <v/>
      </c>
      <c r="F1705">
        <f>IF(A1705="","",SUMIF(Tickets[TripKey],A1705,Tickets[Revenue]))</f>
        <v/>
      </c>
      <c r="G1705">
        <f>IF(A1705="","",SUMIF(Tickets[TripKey],A1705,Tickets[PK]))</f>
        <v/>
      </c>
      <c r="H1705">
        <f>IF(A1705="","",IFERROR(XLOOKUP(A1705,Tickets[TripKey],Tickets[VehClean]),""))</f>
        <v/>
      </c>
      <c r="I1705">
        <f>IF(A1705="","",IFERROR(XLOOKUP(A1705,Tickets[TripKey],Tickets[RouteLen]),0))</f>
        <v/>
      </c>
      <c r="J1705">
        <f>IF(A1705="","",IFERROR(XLOOKUP(A1705,Tickets[TripKey],Tickets[Capacity]),0))</f>
        <v/>
      </c>
      <c r="K1705">
        <f>IF(A1705="","",I1705*J1705)</f>
        <v/>
      </c>
      <c r="L1705">
        <f>IF(A1705="","",IFERROR(MINIFS(Tickets[Trip Start Time],Tickets[TripKey],A1705),""))</f>
        <v/>
      </c>
    </row>
    <row r="1706">
      <c r="B1706" s="8">
        <f>IF(A1706="","",IFERROR(DATEVALUE(TEXTBEFORE(A1706,"|")),--LEFT(A1706,10)))</f>
        <v/>
      </c>
      <c r="C1706">
        <f>IF(A1706="","",TEXTBEFORE(TEXTAFTER(A1706,"|"),"|"))</f>
        <v/>
      </c>
      <c r="D1706">
        <f>IF(A1706="","",TEXTAFTER(A1706,"|",2))</f>
        <v/>
      </c>
      <c r="E1706">
        <f>IF(A1706="","",SUMIF(Tickets[TripKey],A1706,Tickets[TP]))</f>
        <v/>
      </c>
      <c r="F1706">
        <f>IF(A1706="","",SUMIF(Tickets[TripKey],A1706,Tickets[Revenue]))</f>
        <v/>
      </c>
      <c r="G1706">
        <f>IF(A1706="","",SUMIF(Tickets[TripKey],A1706,Tickets[PK]))</f>
        <v/>
      </c>
      <c r="H1706">
        <f>IF(A1706="","",IFERROR(XLOOKUP(A1706,Tickets[TripKey],Tickets[VehClean]),""))</f>
        <v/>
      </c>
      <c r="I1706">
        <f>IF(A1706="","",IFERROR(XLOOKUP(A1706,Tickets[TripKey],Tickets[RouteLen]),0))</f>
        <v/>
      </c>
      <c r="J1706">
        <f>IF(A1706="","",IFERROR(XLOOKUP(A1706,Tickets[TripKey],Tickets[Capacity]),0))</f>
        <v/>
      </c>
      <c r="K1706">
        <f>IF(A1706="","",I1706*J1706)</f>
        <v/>
      </c>
      <c r="L1706">
        <f>IF(A1706="","",IFERROR(MINIFS(Tickets[Trip Start Time],Tickets[TripKey],A1706),""))</f>
        <v/>
      </c>
    </row>
    <row r="1707">
      <c r="B1707" s="8">
        <f>IF(A1707="","",IFERROR(DATEVALUE(TEXTBEFORE(A1707,"|")),--LEFT(A1707,10)))</f>
        <v/>
      </c>
      <c r="C1707">
        <f>IF(A1707="","",TEXTBEFORE(TEXTAFTER(A1707,"|"),"|"))</f>
        <v/>
      </c>
      <c r="D1707">
        <f>IF(A1707="","",TEXTAFTER(A1707,"|",2))</f>
        <v/>
      </c>
      <c r="E1707">
        <f>IF(A1707="","",SUMIF(Tickets[TripKey],A1707,Tickets[TP]))</f>
        <v/>
      </c>
      <c r="F1707">
        <f>IF(A1707="","",SUMIF(Tickets[TripKey],A1707,Tickets[Revenue]))</f>
        <v/>
      </c>
      <c r="G1707">
        <f>IF(A1707="","",SUMIF(Tickets[TripKey],A1707,Tickets[PK]))</f>
        <v/>
      </c>
      <c r="H1707">
        <f>IF(A1707="","",IFERROR(XLOOKUP(A1707,Tickets[TripKey],Tickets[VehClean]),""))</f>
        <v/>
      </c>
      <c r="I1707">
        <f>IF(A1707="","",IFERROR(XLOOKUP(A1707,Tickets[TripKey],Tickets[RouteLen]),0))</f>
        <v/>
      </c>
      <c r="J1707">
        <f>IF(A1707="","",IFERROR(XLOOKUP(A1707,Tickets[TripKey],Tickets[Capacity]),0))</f>
        <v/>
      </c>
      <c r="K1707">
        <f>IF(A1707="","",I1707*J1707)</f>
        <v/>
      </c>
      <c r="L1707">
        <f>IF(A1707="","",IFERROR(MINIFS(Tickets[Trip Start Time],Tickets[TripKey],A1707),""))</f>
        <v/>
      </c>
    </row>
    <row r="1708">
      <c r="B1708" s="8">
        <f>IF(A1708="","",IFERROR(DATEVALUE(TEXTBEFORE(A1708,"|")),--LEFT(A1708,10)))</f>
        <v/>
      </c>
      <c r="C1708">
        <f>IF(A1708="","",TEXTBEFORE(TEXTAFTER(A1708,"|"),"|"))</f>
        <v/>
      </c>
      <c r="D1708">
        <f>IF(A1708="","",TEXTAFTER(A1708,"|",2))</f>
        <v/>
      </c>
      <c r="E1708">
        <f>IF(A1708="","",SUMIF(Tickets[TripKey],A1708,Tickets[TP]))</f>
        <v/>
      </c>
      <c r="F1708">
        <f>IF(A1708="","",SUMIF(Tickets[TripKey],A1708,Tickets[Revenue]))</f>
        <v/>
      </c>
      <c r="G1708">
        <f>IF(A1708="","",SUMIF(Tickets[TripKey],A1708,Tickets[PK]))</f>
        <v/>
      </c>
      <c r="H1708">
        <f>IF(A1708="","",IFERROR(XLOOKUP(A1708,Tickets[TripKey],Tickets[VehClean]),""))</f>
        <v/>
      </c>
      <c r="I1708">
        <f>IF(A1708="","",IFERROR(XLOOKUP(A1708,Tickets[TripKey],Tickets[RouteLen]),0))</f>
        <v/>
      </c>
      <c r="J1708">
        <f>IF(A1708="","",IFERROR(XLOOKUP(A1708,Tickets[TripKey],Tickets[Capacity]),0))</f>
        <v/>
      </c>
      <c r="K1708">
        <f>IF(A1708="","",I1708*J1708)</f>
        <v/>
      </c>
      <c r="L1708">
        <f>IF(A1708="","",IFERROR(MINIFS(Tickets[Trip Start Time],Tickets[TripKey],A1708),""))</f>
        <v/>
      </c>
    </row>
    <row r="1709">
      <c r="B1709" s="8">
        <f>IF(A1709="","",IFERROR(DATEVALUE(TEXTBEFORE(A1709,"|")),--LEFT(A1709,10)))</f>
        <v/>
      </c>
      <c r="C1709">
        <f>IF(A1709="","",TEXTBEFORE(TEXTAFTER(A1709,"|"),"|"))</f>
        <v/>
      </c>
      <c r="D1709">
        <f>IF(A1709="","",TEXTAFTER(A1709,"|",2))</f>
        <v/>
      </c>
      <c r="E1709">
        <f>IF(A1709="","",SUMIF(Tickets[TripKey],A1709,Tickets[TP]))</f>
        <v/>
      </c>
      <c r="F1709">
        <f>IF(A1709="","",SUMIF(Tickets[TripKey],A1709,Tickets[Revenue]))</f>
        <v/>
      </c>
      <c r="G1709">
        <f>IF(A1709="","",SUMIF(Tickets[TripKey],A1709,Tickets[PK]))</f>
        <v/>
      </c>
      <c r="H1709">
        <f>IF(A1709="","",IFERROR(XLOOKUP(A1709,Tickets[TripKey],Tickets[VehClean]),""))</f>
        <v/>
      </c>
      <c r="I1709">
        <f>IF(A1709="","",IFERROR(XLOOKUP(A1709,Tickets[TripKey],Tickets[RouteLen]),0))</f>
        <v/>
      </c>
      <c r="J1709">
        <f>IF(A1709="","",IFERROR(XLOOKUP(A1709,Tickets[TripKey],Tickets[Capacity]),0))</f>
        <v/>
      </c>
      <c r="K1709">
        <f>IF(A1709="","",I1709*J1709)</f>
        <v/>
      </c>
      <c r="L1709">
        <f>IF(A1709="","",IFERROR(MINIFS(Tickets[Trip Start Time],Tickets[TripKey],A1709),""))</f>
        <v/>
      </c>
    </row>
    <row r="1710">
      <c r="B1710" s="8">
        <f>IF(A1710="","",IFERROR(DATEVALUE(TEXTBEFORE(A1710,"|")),--LEFT(A1710,10)))</f>
        <v/>
      </c>
      <c r="C1710">
        <f>IF(A1710="","",TEXTBEFORE(TEXTAFTER(A1710,"|"),"|"))</f>
        <v/>
      </c>
      <c r="D1710">
        <f>IF(A1710="","",TEXTAFTER(A1710,"|",2))</f>
        <v/>
      </c>
      <c r="E1710">
        <f>IF(A1710="","",SUMIF(Tickets[TripKey],A1710,Tickets[TP]))</f>
        <v/>
      </c>
      <c r="F1710">
        <f>IF(A1710="","",SUMIF(Tickets[TripKey],A1710,Tickets[Revenue]))</f>
        <v/>
      </c>
      <c r="G1710">
        <f>IF(A1710="","",SUMIF(Tickets[TripKey],A1710,Tickets[PK]))</f>
        <v/>
      </c>
      <c r="H1710">
        <f>IF(A1710="","",IFERROR(XLOOKUP(A1710,Tickets[TripKey],Tickets[VehClean]),""))</f>
        <v/>
      </c>
      <c r="I1710">
        <f>IF(A1710="","",IFERROR(XLOOKUP(A1710,Tickets[TripKey],Tickets[RouteLen]),0))</f>
        <v/>
      </c>
      <c r="J1710">
        <f>IF(A1710="","",IFERROR(XLOOKUP(A1710,Tickets[TripKey],Tickets[Capacity]),0))</f>
        <v/>
      </c>
      <c r="K1710">
        <f>IF(A1710="","",I1710*J1710)</f>
        <v/>
      </c>
      <c r="L1710">
        <f>IF(A1710="","",IFERROR(MINIFS(Tickets[Trip Start Time],Tickets[TripKey],A1710),""))</f>
        <v/>
      </c>
    </row>
    <row r="1711">
      <c r="B1711" s="8">
        <f>IF(A1711="","",IFERROR(DATEVALUE(TEXTBEFORE(A1711,"|")),--LEFT(A1711,10)))</f>
        <v/>
      </c>
      <c r="C1711">
        <f>IF(A1711="","",TEXTBEFORE(TEXTAFTER(A1711,"|"),"|"))</f>
        <v/>
      </c>
      <c r="D1711">
        <f>IF(A1711="","",TEXTAFTER(A1711,"|",2))</f>
        <v/>
      </c>
      <c r="E1711">
        <f>IF(A1711="","",SUMIF(Tickets[TripKey],A1711,Tickets[TP]))</f>
        <v/>
      </c>
      <c r="F1711">
        <f>IF(A1711="","",SUMIF(Tickets[TripKey],A1711,Tickets[Revenue]))</f>
        <v/>
      </c>
      <c r="G1711">
        <f>IF(A1711="","",SUMIF(Tickets[TripKey],A1711,Tickets[PK]))</f>
        <v/>
      </c>
      <c r="H1711">
        <f>IF(A1711="","",IFERROR(XLOOKUP(A1711,Tickets[TripKey],Tickets[VehClean]),""))</f>
        <v/>
      </c>
      <c r="I1711">
        <f>IF(A1711="","",IFERROR(XLOOKUP(A1711,Tickets[TripKey],Tickets[RouteLen]),0))</f>
        <v/>
      </c>
      <c r="J1711">
        <f>IF(A1711="","",IFERROR(XLOOKUP(A1711,Tickets[TripKey],Tickets[Capacity]),0))</f>
        <v/>
      </c>
      <c r="K1711">
        <f>IF(A1711="","",I1711*J1711)</f>
        <v/>
      </c>
      <c r="L1711">
        <f>IF(A1711="","",IFERROR(MINIFS(Tickets[Trip Start Time],Tickets[TripKey],A1711),""))</f>
        <v/>
      </c>
    </row>
    <row r="1712">
      <c r="B1712" s="8">
        <f>IF(A1712="","",IFERROR(DATEVALUE(TEXTBEFORE(A1712,"|")),--LEFT(A1712,10)))</f>
        <v/>
      </c>
      <c r="C1712">
        <f>IF(A1712="","",TEXTBEFORE(TEXTAFTER(A1712,"|"),"|"))</f>
        <v/>
      </c>
      <c r="D1712">
        <f>IF(A1712="","",TEXTAFTER(A1712,"|",2))</f>
        <v/>
      </c>
      <c r="E1712">
        <f>IF(A1712="","",SUMIF(Tickets[TripKey],A1712,Tickets[TP]))</f>
        <v/>
      </c>
      <c r="F1712">
        <f>IF(A1712="","",SUMIF(Tickets[TripKey],A1712,Tickets[Revenue]))</f>
        <v/>
      </c>
      <c r="G1712">
        <f>IF(A1712="","",SUMIF(Tickets[TripKey],A1712,Tickets[PK]))</f>
        <v/>
      </c>
      <c r="H1712">
        <f>IF(A1712="","",IFERROR(XLOOKUP(A1712,Tickets[TripKey],Tickets[VehClean]),""))</f>
        <v/>
      </c>
      <c r="I1712">
        <f>IF(A1712="","",IFERROR(XLOOKUP(A1712,Tickets[TripKey],Tickets[RouteLen]),0))</f>
        <v/>
      </c>
      <c r="J1712">
        <f>IF(A1712="","",IFERROR(XLOOKUP(A1712,Tickets[TripKey],Tickets[Capacity]),0))</f>
        <v/>
      </c>
      <c r="K1712">
        <f>IF(A1712="","",I1712*J1712)</f>
        <v/>
      </c>
      <c r="L1712">
        <f>IF(A1712="","",IFERROR(MINIFS(Tickets[Trip Start Time],Tickets[TripKey],A1712),""))</f>
        <v/>
      </c>
    </row>
    <row r="1713">
      <c r="B1713" s="8">
        <f>IF(A1713="","",IFERROR(DATEVALUE(TEXTBEFORE(A1713,"|")),--LEFT(A1713,10)))</f>
        <v/>
      </c>
      <c r="C1713">
        <f>IF(A1713="","",TEXTBEFORE(TEXTAFTER(A1713,"|"),"|"))</f>
        <v/>
      </c>
      <c r="D1713">
        <f>IF(A1713="","",TEXTAFTER(A1713,"|",2))</f>
        <v/>
      </c>
      <c r="E1713">
        <f>IF(A1713="","",SUMIF(Tickets[TripKey],A1713,Tickets[TP]))</f>
        <v/>
      </c>
      <c r="F1713">
        <f>IF(A1713="","",SUMIF(Tickets[TripKey],A1713,Tickets[Revenue]))</f>
        <v/>
      </c>
      <c r="G1713">
        <f>IF(A1713="","",SUMIF(Tickets[TripKey],A1713,Tickets[PK]))</f>
        <v/>
      </c>
      <c r="H1713">
        <f>IF(A1713="","",IFERROR(XLOOKUP(A1713,Tickets[TripKey],Tickets[VehClean]),""))</f>
        <v/>
      </c>
      <c r="I1713">
        <f>IF(A1713="","",IFERROR(XLOOKUP(A1713,Tickets[TripKey],Tickets[RouteLen]),0))</f>
        <v/>
      </c>
      <c r="J1713">
        <f>IF(A1713="","",IFERROR(XLOOKUP(A1713,Tickets[TripKey],Tickets[Capacity]),0))</f>
        <v/>
      </c>
      <c r="K1713">
        <f>IF(A1713="","",I1713*J1713)</f>
        <v/>
      </c>
      <c r="L1713">
        <f>IF(A1713="","",IFERROR(MINIFS(Tickets[Trip Start Time],Tickets[TripKey],A1713),""))</f>
        <v/>
      </c>
    </row>
    <row r="1714">
      <c r="B1714" s="8">
        <f>IF(A1714="","",IFERROR(DATEVALUE(TEXTBEFORE(A1714,"|")),--LEFT(A1714,10)))</f>
        <v/>
      </c>
      <c r="C1714">
        <f>IF(A1714="","",TEXTBEFORE(TEXTAFTER(A1714,"|"),"|"))</f>
        <v/>
      </c>
      <c r="D1714">
        <f>IF(A1714="","",TEXTAFTER(A1714,"|",2))</f>
        <v/>
      </c>
      <c r="E1714">
        <f>IF(A1714="","",SUMIF(Tickets[TripKey],A1714,Tickets[TP]))</f>
        <v/>
      </c>
      <c r="F1714">
        <f>IF(A1714="","",SUMIF(Tickets[TripKey],A1714,Tickets[Revenue]))</f>
        <v/>
      </c>
      <c r="G1714">
        <f>IF(A1714="","",SUMIF(Tickets[TripKey],A1714,Tickets[PK]))</f>
        <v/>
      </c>
      <c r="H1714">
        <f>IF(A1714="","",IFERROR(XLOOKUP(A1714,Tickets[TripKey],Tickets[VehClean]),""))</f>
        <v/>
      </c>
      <c r="I1714">
        <f>IF(A1714="","",IFERROR(XLOOKUP(A1714,Tickets[TripKey],Tickets[RouteLen]),0))</f>
        <v/>
      </c>
      <c r="J1714">
        <f>IF(A1714="","",IFERROR(XLOOKUP(A1714,Tickets[TripKey],Tickets[Capacity]),0))</f>
        <v/>
      </c>
      <c r="K1714">
        <f>IF(A1714="","",I1714*J1714)</f>
        <v/>
      </c>
      <c r="L1714">
        <f>IF(A1714="","",IFERROR(MINIFS(Tickets[Trip Start Time],Tickets[TripKey],A1714),""))</f>
        <v/>
      </c>
    </row>
    <row r="1715">
      <c r="B1715" s="8">
        <f>IF(A1715="","",IFERROR(DATEVALUE(TEXTBEFORE(A1715,"|")),--LEFT(A1715,10)))</f>
        <v/>
      </c>
      <c r="C1715">
        <f>IF(A1715="","",TEXTBEFORE(TEXTAFTER(A1715,"|"),"|"))</f>
        <v/>
      </c>
      <c r="D1715">
        <f>IF(A1715="","",TEXTAFTER(A1715,"|",2))</f>
        <v/>
      </c>
      <c r="E1715">
        <f>IF(A1715="","",SUMIF(Tickets[TripKey],A1715,Tickets[TP]))</f>
        <v/>
      </c>
      <c r="F1715">
        <f>IF(A1715="","",SUMIF(Tickets[TripKey],A1715,Tickets[Revenue]))</f>
        <v/>
      </c>
      <c r="G1715">
        <f>IF(A1715="","",SUMIF(Tickets[TripKey],A1715,Tickets[PK]))</f>
        <v/>
      </c>
      <c r="H1715">
        <f>IF(A1715="","",IFERROR(XLOOKUP(A1715,Tickets[TripKey],Tickets[VehClean]),""))</f>
        <v/>
      </c>
      <c r="I1715">
        <f>IF(A1715="","",IFERROR(XLOOKUP(A1715,Tickets[TripKey],Tickets[RouteLen]),0))</f>
        <v/>
      </c>
      <c r="J1715">
        <f>IF(A1715="","",IFERROR(XLOOKUP(A1715,Tickets[TripKey],Tickets[Capacity]),0))</f>
        <v/>
      </c>
      <c r="K1715">
        <f>IF(A1715="","",I1715*J1715)</f>
        <v/>
      </c>
      <c r="L1715">
        <f>IF(A1715="","",IFERROR(MINIFS(Tickets[Trip Start Time],Tickets[TripKey],A1715),""))</f>
        <v/>
      </c>
    </row>
    <row r="1716">
      <c r="B1716" s="8">
        <f>IF(A1716="","",IFERROR(DATEVALUE(TEXTBEFORE(A1716,"|")),--LEFT(A1716,10)))</f>
        <v/>
      </c>
      <c r="C1716">
        <f>IF(A1716="","",TEXTBEFORE(TEXTAFTER(A1716,"|"),"|"))</f>
        <v/>
      </c>
      <c r="D1716">
        <f>IF(A1716="","",TEXTAFTER(A1716,"|",2))</f>
        <v/>
      </c>
      <c r="E1716">
        <f>IF(A1716="","",SUMIF(Tickets[TripKey],A1716,Tickets[TP]))</f>
        <v/>
      </c>
      <c r="F1716">
        <f>IF(A1716="","",SUMIF(Tickets[TripKey],A1716,Tickets[Revenue]))</f>
        <v/>
      </c>
      <c r="G1716">
        <f>IF(A1716="","",SUMIF(Tickets[TripKey],A1716,Tickets[PK]))</f>
        <v/>
      </c>
      <c r="H1716">
        <f>IF(A1716="","",IFERROR(XLOOKUP(A1716,Tickets[TripKey],Tickets[VehClean]),""))</f>
        <v/>
      </c>
      <c r="I1716">
        <f>IF(A1716="","",IFERROR(XLOOKUP(A1716,Tickets[TripKey],Tickets[RouteLen]),0))</f>
        <v/>
      </c>
      <c r="J1716">
        <f>IF(A1716="","",IFERROR(XLOOKUP(A1716,Tickets[TripKey],Tickets[Capacity]),0))</f>
        <v/>
      </c>
      <c r="K1716">
        <f>IF(A1716="","",I1716*J1716)</f>
        <v/>
      </c>
      <c r="L1716">
        <f>IF(A1716="","",IFERROR(MINIFS(Tickets[Trip Start Time],Tickets[TripKey],A1716),""))</f>
        <v/>
      </c>
    </row>
    <row r="1717">
      <c r="B1717" s="8">
        <f>IF(A1717="","",IFERROR(DATEVALUE(TEXTBEFORE(A1717,"|")),--LEFT(A1717,10)))</f>
        <v/>
      </c>
      <c r="C1717">
        <f>IF(A1717="","",TEXTBEFORE(TEXTAFTER(A1717,"|"),"|"))</f>
        <v/>
      </c>
      <c r="D1717">
        <f>IF(A1717="","",TEXTAFTER(A1717,"|",2))</f>
        <v/>
      </c>
      <c r="E1717">
        <f>IF(A1717="","",SUMIF(Tickets[TripKey],A1717,Tickets[TP]))</f>
        <v/>
      </c>
      <c r="F1717">
        <f>IF(A1717="","",SUMIF(Tickets[TripKey],A1717,Tickets[Revenue]))</f>
        <v/>
      </c>
      <c r="G1717">
        <f>IF(A1717="","",SUMIF(Tickets[TripKey],A1717,Tickets[PK]))</f>
        <v/>
      </c>
      <c r="H1717">
        <f>IF(A1717="","",IFERROR(XLOOKUP(A1717,Tickets[TripKey],Tickets[VehClean]),""))</f>
        <v/>
      </c>
      <c r="I1717">
        <f>IF(A1717="","",IFERROR(XLOOKUP(A1717,Tickets[TripKey],Tickets[RouteLen]),0))</f>
        <v/>
      </c>
      <c r="J1717">
        <f>IF(A1717="","",IFERROR(XLOOKUP(A1717,Tickets[TripKey],Tickets[Capacity]),0))</f>
        <v/>
      </c>
      <c r="K1717">
        <f>IF(A1717="","",I1717*J1717)</f>
        <v/>
      </c>
      <c r="L1717">
        <f>IF(A1717="","",IFERROR(MINIFS(Tickets[Trip Start Time],Tickets[TripKey],A1717),""))</f>
        <v/>
      </c>
    </row>
    <row r="1718">
      <c r="B1718" s="8">
        <f>IF(A1718="","",IFERROR(DATEVALUE(TEXTBEFORE(A1718,"|")),--LEFT(A1718,10)))</f>
        <v/>
      </c>
      <c r="C1718">
        <f>IF(A1718="","",TEXTBEFORE(TEXTAFTER(A1718,"|"),"|"))</f>
        <v/>
      </c>
      <c r="D1718">
        <f>IF(A1718="","",TEXTAFTER(A1718,"|",2))</f>
        <v/>
      </c>
      <c r="E1718">
        <f>IF(A1718="","",SUMIF(Tickets[TripKey],A1718,Tickets[TP]))</f>
        <v/>
      </c>
      <c r="F1718">
        <f>IF(A1718="","",SUMIF(Tickets[TripKey],A1718,Tickets[Revenue]))</f>
        <v/>
      </c>
      <c r="G1718">
        <f>IF(A1718="","",SUMIF(Tickets[TripKey],A1718,Tickets[PK]))</f>
        <v/>
      </c>
      <c r="H1718">
        <f>IF(A1718="","",IFERROR(XLOOKUP(A1718,Tickets[TripKey],Tickets[VehClean]),""))</f>
        <v/>
      </c>
      <c r="I1718">
        <f>IF(A1718="","",IFERROR(XLOOKUP(A1718,Tickets[TripKey],Tickets[RouteLen]),0))</f>
        <v/>
      </c>
      <c r="J1718">
        <f>IF(A1718="","",IFERROR(XLOOKUP(A1718,Tickets[TripKey],Tickets[Capacity]),0))</f>
        <v/>
      </c>
      <c r="K1718">
        <f>IF(A1718="","",I1718*J1718)</f>
        <v/>
      </c>
      <c r="L1718">
        <f>IF(A1718="","",IFERROR(MINIFS(Tickets[Trip Start Time],Tickets[TripKey],A1718),""))</f>
        <v/>
      </c>
    </row>
    <row r="1719">
      <c r="B1719" s="8">
        <f>IF(A1719="","",IFERROR(DATEVALUE(TEXTBEFORE(A1719,"|")),--LEFT(A1719,10)))</f>
        <v/>
      </c>
      <c r="C1719">
        <f>IF(A1719="","",TEXTBEFORE(TEXTAFTER(A1719,"|"),"|"))</f>
        <v/>
      </c>
      <c r="D1719">
        <f>IF(A1719="","",TEXTAFTER(A1719,"|",2))</f>
        <v/>
      </c>
      <c r="E1719">
        <f>IF(A1719="","",SUMIF(Tickets[TripKey],A1719,Tickets[TP]))</f>
        <v/>
      </c>
      <c r="F1719">
        <f>IF(A1719="","",SUMIF(Tickets[TripKey],A1719,Tickets[Revenue]))</f>
        <v/>
      </c>
      <c r="G1719">
        <f>IF(A1719="","",SUMIF(Tickets[TripKey],A1719,Tickets[PK]))</f>
        <v/>
      </c>
      <c r="H1719">
        <f>IF(A1719="","",IFERROR(XLOOKUP(A1719,Tickets[TripKey],Tickets[VehClean]),""))</f>
        <v/>
      </c>
      <c r="I1719">
        <f>IF(A1719="","",IFERROR(XLOOKUP(A1719,Tickets[TripKey],Tickets[RouteLen]),0))</f>
        <v/>
      </c>
      <c r="J1719">
        <f>IF(A1719="","",IFERROR(XLOOKUP(A1719,Tickets[TripKey],Tickets[Capacity]),0))</f>
        <v/>
      </c>
      <c r="K1719">
        <f>IF(A1719="","",I1719*J1719)</f>
        <v/>
      </c>
      <c r="L1719">
        <f>IF(A1719="","",IFERROR(MINIFS(Tickets[Trip Start Time],Tickets[TripKey],A1719),""))</f>
        <v/>
      </c>
    </row>
    <row r="1720">
      <c r="B1720" s="8">
        <f>IF(A1720="","",IFERROR(DATEVALUE(TEXTBEFORE(A1720,"|")),--LEFT(A1720,10)))</f>
        <v/>
      </c>
      <c r="C1720">
        <f>IF(A1720="","",TEXTBEFORE(TEXTAFTER(A1720,"|"),"|"))</f>
        <v/>
      </c>
      <c r="D1720">
        <f>IF(A1720="","",TEXTAFTER(A1720,"|",2))</f>
        <v/>
      </c>
      <c r="E1720">
        <f>IF(A1720="","",SUMIF(Tickets[TripKey],A1720,Tickets[TP]))</f>
        <v/>
      </c>
      <c r="F1720">
        <f>IF(A1720="","",SUMIF(Tickets[TripKey],A1720,Tickets[Revenue]))</f>
        <v/>
      </c>
      <c r="G1720">
        <f>IF(A1720="","",SUMIF(Tickets[TripKey],A1720,Tickets[PK]))</f>
        <v/>
      </c>
      <c r="H1720">
        <f>IF(A1720="","",IFERROR(XLOOKUP(A1720,Tickets[TripKey],Tickets[VehClean]),""))</f>
        <v/>
      </c>
      <c r="I1720">
        <f>IF(A1720="","",IFERROR(XLOOKUP(A1720,Tickets[TripKey],Tickets[RouteLen]),0))</f>
        <v/>
      </c>
      <c r="J1720">
        <f>IF(A1720="","",IFERROR(XLOOKUP(A1720,Tickets[TripKey],Tickets[Capacity]),0))</f>
        <v/>
      </c>
      <c r="K1720">
        <f>IF(A1720="","",I1720*J1720)</f>
        <v/>
      </c>
      <c r="L1720">
        <f>IF(A1720="","",IFERROR(MINIFS(Tickets[Trip Start Time],Tickets[TripKey],A1720),""))</f>
        <v/>
      </c>
    </row>
    <row r="1721">
      <c r="B1721" s="8">
        <f>IF(A1721="","",IFERROR(DATEVALUE(TEXTBEFORE(A1721,"|")),--LEFT(A1721,10)))</f>
        <v/>
      </c>
      <c r="C1721">
        <f>IF(A1721="","",TEXTBEFORE(TEXTAFTER(A1721,"|"),"|"))</f>
        <v/>
      </c>
      <c r="D1721">
        <f>IF(A1721="","",TEXTAFTER(A1721,"|",2))</f>
        <v/>
      </c>
      <c r="E1721">
        <f>IF(A1721="","",SUMIF(Tickets[TripKey],A1721,Tickets[TP]))</f>
        <v/>
      </c>
      <c r="F1721">
        <f>IF(A1721="","",SUMIF(Tickets[TripKey],A1721,Tickets[Revenue]))</f>
        <v/>
      </c>
      <c r="G1721">
        <f>IF(A1721="","",SUMIF(Tickets[TripKey],A1721,Tickets[PK]))</f>
        <v/>
      </c>
      <c r="H1721">
        <f>IF(A1721="","",IFERROR(XLOOKUP(A1721,Tickets[TripKey],Tickets[VehClean]),""))</f>
        <v/>
      </c>
      <c r="I1721">
        <f>IF(A1721="","",IFERROR(XLOOKUP(A1721,Tickets[TripKey],Tickets[RouteLen]),0))</f>
        <v/>
      </c>
      <c r="J1721">
        <f>IF(A1721="","",IFERROR(XLOOKUP(A1721,Tickets[TripKey],Tickets[Capacity]),0))</f>
        <v/>
      </c>
      <c r="K1721">
        <f>IF(A1721="","",I1721*J1721)</f>
        <v/>
      </c>
      <c r="L1721">
        <f>IF(A1721="","",IFERROR(MINIFS(Tickets[Trip Start Time],Tickets[TripKey],A1721),""))</f>
        <v/>
      </c>
    </row>
    <row r="1722">
      <c r="B1722" s="8">
        <f>IF(A1722="","",IFERROR(DATEVALUE(TEXTBEFORE(A1722,"|")),--LEFT(A1722,10)))</f>
        <v/>
      </c>
      <c r="C1722">
        <f>IF(A1722="","",TEXTBEFORE(TEXTAFTER(A1722,"|"),"|"))</f>
        <v/>
      </c>
      <c r="D1722">
        <f>IF(A1722="","",TEXTAFTER(A1722,"|",2))</f>
        <v/>
      </c>
      <c r="E1722">
        <f>IF(A1722="","",SUMIF(Tickets[TripKey],A1722,Tickets[TP]))</f>
        <v/>
      </c>
      <c r="F1722">
        <f>IF(A1722="","",SUMIF(Tickets[TripKey],A1722,Tickets[Revenue]))</f>
        <v/>
      </c>
      <c r="G1722">
        <f>IF(A1722="","",SUMIF(Tickets[TripKey],A1722,Tickets[PK]))</f>
        <v/>
      </c>
      <c r="H1722">
        <f>IF(A1722="","",IFERROR(XLOOKUP(A1722,Tickets[TripKey],Tickets[VehClean]),""))</f>
        <v/>
      </c>
      <c r="I1722">
        <f>IF(A1722="","",IFERROR(XLOOKUP(A1722,Tickets[TripKey],Tickets[RouteLen]),0))</f>
        <v/>
      </c>
      <c r="J1722">
        <f>IF(A1722="","",IFERROR(XLOOKUP(A1722,Tickets[TripKey],Tickets[Capacity]),0))</f>
        <v/>
      </c>
      <c r="K1722">
        <f>IF(A1722="","",I1722*J1722)</f>
        <v/>
      </c>
      <c r="L1722">
        <f>IF(A1722="","",IFERROR(MINIFS(Tickets[Trip Start Time],Tickets[TripKey],A1722),""))</f>
        <v/>
      </c>
    </row>
    <row r="1723">
      <c r="B1723" s="8">
        <f>IF(A1723="","",IFERROR(DATEVALUE(TEXTBEFORE(A1723,"|")),--LEFT(A1723,10)))</f>
        <v/>
      </c>
      <c r="C1723">
        <f>IF(A1723="","",TEXTBEFORE(TEXTAFTER(A1723,"|"),"|"))</f>
        <v/>
      </c>
      <c r="D1723">
        <f>IF(A1723="","",TEXTAFTER(A1723,"|",2))</f>
        <v/>
      </c>
      <c r="E1723">
        <f>IF(A1723="","",SUMIF(Tickets[TripKey],A1723,Tickets[TP]))</f>
        <v/>
      </c>
      <c r="F1723">
        <f>IF(A1723="","",SUMIF(Tickets[TripKey],A1723,Tickets[Revenue]))</f>
        <v/>
      </c>
      <c r="G1723">
        <f>IF(A1723="","",SUMIF(Tickets[TripKey],A1723,Tickets[PK]))</f>
        <v/>
      </c>
      <c r="H1723">
        <f>IF(A1723="","",IFERROR(XLOOKUP(A1723,Tickets[TripKey],Tickets[VehClean]),""))</f>
        <v/>
      </c>
      <c r="I1723">
        <f>IF(A1723="","",IFERROR(XLOOKUP(A1723,Tickets[TripKey],Tickets[RouteLen]),0))</f>
        <v/>
      </c>
      <c r="J1723">
        <f>IF(A1723="","",IFERROR(XLOOKUP(A1723,Tickets[TripKey],Tickets[Capacity]),0))</f>
        <v/>
      </c>
      <c r="K1723">
        <f>IF(A1723="","",I1723*J1723)</f>
        <v/>
      </c>
      <c r="L1723">
        <f>IF(A1723="","",IFERROR(MINIFS(Tickets[Trip Start Time],Tickets[TripKey],A1723),""))</f>
        <v/>
      </c>
    </row>
    <row r="1724">
      <c r="B1724" s="8">
        <f>IF(A1724="","",IFERROR(DATEVALUE(TEXTBEFORE(A1724,"|")),--LEFT(A1724,10)))</f>
        <v/>
      </c>
      <c r="C1724">
        <f>IF(A1724="","",TEXTBEFORE(TEXTAFTER(A1724,"|"),"|"))</f>
        <v/>
      </c>
      <c r="D1724">
        <f>IF(A1724="","",TEXTAFTER(A1724,"|",2))</f>
        <v/>
      </c>
      <c r="E1724">
        <f>IF(A1724="","",SUMIF(Tickets[TripKey],A1724,Tickets[TP]))</f>
        <v/>
      </c>
      <c r="F1724">
        <f>IF(A1724="","",SUMIF(Tickets[TripKey],A1724,Tickets[Revenue]))</f>
        <v/>
      </c>
      <c r="G1724">
        <f>IF(A1724="","",SUMIF(Tickets[TripKey],A1724,Tickets[PK]))</f>
        <v/>
      </c>
      <c r="H1724">
        <f>IF(A1724="","",IFERROR(XLOOKUP(A1724,Tickets[TripKey],Tickets[VehClean]),""))</f>
        <v/>
      </c>
      <c r="I1724">
        <f>IF(A1724="","",IFERROR(XLOOKUP(A1724,Tickets[TripKey],Tickets[RouteLen]),0))</f>
        <v/>
      </c>
      <c r="J1724">
        <f>IF(A1724="","",IFERROR(XLOOKUP(A1724,Tickets[TripKey],Tickets[Capacity]),0))</f>
        <v/>
      </c>
      <c r="K1724">
        <f>IF(A1724="","",I1724*J1724)</f>
        <v/>
      </c>
      <c r="L1724">
        <f>IF(A1724="","",IFERROR(MINIFS(Tickets[Trip Start Time],Tickets[TripKey],A1724),""))</f>
        <v/>
      </c>
    </row>
    <row r="1725">
      <c r="B1725" s="8">
        <f>IF(A1725="","",IFERROR(DATEVALUE(TEXTBEFORE(A1725,"|")),--LEFT(A1725,10)))</f>
        <v/>
      </c>
      <c r="C1725">
        <f>IF(A1725="","",TEXTBEFORE(TEXTAFTER(A1725,"|"),"|"))</f>
        <v/>
      </c>
      <c r="D1725">
        <f>IF(A1725="","",TEXTAFTER(A1725,"|",2))</f>
        <v/>
      </c>
      <c r="E1725">
        <f>IF(A1725="","",SUMIF(Tickets[TripKey],A1725,Tickets[TP]))</f>
        <v/>
      </c>
      <c r="F1725">
        <f>IF(A1725="","",SUMIF(Tickets[TripKey],A1725,Tickets[Revenue]))</f>
        <v/>
      </c>
      <c r="G1725">
        <f>IF(A1725="","",SUMIF(Tickets[TripKey],A1725,Tickets[PK]))</f>
        <v/>
      </c>
      <c r="H1725">
        <f>IF(A1725="","",IFERROR(XLOOKUP(A1725,Tickets[TripKey],Tickets[VehClean]),""))</f>
        <v/>
      </c>
      <c r="I1725">
        <f>IF(A1725="","",IFERROR(XLOOKUP(A1725,Tickets[TripKey],Tickets[RouteLen]),0))</f>
        <v/>
      </c>
      <c r="J1725">
        <f>IF(A1725="","",IFERROR(XLOOKUP(A1725,Tickets[TripKey],Tickets[Capacity]),0))</f>
        <v/>
      </c>
      <c r="K1725">
        <f>IF(A1725="","",I1725*J1725)</f>
        <v/>
      </c>
      <c r="L1725">
        <f>IF(A1725="","",IFERROR(MINIFS(Tickets[Trip Start Time],Tickets[TripKey],A1725),""))</f>
        <v/>
      </c>
    </row>
    <row r="1726">
      <c r="B1726" s="8">
        <f>IF(A1726="","",IFERROR(DATEVALUE(TEXTBEFORE(A1726,"|")),--LEFT(A1726,10)))</f>
        <v/>
      </c>
      <c r="C1726">
        <f>IF(A1726="","",TEXTBEFORE(TEXTAFTER(A1726,"|"),"|"))</f>
        <v/>
      </c>
      <c r="D1726">
        <f>IF(A1726="","",TEXTAFTER(A1726,"|",2))</f>
        <v/>
      </c>
      <c r="E1726">
        <f>IF(A1726="","",SUMIF(Tickets[TripKey],A1726,Tickets[TP]))</f>
        <v/>
      </c>
      <c r="F1726">
        <f>IF(A1726="","",SUMIF(Tickets[TripKey],A1726,Tickets[Revenue]))</f>
        <v/>
      </c>
      <c r="G1726">
        <f>IF(A1726="","",SUMIF(Tickets[TripKey],A1726,Tickets[PK]))</f>
        <v/>
      </c>
      <c r="H1726">
        <f>IF(A1726="","",IFERROR(XLOOKUP(A1726,Tickets[TripKey],Tickets[VehClean]),""))</f>
        <v/>
      </c>
      <c r="I1726">
        <f>IF(A1726="","",IFERROR(XLOOKUP(A1726,Tickets[TripKey],Tickets[RouteLen]),0))</f>
        <v/>
      </c>
      <c r="J1726">
        <f>IF(A1726="","",IFERROR(XLOOKUP(A1726,Tickets[TripKey],Tickets[Capacity]),0))</f>
        <v/>
      </c>
      <c r="K1726">
        <f>IF(A1726="","",I1726*J1726)</f>
        <v/>
      </c>
      <c r="L1726">
        <f>IF(A1726="","",IFERROR(MINIFS(Tickets[Trip Start Time],Tickets[TripKey],A1726),""))</f>
        <v/>
      </c>
    </row>
    <row r="1727">
      <c r="B1727" s="8">
        <f>IF(A1727="","",IFERROR(DATEVALUE(TEXTBEFORE(A1727,"|")),--LEFT(A1727,10)))</f>
        <v/>
      </c>
      <c r="C1727">
        <f>IF(A1727="","",TEXTBEFORE(TEXTAFTER(A1727,"|"),"|"))</f>
        <v/>
      </c>
      <c r="D1727">
        <f>IF(A1727="","",TEXTAFTER(A1727,"|",2))</f>
        <v/>
      </c>
      <c r="E1727">
        <f>IF(A1727="","",SUMIF(Tickets[TripKey],A1727,Tickets[TP]))</f>
        <v/>
      </c>
      <c r="F1727">
        <f>IF(A1727="","",SUMIF(Tickets[TripKey],A1727,Tickets[Revenue]))</f>
        <v/>
      </c>
      <c r="G1727">
        <f>IF(A1727="","",SUMIF(Tickets[TripKey],A1727,Tickets[PK]))</f>
        <v/>
      </c>
      <c r="H1727">
        <f>IF(A1727="","",IFERROR(XLOOKUP(A1727,Tickets[TripKey],Tickets[VehClean]),""))</f>
        <v/>
      </c>
      <c r="I1727">
        <f>IF(A1727="","",IFERROR(XLOOKUP(A1727,Tickets[TripKey],Tickets[RouteLen]),0))</f>
        <v/>
      </c>
      <c r="J1727">
        <f>IF(A1727="","",IFERROR(XLOOKUP(A1727,Tickets[TripKey],Tickets[Capacity]),0))</f>
        <v/>
      </c>
      <c r="K1727">
        <f>IF(A1727="","",I1727*J1727)</f>
        <v/>
      </c>
      <c r="L1727">
        <f>IF(A1727="","",IFERROR(MINIFS(Tickets[Trip Start Time],Tickets[TripKey],A1727),""))</f>
        <v/>
      </c>
    </row>
    <row r="1728">
      <c r="B1728" s="8">
        <f>IF(A1728="","",IFERROR(DATEVALUE(TEXTBEFORE(A1728,"|")),--LEFT(A1728,10)))</f>
        <v/>
      </c>
      <c r="C1728">
        <f>IF(A1728="","",TEXTBEFORE(TEXTAFTER(A1728,"|"),"|"))</f>
        <v/>
      </c>
      <c r="D1728">
        <f>IF(A1728="","",TEXTAFTER(A1728,"|",2))</f>
        <v/>
      </c>
      <c r="E1728">
        <f>IF(A1728="","",SUMIF(Tickets[TripKey],A1728,Tickets[TP]))</f>
        <v/>
      </c>
      <c r="F1728">
        <f>IF(A1728="","",SUMIF(Tickets[TripKey],A1728,Tickets[Revenue]))</f>
        <v/>
      </c>
      <c r="G1728">
        <f>IF(A1728="","",SUMIF(Tickets[TripKey],A1728,Tickets[PK]))</f>
        <v/>
      </c>
      <c r="H1728">
        <f>IF(A1728="","",IFERROR(XLOOKUP(A1728,Tickets[TripKey],Tickets[VehClean]),""))</f>
        <v/>
      </c>
      <c r="I1728">
        <f>IF(A1728="","",IFERROR(XLOOKUP(A1728,Tickets[TripKey],Tickets[RouteLen]),0))</f>
        <v/>
      </c>
      <c r="J1728">
        <f>IF(A1728="","",IFERROR(XLOOKUP(A1728,Tickets[TripKey],Tickets[Capacity]),0))</f>
        <v/>
      </c>
      <c r="K1728">
        <f>IF(A1728="","",I1728*J1728)</f>
        <v/>
      </c>
      <c r="L1728">
        <f>IF(A1728="","",IFERROR(MINIFS(Tickets[Trip Start Time],Tickets[TripKey],A1728),""))</f>
        <v/>
      </c>
    </row>
    <row r="1729">
      <c r="B1729" s="8">
        <f>IF(A1729="","",IFERROR(DATEVALUE(TEXTBEFORE(A1729,"|")),--LEFT(A1729,10)))</f>
        <v/>
      </c>
      <c r="C1729">
        <f>IF(A1729="","",TEXTBEFORE(TEXTAFTER(A1729,"|"),"|"))</f>
        <v/>
      </c>
      <c r="D1729">
        <f>IF(A1729="","",TEXTAFTER(A1729,"|",2))</f>
        <v/>
      </c>
      <c r="E1729">
        <f>IF(A1729="","",SUMIF(Tickets[TripKey],A1729,Tickets[TP]))</f>
        <v/>
      </c>
      <c r="F1729">
        <f>IF(A1729="","",SUMIF(Tickets[TripKey],A1729,Tickets[Revenue]))</f>
        <v/>
      </c>
      <c r="G1729">
        <f>IF(A1729="","",SUMIF(Tickets[TripKey],A1729,Tickets[PK]))</f>
        <v/>
      </c>
      <c r="H1729">
        <f>IF(A1729="","",IFERROR(XLOOKUP(A1729,Tickets[TripKey],Tickets[VehClean]),""))</f>
        <v/>
      </c>
      <c r="I1729">
        <f>IF(A1729="","",IFERROR(XLOOKUP(A1729,Tickets[TripKey],Tickets[RouteLen]),0))</f>
        <v/>
      </c>
      <c r="J1729">
        <f>IF(A1729="","",IFERROR(XLOOKUP(A1729,Tickets[TripKey],Tickets[Capacity]),0))</f>
        <v/>
      </c>
      <c r="K1729">
        <f>IF(A1729="","",I1729*J1729)</f>
        <v/>
      </c>
      <c r="L1729">
        <f>IF(A1729="","",IFERROR(MINIFS(Tickets[Trip Start Time],Tickets[TripKey],A1729),""))</f>
        <v/>
      </c>
    </row>
    <row r="1730">
      <c r="B1730" s="8">
        <f>IF(A1730="","",IFERROR(DATEVALUE(TEXTBEFORE(A1730,"|")),--LEFT(A1730,10)))</f>
        <v/>
      </c>
      <c r="C1730">
        <f>IF(A1730="","",TEXTBEFORE(TEXTAFTER(A1730,"|"),"|"))</f>
        <v/>
      </c>
      <c r="D1730">
        <f>IF(A1730="","",TEXTAFTER(A1730,"|",2))</f>
        <v/>
      </c>
      <c r="E1730">
        <f>IF(A1730="","",SUMIF(Tickets[TripKey],A1730,Tickets[TP]))</f>
        <v/>
      </c>
      <c r="F1730">
        <f>IF(A1730="","",SUMIF(Tickets[TripKey],A1730,Tickets[Revenue]))</f>
        <v/>
      </c>
      <c r="G1730">
        <f>IF(A1730="","",SUMIF(Tickets[TripKey],A1730,Tickets[PK]))</f>
        <v/>
      </c>
      <c r="H1730">
        <f>IF(A1730="","",IFERROR(XLOOKUP(A1730,Tickets[TripKey],Tickets[VehClean]),""))</f>
        <v/>
      </c>
      <c r="I1730">
        <f>IF(A1730="","",IFERROR(XLOOKUP(A1730,Tickets[TripKey],Tickets[RouteLen]),0))</f>
        <v/>
      </c>
      <c r="J1730">
        <f>IF(A1730="","",IFERROR(XLOOKUP(A1730,Tickets[TripKey],Tickets[Capacity]),0))</f>
        <v/>
      </c>
      <c r="K1730">
        <f>IF(A1730="","",I1730*J1730)</f>
        <v/>
      </c>
      <c r="L1730">
        <f>IF(A1730="","",IFERROR(MINIFS(Tickets[Trip Start Time],Tickets[TripKey],A1730),""))</f>
        <v/>
      </c>
    </row>
    <row r="1731">
      <c r="B1731" s="8">
        <f>IF(A1731="","",IFERROR(DATEVALUE(TEXTBEFORE(A1731,"|")),--LEFT(A1731,10)))</f>
        <v/>
      </c>
      <c r="C1731">
        <f>IF(A1731="","",TEXTBEFORE(TEXTAFTER(A1731,"|"),"|"))</f>
        <v/>
      </c>
      <c r="D1731">
        <f>IF(A1731="","",TEXTAFTER(A1731,"|",2))</f>
        <v/>
      </c>
      <c r="E1731">
        <f>IF(A1731="","",SUMIF(Tickets[TripKey],A1731,Tickets[TP]))</f>
        <v/>
      </c>
      <c r="F1731">
        <f>IF(A1731="","",SUMIF(Tickets[TripKey],A1731,Tickets[Revenue]))</f>
        <v/>
      </c>
      <c r="G1731">
        <f>IF(A1731="","",SUMIF(Tickets[TripKey],A1731,Tickets[PK]))</f>
        <v/>
      </c>
      <c r="H1731">
        <f>IF(A1731="","",IFERROR(XLOOKUP(A1731,Tickets[TripKey],Tickets[VehClean]),""))</f>
        <v/>
      </c>
      <c r="I1731">
        <f>IF(A1731="","",IFERROR(XLOOKUP(A1731,Tickets[TripKey],Tickets[RouteLen]),0))</f>
        <v/>
      </c>
      <c r="J1731">
        <f>IF(A1731="","",IFERROR(XLOOKUP(A1731,Tickets[TripKey],Tickets[Capacity]),0))</f>
        <v/>
      </c>
      <c r="K1731">
        <f>IF(A1731="","",I1731*J1731)</f>
        <v/>
      </c>
      <c r="L1731">
        <f>IF(A1731="","",IFERROR(MINIFS(Tickets[Trip Start Time],Tickets[TripKey],A1731),""))</f>
        <v/>
      </c>
    </row>
    <row r="1732">
      <c r="B1732" s="8">
        <f>IF(A1732="","",IFERROR(DATEVALUE(TEXTBEFORE(A1732,"|")),--LEFT(A1732,10)))</f>
        <v/>
      </c>
      <c r="C1732">
        <f>IF(A1732="","",TEXTBEFORE(TEXTAFTER(A1732,"|"),"|"))</f>
        <v/>
      </c>
      <c r="D1732">
        <f>IF(A1732="","",TEXTAFTER(A1732,"|",2))</f>
        <v/>
      </c>
      <c r="E1732">
        <f>IF(A1732="","",SUMIF(Tickets[TripKey],A1732,Tickets[TP]))</f>
        <v/>
      </c>
      <c r="F1732">
        <f>IF(A1732="","",SUMIF(Tickets[TripKey],A1732,Tickets[Revenue]))</f>
        <v/>
      </c>
      <c r="G1732">
        <f>IF(A1732="","",SUMIF(Tickets[TripKey],A1732,Tickets[PK]))</f>
        <v/>
      </c>
      <c r="H1732">
        <f>IF(A1732="","",IFERROR(XLOOKUP(A1732,Tickets[TripKey],Tickets[VehClean]),""))</f>
        <v/>
      </c>
      <c r="I1732">
        <f>IF(A1732="","",IFERROR(XLOOKUP(A1732,Tickets[TripKey],Tickets[RouteLen]),0))</f>
        <v/>
      </c>
      <c r="J1732">
        <f>IF(A1732="","",IFERROR(XLOOKUP(A1732,Tickets[TripKey],Tickets[Capacity]),0))</f>
        <v/>
      </c>
      <c r="K1732">
        <f>IF(A1732="","",I1732*J1732)</f>
        <v/>
      </c>
      <c r="L1732">
        <f>IF(A1732="","",IFERROR(MINIFS(Tickets[Trip Start Time],Tickets[TripKey],A1732),""))</f>
        <v/>
      </c>
    </row>
    <row r="1733">
      <c r="B1733" s="8">
        <f>IF(A1733="","",IFERROR(DATEVALUE(TEXTBEFORE(A1733,"|")),--LEFT(A1733,10)))</f>
        <v/>
      </c>
      <c r="C1733">
        <f>IF(A1733="","",TEXTBEFORE(TEXTAFTER(A1733,"|"),"|"))</f>
        <v/>
      </c>
      <c r="D1733">
        <f>IF(A1733="","",TEXTAFTER(A1733,"|",2))</f>
        <v/>
      </c>
      <c r="E1733">
        <f>IF(A1733="","",SUMIF(Tickets[TripKey],A1733,Tickets[TP]))</f>
        <v/>
      </c>
      <c r="F1733">
        <f>IF(A1733="","",SUMIF(Tickets[TripKey],A1733,Tickets[Revenue]))</f>
        <v/>
      </c>
      <c r="G1733">
        <f>IF(A1733="","",SUMIF(Tickets[TripKey],A1733,Tickets[PK]))</f>
        <v/>
      </c>
      <c r="H1733">
        <f>IF(A1733="","",IFERROR(XLOOKUP(A1733,Tickets[TripKey],Tickets[VehClean]),""))</f>
        <v/>
      </c>
      <c r="I1733">
        <f>IF(A1733="","",IFERROR(XLOOKUP(A1733,Tickets[TripKey],Tickets[RouteLen]),0))</f>
        <v/>
      </c>
      <c r="J1733">
        <f>IF(A1733="","",IFERROR(XLOOKUP(A1733,Tickets[TripKey],Tickets[Capacity]),0))</f>
        <v/>
      </c>
      <c r="K1733">
        <f>IF(A1733="","",I1733*J1733)</f>
        <v/>
      </c>
      <c r="L1733">
        <f>IF(A1733="","",IFERROR(MINIFS(Tickets[Trip Start Time],Tickets[TripKey],A1733),""))</f>
        <v/>
      </c>
    </row>
    <row r="1734">
      <c r="B1734" s="8">
        <f>IF(A1734="","",IFERROR(DATEVALUE(TEXTBEFORE(A1734,"|")),--LEFT(A1734,10)))</f>
        <v/>
      </c>
      <c r="C1734">
        <f>IF(A1734="","",TEXTBEFORE(TEXTAFTER(A1734,"|"),"|"))</f>
        <v/>
      </c>
      <c r="D1734">
        <f>IF(A1734="","",TEXTAFTER(A1734,"|",2))</f>
        <v/>
      </c>
      <c r="E1734">
        <f>IF(A1734="","",SUMIF(Tickets[TripKey],A1734,Tickets[TP]))</f>
        <v/>
      </c>
      <c r="F1734">
        <f>IF(A1734="","",SUMIF(Tickets[TripKey],A1734,Tickets[Revenue]))</f>
        <v/>
      </c>
      <c r="G1734">
        <f>IF(A1734="","",SUMIF(Tickets[TripKey],A1734,Tickets[PK]))</f>
        <v/>
      </c>
      <c r="H1734">
        <f>IF(A1734="","",IFERROR(XLOOKUP(A1734,Tickets[TripKey],Tickets[VehClean]),""))</f>
        <v/>
      </c>
      <c r="I1734">
        <f>IF(A1734="","",IFERROR(XLOOKUP(A1734,Tickets[TripKey],Tickets[RouteLen]),0))</f>
        <v/>
      </c>
      <c r="J1734">
        <f>IF(A1734="","",IFERROR(XLOOKUP(A1734,Tickets[TripKey],Tickets[Capacity]),0))</f>
        <v/>
      </c>
      <c r="K1734">
        <f>IF(A1734="","",I1734*J1734)</f>
        <v/>
      </c>
      <c r="L1734">
        <f>IF(A1734="","",IFERROR(MINIFS(Tickets[Trip Start Time],Tickets[TripKey],A1734),""))</f>
        <v/>
      </c>
    </row>
    <row r="1735">
      <c r="B1735" s="8">
        <f>IF(A1735="","",IFERROR(DATEVALUE(TEXTBEFORE(A1735,"|")),--LEFT(A1735,10)))</f>
        <v/>
      </c>
      <c r="C1735">
        <f>IF(A1735="","",TEXTBEFORE(TEXTAFTER(A1735,"|"),"|"))</f>
        <v/>
      </c>
      <c r="D1735">
        <f>IF(A1735="","",TEXTAFTER(A1735,"|",2))</f>
        <v/>
      </c>
      <c r="E1735">
        <f>IF(A1735="","",SUMIF(Tickets[TripKey],A1735,Tickets[TP]))</f>
        <v/>
      </c>
      <c r="F1735">
        <f>IF(A1735="","",SUMIF(Tickets[TripKey],A1735,Tickets[Revenue]))</f>
        <v/>
      </c>
      <c r="G1735">
        <f>IF(A1735="","",SUMIF(Tickets[TripKey],A1735,Tickets[PK]))</f>
        <v/>
      </c>
      <c r="H1735">
        <f>IF(A1735="","",IFERROR(XLOOKUP(A1735,Tickets[TripKey],Tickets[VehClean]),""))</f>
        <v/>
      </c>
      <c r="I1735">
        <f>IF(A1735="","",IFERROR(XLOOKUP(A1735,Tickets[TripKey],Tickets[RouteLen]),0))</f>
        <v/>
      </c>
      <c r="J1735">
        <f>IF(A1735="","",IFERROR(XLOOKUP(A1735,Tickets[TripKey],Tickets[Capacity]),0))</f>
        <v/>
      </c>
      <c r="K1735">
        <f>IF(A1735="","",I1735*J1735)</f>
        <v/>
      </c>
      <c r="L1735">
        <f>IF(A1735="","",IFERROR(MINIFS(Tickets[Trip Start Time],Tickets[TripKey],A1735),""))</f>
        <v/>
      </c>
    </row>
    <row r="1736">
      <c r="B1736" s="8">
        <f>IF(A1736="","",IFERROR(DATEVALUE(TEXTBEFORE(A1736,"|")),--LEFT(A1736,10)))</f>
        <v/>
      </c>
      <c r="C1736">
        <f>IF(A1736="","",TEXTBEFORE(TEXTAFTER(A1736,"|"),"|"))</f>
        <v/>
      </c>
      <c r="D1736">
        <f>IF(A1736="","",TEXTAFTER(A1736,"|",2))</f>
        <v/>
      </c>
      <c r="E1736">
        <f>IF(A1736="","",SUMIF(Tickets[TripKey],A1736,Tickets[TP]))</f>
        <v/>
      </c>
      <c r="F1736">
        <f>IF(A1736="","",SUMIF(Tickets[TripKey],A1736,Tickets[Revenue]))</f>
        <v/>
      </c>
      <c r="G1736">
        <f>IF(A1736="","",SUMIF(Tickets[TripKey],A1736,Tickets[PK]))</f>
        <v/>
      </c>
      <c r="H1736">
        <f>IF(A1736="","",IFERROR(XLOOKUP(A1736,Tickets[TripKey],Tickets[VehClean]),""))</f>
        <v/>
      </c>
      <c r="I1736">
        <f>IF(A1736="","",IFERROR(XLOOKUP(A1736,Tickets[TripKey],Tickets[RouteLen]),0))</f>
        <v/>
      </c>
      <c r="J1736">
        <f>IF(A1736="","",IFERROR(XLOOKUP(A1736,Tickets[TripKey],Tickets[Capacity]),0))</f>
        <v/>
      </c>
      <c r="K1736">
        <f>IF(A1736="","",I1736*J1736)</f>
        <v/>
      </c>
      <c r="L1736">
        <f>IF(A1736="","",IFERROR(MINIFS(Tickets[Trip Start Time],Tickets[TripKey],A1736),""))</f>
        <v/>
      </c>
    </row>
    <row r="1737">
      <c r="B1737" s="8">
        <f>IF(A1737="","",IFERROR(DATEVALUE(TEXTBEFORE(A1737,"|")),--LEFT(A1737,10)))</f>
        <v/>
      </c>
      <c r="C1737">
        <f>IF(A1737="","",TEXTBEFORE(TEXTAFTER(A1737,"|"),"|"))</f>
        <v/>
      </c>
      <c r="D1737">
        <f>IF(A1737="","",TEXTAFTER(A1737,"|",2))</f>
        <v/>
      </c>
      <c r="E1737">
        <f>IF(A1737="","",SUMIF(Tickets[TripKey],A1737,Tickets[TP]))</f>
        <v/>
      </c>
      <c r="F1737">
        <f>IF(A1737="","",SUMIF(Tickets[TripKey],A1737,Tickets[Revenue]))</f>
        <v/>
      </c>
      <c r="G1737">
        <f>IF(A1737="","",SUMIF(Tickets[TripKey],A1737,Tickets[PK]))</f>
        <v/>
      </c>
      <c r="H1737">
        <f>IF(A1737="","",IFERROR(XLOOKUP(A1737,Tickets[TripKey],Tickets[VehClean]),""))</f>
        <v/>
      </c>
      <c r="I1737">
        <f>IF(A1737="","",IFERROR(XLOOKUP(A1737,Tickets[TripKey],Tickets[RouteLen]),0))</f>
        <v/>
      </c>
      <c r="J1737">
        <f>IF(A1737="","",IFERROR(XLOOKUP(A1737,Tickets[TripKey],Tickets[Capacity]),0))</f>
        <v/>
      </c>
      <c r="K1737">
        <f>IF(A1737="","",I1737*J1737)</f>
        <v/>
      </c>
      <c r="L1737">
        <f>IF(A1737="","",IFERROR(MINIFS(Tickets[Trip Start Time],Tickets[TripKey],A1737),""))</f>
        <v/>
      </c>
    </row>
    <row r="1738">
      <c r="B1738" s="8">
        <f>IF(A1738="","",IFERROR(DATEVALUE(TEXTBEFORE(A1738,"|")),--LEFT(A1738,10)))</f>
        <v/>
      </c>
      <c r="C1738">
        <f>IF(A1738="","",TEXTBEFORE(TEXTAFTER(A1738,"|"),"|"))</f>
        <v/>
      </c>
      <c r="D1738">
        <f>IF(A1738="","",TEXTAFTER(A1738,"|",2))</f>
        <v/>
      </c>
      <c r="E1738">
        <f>IF(A1738="","",SUMIF(Tickets[TripKey],A1738,Tickets[TP]))</f>
        <v/>
      </c>
      <c r="F1738">
        <f>IF(A1738="","",SUMIF(Tickets[TripKey],A1738,Tickets[Revenue]))</f>
        <v/>
      </c>
      <c r="G1738">
        <f>IF(A1738="","",SUMIF(Tickets[TripKey],A1738,Tickets[PK]))</f>
        <v/>
      </c>
      <c r="H1738">
        <f>IF(A1738="","",IFERROR(XLOOKUP(A1738,Tickets[TripKey],Tickets[VehClean]),""))</f>
        <v/>
      </c>
      <c r="I1738">
        <f>IF(A1738="","",IFERROR(XLOOKUP(A1738,Tickets[TripKey],Tickets[RouteLen]),0))</f>
        <v/>
      </c>
      <c r="J1738">
        <f>IF(A1738="","",IFERROR(XLOOKUP(A1738,Tickets[TripKey],Tickets[Capacity]),0))</f>
        <v/>
      </c>
      <c r="K1738">
        <f>IF(A1738="","",I1738*J1738)</f>
        <v/>
      </c>
      <c r="L1738">
        <f>IF(A1738="","",IFERROR(MINIFS(Tickets[Trip Start Time],Tickets[TripKey],A1738),""))</f>
        <v/>
      </c>
    </row>
    <row r="1739">
      <c r="B1739" s="8">
        <f>IF(A1739="","",IFERROR(DATEVALUE(TEXTBEFORE(A1739,"|")),--LEFT(A1739,10)))</f>
        <v/>
      </c>
      <c r="C1739">
        <f>IF(A1739="","",TEXTBEFORE(TEXTAFTER(A1739,"|"),"|"))</f>
        <v/>
      </c>
      <c r="D1739">
        <f>IF(A1739="","",TEXTAFTER(A1739,"|",2))</f>
        <v/>
      </c>
      <c r="E1739">
        <f>IF(A1739="","",SUMIF(Tickets[TripKey],A1739,Tickets[TP]))</f>
        <v/>
      </c>
      <c r="F1739">
        <f>IF(A1739="","",SUMIF(Tickets[TripKey],A1739,Tickets[Revenue]))</f>
        <v/>
      </c>
      <c r="G1739">
        <f>IF(A1739="","",SUMIF(Tickets[TripKey],A1739,Tickets[PK]))</f>
        <v/>
      </c>
      <c r="H1739">
        <f>IF(A1739="","",IFERROR(XLOOKUP(A1739,Tickets[TripKey],Tickets[VehClean]),""))</f>
        <v/>
      </c>
      <c r="I1739">
        <f>IF(A1739="","",IFERROR(XLOOKUP(A1739,Tickets[TripKey],Tickets[RouteLen]),0))</f>
        <v/>
      </c>
      <c r="J1739">
        <f>IF(A1739="","",IFERROR(XLOOKUP(A1739,Tickets[TripKey],Tickets[Capacity]),0))</f>
        <v/>
      </c>
      <c r="K1739">
        <f>IF(A1739="","",I1739*J1739)</f>
        <v/>
      </c>
      <c r="L1739">
        <f>IF(A1739="","",IFERROR(MINIFS(Tickets[Trip Start Time],Tickets[TripKey],A1739),""))</f>
        <v/>
      </c>
    </row>
    <row r="1740">
      <c r="B1740" s="8">
        <f>IF(A1740="","",IFERROR(DATEVALUE(TEXTBEFORE(A1740,"|")),--LEFT(A1740,10)))</f>
        <v/>
      </c>
      <c r="C1740">
        <f>IF(A1740="","",TEXTBEFORE(TEXTAFTER(A1740,"|"),"|"))</f>
        <v/>
      </c>
      <c r="D1740">
        <f>IF(A1740="","",TEXTAFTER(A1740,"|",2))</f>
        <v/>
      </c>
      <c r="E1740">
        <f>IF(A1740="","",SUMIF(Tickets[TripKey],A1740,Tickets[TP]))</f>
        <v/>
      </c>
      <c r="F1740">
        <f>IF(A1740="","",SUMIF(Tickets[TripKey],A1740,Tickets[Revenue]))</f>
        <v/>
      </c>
      <c r="G1740">
        <f>IF(A1740="","",SUMIF(Tickets[TripKey],A1740,Tickets[PK]))</f>
        <v/>
      </c>
      <c r="H1740">
        <f>IF(A1740="","",IFERROR(XLOOKUP(A1740,Tickets[TripKey],Tickets[VehClean]),""))</f>
        <v/>
      </c>
      <c r="I1740">
        <f>IF(A1740="","",IFERROR(XLOOKUP(A1740,Tickets[TripKey],Tickets[RouteLen]),0))</f>
        <v/>
      </c>
      <c r="J1740">
        <f>IF(A1740="","",IFERROR(XLOOKUP(A1740,Tickets[TripKey],Tickets[Capacity]),0))</f>
        <v/>
      </c>
      <c r="K1740">
        <f>IF(A1740="","",I1740*J1740)</f>
        <v/>
      </c>
      <c r="L1740">
        <f>IF(A1740="","",IFERROR(MINIFS(Tickets[Trip Start Time],Tickets[TripKey],A1740),""))</f>
        <v/>
      </c>
    </row>
    <row r="1741">
      <c r="B1741" s="8">
        <f>IF(A1741="","",IFERROR(DATEVALUE(TEXTBEFORE(A1741,"|")),--LEFT(A1741,10)))</f>
        <v/>
      </c>
      <c r="C1741">
        <f>IF(A1741="","",TEXTBEFORE(TEXTAFTER(A1741,"|"),"|"))</f>
        <v/>
      </c>
      <c r="D1741">
        <f>IF(A1741="","",TEXTAFTER(A1741,"|",2))</f>
        <v/>
      </c>
      <c r="E1741">
        <f>IF(A1741="","",SUMIF(Tickets[TripKey],A1741,Tickets[TP]))</f>
        <v/>
      </c>
      <c r="F1741">
        <f>IF(A1741="","",SUMIF(Tickets[TripKey],A1741,Tickets[Revenue]))</f>
        <v/>
      </c>
      <c r="G1741">
        <f>IF(A1741="","",SUMIF(Tickets[TripKey],A1741,Tickets[PK]))</f>
        <v/>
      </c>
      <c r="H1741">
        <f>IF(A1741="","",IFERROR(XLOOKUP(A1741,Tickets[TripKey],Tickets[VehClean]),""))</f>
        <v/>
      </c>
      <c r="I1741">
        <f>IF(A1741="","",IFERROR(XLOOKUP(A1741,Tickets[TripKey],Tickets[RouteLen]),0))</f>
        <v/>
      </c>
      <c r="J1741">
        <f>IF(A1741="","",IFERROR(XLOOKUP(A1741,Tickets[TripKey],Tickets[Capacity]),0))</f>
        <v/>
      </c>
      <c r="K1741">
        <f>IF(A1741="","",I1741*J1741)</f>
        <v/>
      </c>
      <c r="L1741">
        <f>IF(A1741="","",IFERROR(MINIFS(Tickets[Trip Start Time],Tickets[TripKey],A1741),""))</f>
        <v/>
      </c>
    </row>
    <row r="1742">
      <c r="B1742" s="8">
        <f>IF(A1742="","",IFERROR(DATEVALUE(TEXTBEFORE(A1742,"|")),--LEFT(A1742,10)))</f>
        <v/>
      </c>
      <c r="C1742">
        <f>IF(A1742="","",TEXTBEFORE(TEXTAFTER(A1742,"|"),"|"))</f>
        <v/>
      </c>
      <c r="D1742">
        <f>IF(A1742="","",TEXTAFTER(A1742,"|",2))</f>
        <v/>
      </c>
      <c r="E1742">
        <f>IF(A1742="","",SUMIF(Tickets[TripKey],A1742,Tickets[TP]))</f>
        <v/>
      </c>
      <c r="F1742">
        <f>IF(A1742="","",SUMIF(Tickets[TripKey],A1742,Tickets[Revenue]))</f>
        <v/>
      </c>
      <c r="G1742">
        <f>IF(A1742="","",SUMIF(Tickets[TripKey],A1742,Tickets[PK]))</f>
        <v/>
      </c>
      <c r="H1742">
        <f>IF(A1742="","",IFERROR(XLOOKUP(A1742,Tickets[TripKey],Tickets[VehClean]),""))</f>
        <v/>
      </c>
      <c r="I1742">
        <f>IF(A1742="","",IFERROR(XLOOKUP(A1742,Tickets[TripKey],Tickets[RouteLen]),0))</f>
        <v/>
      </c>
      <c r="J1742">
        <f>IF(A1742="","",IFERROR(XLOOKUP(A1742,Tickets[TripKey],Tickets[Capacity]),0))</f>
        <v/>
      </c>
      <c r="K1742">
        <f>IF(A1742="","",I1742*J1742)</f>
        <v/>
      </c>
      <c r="L1742">
        <f>IF(A1742="","",IFERROR(MINIFS(Tickets[Trip Start Time],Tickets[TripKey],A1742),""))</f>
        <v/>
      </c>
    </row>
    <row r="1743">
      <c r="B1743" s="8">
        <f>IF(A1743="","",IFERROR(DATEVALUE(TEXTBEFORE(A1743,"|")),--LEFT(A1743,10)))</f>
        <v/>
      </c>
      <c r="C1743">
        <f>IF(A1743="","",TEXTBEFORE(TEXTAFTER(A1743,"|"),"|"))</f>
        <v/>
      </c>
      <c r="D1743">
        <f>IF(A1743="","",TEXTAFTER(A1743,"|",2))</f>
        <v/>
      </c>
      <c r="E1743">
        <f>IF(A1743="","",SUMIF(Tickets[TripKey],A1743,Tickets[TP]))</f>
        <v/>
      </c>
      <c r="F1743">
        <f>IF(A1743="","",SUMIF(Tickets[TripKey],A1743,Tickets[Revenue]))</f>
        <v/>
      </c>
      <c r="G1743">
        <f>IF(A1743="","",SUMIF(Tickets[TripKey],A1743,Tickets[PK]))</f>
        <v/>
      </c>
      <c r="H1743">
        <f>IF(A1743="","",IFERROR(XLOOKUP(A1743,Tickets[TripKey],Tickets[VehClean]),""))</f>
        <v/>
      </c>
      <c r="I1743">
        <f>IF(A1743="","",IFERROR(XLOOKUP(A1743,Tickets[TripKey],Tickets[RouteLen]),0))</f>
        <v/>
      </c>
      <c r="J1743">
        <f>IF(A1743="","",IFERROR(XLOOKUP(A1743,Tickets[TripKey],Tickets[Capacity]),0))</f>
        <v/>
      </c>
      <c r="K1743">
        <f>IF(A1743="","",I1743*J1743)</f>
        <v/>
      </c>
      <c r="L1743">
        <f>IF(A1743="","",IFERROR(MINIFS(Tickets[Trip Start Time],Tickets[TripKey],A1743),""))</f>
        <v/>
      </c>
    </row>
    <row r="1744">
      <c r="B1744" s="8">
        <f>IF(A1744="","",IFERROR(DATEVALUE(TEXTBEFORE(A1744,"|")),--LEFT(A1744,10)))</f>
        <v/>
      </c>
      <c r="C1744">
        <f>IF(A1744="","",TEXTBEFORE(TEXTAFTER(A1744,"|"),"|"))</f>
        <v/>
      </c>
      <c r="D1744">
        <f>IF(A1744="","",TEXTAFTER(A1744,"|",2))</f>
        <v/>
      </c>
      <c r="E1744">
        <f>IF(A1744="","",SUMIF(Tickets[TripKey],A1744,Tickets[TP]))</f>
        <v/>
      </c>
      <c r="F1744">
        <f>IF(A1744="","",SUMIF(Tickets[TripKey],A1744,Tickets[Revenue]))</f>
        <v/>
      </c>
      <c r="G1744">
        <f>IF(A1744="","",SUMIF(Tickets[TripKey],A1744,Tickets[PK]))</f>
        <v/>
      </c>
      <c r="H1744">
        <f>IF(A1744="","",IFERROR(XLOOKUP(A1744,Tickets[TripKey],Tickets[VehClean]),""))</f>
        <v/>
      </c>
      <c r="I1744">
        <f>IF(A1744="","",IFERROR(XLOOKUP(A1744,Tickets[TripKey],Tickets[RouteLen]),0))</f>
        <v/>
      </c>
      <c r="J1744">
        <f>IF(A1744="","",IFERROR(XLOOKUP(A1744,Tickets[TripKey],Tickets[Capacity]),0))</f>
        <v/>
      </c>
      <c r="K1744">
        <f>IF(A1744="","",I1744*J1744)</f>
        <v/>
      </c>
      <c r="L1744">
        <f>IF(A1744="","",IFERROR(MINIFS(Tickets[Trip Start Time],Tickets[TripKey],A1744),""))</f>
        <v/>
      </c>
    </row>
    <row r="1745">
      <c r="B1745" s="8">
        <f>IF(A1745="","",IFERROR(DATEVALUE(TEXTBEFORE(A1745,"|")),--LEFT(A1745,10)))</f>
        <v/>
      </c>
      <c r="C1745">
        <f>IF(A1745="","",TEXTBEFORE(TEXTAFTER(A1745,"|"),"|"))</f>
        <v/>
      </c>
      <c r="D1745">
        <f>IF(A1745="","",TEXTAFTER(A1745,"|",2))</f>
        <v/>
      </c>
      <c r="E1745">
        <f>IF(A1745="","",SUMIF(Tickets[TripKey],A1745,Tickets[TP]))</f>
        <v/>
      </c>
      <c r="F1745">
        <f>IF(A1745="","",SUMIF(Tickets[TripKey],A1745,Tickets[Revenue]))</f>
        <v/>
      </c>
      <c r="G1745">
        <f>IF(A1745="","",SUMIF(Tickets[TripKey],A1745,Tickets[PK]))</f>
        <v/>
      </c>
      <c r="H1745">
        <f>IF(A1745="","",IFERROR(XLOOKUP(A1745,Tickets[TripKey],Tickets[VehClean]),""))</f>
        <v/>
      </c>
      <c r="I1745">
        <f>IF(A1745="","",IFERROR(XLOOKUP(A1745,Tickets[TripKey],Tickets[RouteLen]),0))</f>
        <v/>
      </c>
      <c r="J1745">
        <f>IF(A1745="","",IFERROR(XLOOKUP(A1745,Tickets[TripKey],Tickets[Capacity]),0))</f>
        <v/>
      </c>
      <c r="K1745">
        <f>IF(A1745="","",I1745*J1745)</f>
        <v/>
      </c>
      <c r="L1745">
        <f>IF(A1745="","",IFERROR(MINIFS(Tickets[Trip Start Time],Tickets[TripKey],A1745),""))</f>
        <v/>
      </c>
    </row>
    <row r="1746">
      <c r="B1746" s="8">
        <f>IF(A1746="","",IFERROR(DATEVALUE(TEXTBEFORE(A1746,"|")),--LEFT(A1746,10)))</f>
        <v/>
      </c>
      <c r="C1746">
        <f>IF(A1746="","",TEXTBEFORE(TEXTAFTER(A1746,"|"),"|"))</f>
        <v/>
      </c>
      <c r="D1746">
        <f>IF(A1746="","",TEXTAFTER(A1746,"|",2))</f>
        <v/>
      </c>
      <c r="E1746">
        <f>IF(A1746="","",SUMIF(Tickets[TripKey],A1746,Tickets[TP]))</f>
        <v/>
      </c>
      <c r="F1746">
        <f>IF(A1746="","",SUMIF(Tickets[TripKey],A1746,Tickets[Revenue]))</f>
        <v/>
      </c>
      <c r="G1746">
        <f>IF(A1746="","",SUMIF(Tickets[TripKey],A1746,Tickets[PK]))</f>
        <v/>
      </c>
      <c r="H1746">
        <f>IF(A1746="","",IFERROR(XLOOKUP(A1746,Tickets[TripKey],Tickets[VehClean]),""))</f>
        <v/>
      </c>
      <c r="I1746">
        <f>IF(A1746="","",IFERROR(XLOOKUP(A1746,Tickets[TripKey],Tickets[RouteLen]),0))</f>
        <v/>
      </c>
      <c r="J1746">
        <f>IF(A1746="","",IFERROR(XLOOKUP(A1746,Tickets[TripKey],Tickets[Capacity]),0))</f>
        <v/>
      </c>
      <c r="K1746">
        <f>IF(A1746="","",I1746*J1746)</f>
        <v/>
      </c>
      <c r="L1746">
        <f>IF(A1746="","",IFERROR(MINIFS(Tickets[Trip Start Time],Tickets[TripKey],A1746),""))</f>
        <v/>
      </c>
    </row>
    <row r="1747">
      <c r="B1747" s="8">
        <f>IF(A1747="","",IFERROR(DATEVALUE(TEXTBEFORE(A1747,"|")),--LEFT(A1747,10)))</f>
        <v/>
      </c>
      <c r="C1747">
        <f>IF(A1747="","",TEXTBEFORE(TEXTAFTER(A1747,"|"),"|"))</f>
        <v/>
      </c>
      <c r="D1747">
        <f>IF(A1747="","",TEXTAFTER(A1747,"|",2))</f>
        <v/>
      </c>
      <c r="E1747">
        <f>IF(A1747="","",SUMIF(Tickets[TripKey],A1747,Tickets[TP]))</f>
        <v/>
      </c>
      <c r="F1747">
        <f>IF(A1747="","",SUMIF(Tickets[TripKey],A1747,Tickets[Revenue]))</f>
        <v/>
      </c>
      <c r="G1747">
        <f>IF(A1747="","",SUMIF(Tickets[TripKey],A1747,Tickets[PK]))</f>
        <v/>
      </c>
      <c r="H1747">
        <f>IF(A1747="","",IFERROR(XLOOKUP(A1747,Tickets[TripKey],Tickets[VehClean]),""))</f>
        <v/>
      </c>
      <c r="I1747">
        <f>IF(A1747="","",IFERROR(XLOOKUP(A1747,Tickets[TripKey],Tickets[RouteLen]),0))</f>
        <v/>
      </c>
      <c r="J1747">
        <f>IF(A1747="","",IFERROR(XLOOKUP(A1747,Tickets[TripKey],Tickets[Capacity]),0))</f>
        <v/>
      </c>
      <c r="K1747">
        <f>IF(A1747="","",I1747*J1747)</f>
        <v/>
      </c>
      <c r="L1747">
        <f>IF(A1747="","",IFERROR(MINIFS(Tickets[Trip Start Time],Tickets[TripKey],A1747),""))</f>
        <v/>
      </c>
    </row>
    <row r="1748">
      <c r="B1748" s="8">
        <f>IF(A1748="","",IFERROR(DATEVALUE(TEXTBEFORE(A1748,"|")),--LEFT(A1748,10)))</f>
        <v/>
      </c>
      <c r="C1748">
        <f>IF(A1748="","",TEXTBEFORE(TEXTAFTER(A1748,"|"),"|"))</f>
        <v/>
      </c>
      <c r="D1748">
        <f>IF(A1748="","",TEXTAFTER(A1748,"|",2))</f>
        <v/>
      </c>
      <c r="E1748">
        <f>IF(A1748="","",SUMIF(Tickets[TripKey],A1748,Tickets[TP]))</f>
        <v/>
      </c>
      <c r="F1748">
        <f>IF(A1748="","",SUMIF(Tickets[TripKey],A1748,Tickets[Revenue]))</f>
        <v/>
      </c>
      <c r="G1748">
        <f>IF(A1748="","",SUMIF(Tickets[TripKey],A1748,Tickets[PK]))</f>
        <v/>
      </c>
      <c r="H1748">
        <f>IF(A1748="","",IFERROR(XLOOKUP(A1748,Tickets[TripKey],Tickets[VehClean]),""))</f>
        <v/>
      </c>
      <c r="I1748">
        <f>IF(A1748="","",IFERROR(XLOOKUP(A1748,Tickets[TripKey],Tickets[RouteLen]),0))</f>
        <v/>
      </c>
      <c r="J1748">
        <f>IF(A1748="","",IFERROR(XLOOKUP(A1748,Tickets[TripKey],Tickets[Capacity]),0))</f>
        <v/>
      </c>
      <c r="K1748">
        <f>IF(A1748="","",I1748*J1748)</f>
        <v/>
      </c>
      <c r="L1748">
        <f>IF(A1748="","",IFERROR(MINIFS(Tickets[Trip Start Time],Tickets[TripKey],A1748),""))</f>
        <v/>
      </c>
    </row>
    <row r="1749">
      <c r="B1749" s="8">
        <f>IF(A1749="","",IFERROR(DATEVALUE(TEXTBEFORE(A1749,"|")),--LEFT(A1749,10)))</f>
        <v/>
      </c>
      <c r="C1749">
        <f>IF(A1749="","",TEXTBEFORE(TEXTAFTER(A1749,"|"),"|"))</f>
        <v/>
      </c>
      <c r="D1749">
        <f>IF(A1749="","",TEXTAFTER(A1749,"|",2))</f>
        <v/>
      </c>
      <c r="E1749">
        <f>IF(A1749="","",SUMIF(Tickets[TripKey],A1749,Tickets[TP]))</f>
        <v/>
      </c>
      <c r="F1749">
        <f>IF(A1749="","",SUMIF(Tickets[TripKey],A1749,Tickets[Revenue]))</f>
        <v/>
      </c>
      <c r="G1749">
        <f>IF(A1749="","",SUMIF(Tickets[TripKey],A1749,Tickets[PK]))</f>
        <v/>
      </c>
      <c r="H1749">
        <f>IF(A1749="","",IFERROR(XLOOKUP(A1749,Tickets[TripKey],Tickets[VehClean]),""))</f>
        <v/>
      </c>
      <c r="I1749">
        <f>IF(A1749="","",IFERROR(XLOOKUP(A1749,Tickets[TripKey],Tickets[RouteLen]),0))</f>
        <v/>
      </c>
      <c r="J1749">
        <f>IF(A1749="","",IFERROR(XLOOKUP(A1749,Tickets[TripKey],Tickets[Capacity]),0))</f>
        <v/>
      </c>
      <c r="K1749">
        <f>IF(A1749="","",I1749*J1749)</f>
        <v/>
      </c>
      <c r="L1749">
        <f>IF(A1749="","",IFERROR(MINIFS(Tickets[Trip Start Time],Tickets[TripKey],A1749),""))</f>
        <v/>
      </c>
    </row>
    <row r="1750">
      <c r="B1750" s="8">
        <f>IF(A1750="","",IFERROR(DATEVALUE(TEXTBEFORE(A1750,"|")),--LEFT(A1750,10)))</f>
        <v/>
      </c>
      <c r="C1750">
        <f>IF(A1750="","",TEXTBEFORE(TEXTAFTER(A1750,"|"),"|"))</f>
        <v/>
      </c>
      <c r="D1750">
        <f>IF(A1750="","",TEXTAFTER(A1750,"|",2))</f>
        <v/>
      </c>
      <c r="E1750">
        <f>IF(A1750="","",SUMIF(Tickets[TripKey],A1750,Tickets[TP]))</f>
        <v/>
      </c>
      <c r="F1750">
        <f>IF(A1750="","",SUMIF(Tickets[TripKey],A1750,Tickets[Revenue]))</f>
        <v/>
      </c>
      <c r="G1750">
        <f>IF(A1750="","",SUMIF(Tickets[TripKey],A1750,Tickets[PK]))</f>
        <v/>
      </c>
      <c r="H1750">
        <f>IF(A1750="","",IFERROR(XLOOKUP(A1750,Tickets[TripKey],Tickets[VehClean]),""))</f>
        <v/>
      </c>
      <c r="I1750">
        <f>IF(A1750="","",IFERROR(XLOOKUP(A1750,Tickets[TripKey],Tickets[RouteLen]),0))</f>
        <v/>
      </c>
      <c r="J1750">
        <f>IF(A1750="","",IFERROR(XLOOKUP(A1750,Tickets[TripKey],Tickets[Capacity]),0))</f>
        <v/>
      </c>
      <c r="K1750">
        <f>IF(A1750="","",I1750*J1750)</f>
        <v/>
      </c>
      <c r="L1750">
        <f>IF(A1750="","",IFERROR(MINIFS(Tickets[Trip Start Time],Tickets[TripKey],A1750),""))</f>
        <v/>
      </c>
    </row>
    <row r="1751">
      <c r="B1751" s="8">
        <f>IF(A1751="","",IFERROR(DATEVALUE(TEXTBEFORE(A1751,"|")),--LEFT(A1751,10)))</f>
        <v/>
      </c>
      <c r="C1751">
        <f>IF(A1751="","",TEXTBEFORE(TEXTAFTER(A1751,"|"),"|"))</f>
        <v/>
      </c>
      <c r="D1751">
        <f>IF(A1751="","",TEXTAFTER(A1751,"|",2))</f>
        <v/>
      </c>
      <c r="E1751">
        <f>IF(A1751="","",SUMIF(Tickets[TripKey],A1751,Tickets[TP]))</f>
        <v/>
      </c>
      <c r="F1751">
        <f>IF(A1751="","",SUMIF(Tickets[TripKey],A1751,Tickets[Revenue]))</f>
        <v/>
      </c>
      <c r="G1751">
        <f>IF(A1751="","",SUMIF(Tickets[TripKey],A1751,Tickets[PK]))</f>
        <v/>
      </c>
      <c r="H1751">
        <f>IF(A1751="","",IFERROR(XLOOKUP(A1751,Tickets[TripKey],Tickets[VehClean]),""))</f>
        <v/>
      </c>
      <c r="I1751">
        <f>IF(A1751="","",IFERROR(XLOOKUP(A1751,Tickets[TripKey],Tickets[RouteLen]),0))</f>
        <v/>
      </c>
      <c r="J1751">
        <f>IF(A1751="","",IFERROR(XLOOKUP(A1751,Tickets[TripKey],Tickets[Capacity]),0))</f>
        <v/>
      </c>
      <c r="K1751">
        <f>IF(A1751="","",I1751*J1751)</f>
        <v/>
      </c>
      <c r="L1751">
        <f>IF(A1751="","",IFERROR(MINIFS(Tickets[Trip Start Time],Tickets[TripKey],A1751),""))</f>
        <v/>
      </c>
    </row>
    <row r="1752">
      <c r="B1752" s="8">
        <f>IF(A1752="","",IFERROR(DATEVALUE(TEXTBEFORE(A1752,"|")),--LEFT(A1752,10)))</f>
        <v/>
      </c>
      <c r="C1752">
        <f>IF(A1752="","",TEXTBEFORE(TEXTAFTER(A1752,"|"),"|"))</f>
        <v/>
      </c>
      <c r="D1752">
        <f>IF(A1752="","",TEXTAFTER(A1752,"|",2))</f>
        <v/>
      </c>
      <c r="E1752">
        <f>IF(A1752="","",SUMIF(Tickets[TripKey],A1752,Tickets[TP]))</f>
        <v/>
      </c>
      <c r="F1752">
        <f>IF(A1752="","",SUMIF(Tickets[TripKey],A1752,Tickets[Revenue]))</f>
        <v/>
      </c>
      <c r="G1752">
        <f>IF(A1752="","",SUMIF(Tickets[TripKey],A1752,Tickets[PK]))</f>
        <v/>
      </c>
      <c r="H1752">
        <f>IF(A1752="","",IFERROR(XLOOKUP(A1752,Tickets[TripKey],Tickets[VehClean]),""))</f>
        <v/>
      </c>
      <c r="I1752">
        <f>IF(A1752="","",IFERROR(XLOOKUP(A1752,Tickets[TripKey],Tickets[RouteLen]),0))</f>
        <v/>
      </c>
      <c r="J1752">
        <f>IF(A1752="","",IFERROR(XLOOKUP(A1752,Tickets[TripKey],Tickets[Capacity]),0))</f>
        <v/>
      </c>
      <c r="K1752">
        <f>IF(A1752="","",I1752*J1752)</f>
        <v/>
      </c>
      <c r="L1752">
        <f>IF(A1752="","",IFERROR(MINIFS(Tickets[Trip Start Time],Tickets[TripKey],A1752),""))</f>
        <v/>
      </c>
    </row>
    <row r="1753">
      <c r="B1753" s="8">
        <f>IF(A1753="","",IFERROR(DATEVALUE(TEXTBEFORE(A1753,"|")),--LEFT(A1753,10)))</f>
        <v/>
      </c>
      <c r="C1753">
        <f>IF(A1753="","",TEXTBEFORE(TEXTAFTER(A1753,"|"),"|"))</f>
        <v/>
      </c>
      <c r="D1753">
        <f>IF(A1753="","",TEXTAFTER(A1753,"|",2))</f>
        <v/>
      </c>
      <c r="E1753">
        <f>IF(A1753="","",SUMIF(Tickets[TripKey],A1753,Tickets[TP]))</f>
        <v/>
      </c>
      <c r="F1753">
        <f>IF(A1753="","",SUMIF(Tickets[TripKey],A1753,Tickets[Revenue]))</f>
        <v/>
      </c>
      <c r="G1753">
        <f>IF(A1753="","",SUMIF(Tickets[TripKey],A1753,Tickets[PK]))</f>
        <v/>
      </c>
      <c r="H1753">
        <f>IF(A1753="","",IFERROR(XLOOKUP(A1753,Tickets[TripKey],Tickets[VehClean]),""))</f>
        <v/>
      </c>
      <c r="I1753">
        <f>IF(A1753="","",IFERROR(XLOOKUP(A1753,Tickets[TripKey],Tickets[RouteLen]),0))</f>
        <v/>
      </c>
      <c r="J1753">
        <f>IF(A1753="","",IFERROR(XLOOKUP(A1753,Tickets[TripKey],Tickets[Capacity]),0))</f>
        <v/>
      </c>
      <c r="K1753">
        <f>IF(A1753="","",I1753*J1753)</f>
        <v/>
      </c>
      <c r="L1753">
        <f>IF(A1753="","",IFERROR(MINIFS(Tickets[Trip Start Time],Tickets[TripKey],A1753),""))</f>
        <v/>
      </c>
    </row>
    <row r="1754">
      <c r="B1754" s="8">
        <f>IF(A1754="","",IFERROR(DATEVALUE(TEXTBEFORE(A1754,"|")),--LEFT(A1754,10)))</f>
        <v/>
      </c>
      <c r="C1754">
        <f>IF(A1754="","",TEXTBEFORE(TEXTAFTER(A1754,"|"),"|"))</f>
        <v/>
      </c>
      <c r="D1754">
        <f>IF(A1754="","",TEXTAFTER(A1754,"|",2))</f>
        <v/>
      </c>
      <c r="E1754">
        <f>IF(A1754="","",SUMIF(Tickets[TripKey],A1754,Tickets[TP]))</f>
        <v/>
      </c>
      <c r="F1754">
        <f>IF(A1754="","",SUMIF(Tickets[TripKey],A1754,Tickets[Revenue]))</f>
        <v/>
      </c>
      <c r="G1754">
        <f>IF(A1754="","",SUMIF(Tickets[TripKey],A1754,Tickets[PK]))</f>
        <v/>
      </c>
      <c r="H1754">
        <f>IF(A1754="","",IFERROR(XLOOKUP(A1754,Tickets[TripKey],Tickets[VehClean]),""))</f>
        <v/>
      </c>
      <c r="I1754">
        <f>IF(A1754="","",IFERROR(XLOOKUP(A1754,Tickets[TripKey],Tickets[RouteLen]),0))</f>
        <v/>
      </c>
      <c r="J1754">
        <f>IF(A1754="","",IFERROR(XLOOKUP(A1754,Tickets[TripKey],Tickets[Capacity]),0))</f>
        <v/>
      </c>
      <c r="K1754">
        <f>IF(A1754="","",I1754*J1754)</f>
        <v/>
      </c>
      <c r="L1754">
        <f>IF(A1754="","",IFERROR(MINIFS(Tickets[Trip Start Time],Tickets[TripKey],A1754),""))</f>
        <v/>
      </c>
    </row>
    <row r="1755">
      <c r="B1755" s="8">
        <f>IF(A1755="","",IFERROR(DATEVALUE(TEXTBEFORE(A1755,"|")),--LEFT(A1755,10)))</f>
        <v/>
      </c>
      <c r="C1755">
        <f>IF(A1755="","",TEXTBEFORE(TEXTAFTER(A1755,"|"),"|"))</f>
        <v/>
      </c>
      <c r="D1755">
        <f>IF(A1755="","",TEXTAFTER(A1755,"|",2))</f>
        <v/>
      </c>
      <c r="E1755">
        <f>IF(A1755="","",SUMIF(Tickets[TripKey],A1755,Tickets[TP]))</f>
        <v/>
      </c>
      <c r="F1755">
        <f>IF(A1755="","",SUMIF(Tickets[TripKey],A1755,Tickets[Revenue]))</f>
        <v/>
      </c>
      <c r="G1755">
        <f>IF(A1755="","",SUMIF(Tickets[TripKey],A1755,Tickets[PK]))</f>
        <v/>
      </c>
      <c r="H1755">
        <f>IF(A1755="","",IFERROR(XLOOKUP(A1755,Tickets[TripKey],Tickets[VehClean]),""))</f>
        <v/>
      </c>
      <c r="I1755">
        <f>IF(A1755="","",IFERROR(XLOOKUP(A1755,Tickets[TripKey],Tickets[RouteLen]),0))</f>
        <v/>
      </c>
      <c r="J1755">
        <f>IF(A1755="","",IFERROR(XLOOKUP(A1755,Tickets[TripKey],Tickets[Capacity]),0))</f>
        <v/>
      </c>
      <c r="K1755">
        <f>IF(A1755="","",I1755*J1755)</f>
        <v/>
      </c>
      <c r="L1755">
        <f>IF(A1755="","",IFERROR(MINIFS(Tickets[Trip Start Time],Tickets[TripKey],A1755),""))</f>
        <v/>
      </c>
    </row>
    <row r="1756">
      <c r="B1756" s="8">
        <f>IF(A1756="","",IFERROR(DATEVALUE(TEXTBEFORE(A1756,"|")),--LEFT(A1756,10)))</f>
        <v/>
      </c>
      <c r="C1756">
        <f>IF(A1756="","",TEXTBEFORE(TEXTAFTER(A1756,"|"),"|"))</f>
        <v/>
      </c>
      <c r="D1756">
        <f>IF(A1756="","",TEXTAFTER(A1756,"|",2))</f>
        <v/>
      </c>
      <c r="E1756">
        <f>IF(A1756="","",SUMIF(Tickets[TripKey],A1756,Tickets[TP]))</f>
        <v/>
      </c>
      <c r="F1756">
        <f>IF(A1756="","",SUMIF(Tickets[TripKey],A1756,Tickets[Revenue]))</f>
        <v/>
      </c>
      <c r="G1756">
        <f>IF(A1756="","",SUMIF(Tickets[TripKey],A1756,Tickets[PK]))</f>
        <v/>
      </c>
      <c r="H1756">
        <f>IF(A1756="","",IFERROR(XLOOKUP(A1756,Tickets[TripKey],Tickets[VehClean]),""))</f>
        <v/>
      </c>
      <c r="I1756">
        <f>IF(A1756="","",IFERROR(XLOOKUP(A1756,Tickets[TripKey],Tickets[RouteLen]),0))</f>
        <v/>
      </c>
      <c r="J1756">
        <f>IF(A1756="","",IFERROR(XLOOKUP(A1756,Tickets[TripKey],Tickets[Capacity]),0))</f>
        <v/>
      </c>
      <c r="K1756">
        <f>IF(A1756="","",I1756*J1756)</f>
        <v/>
      </c>
      <c r="L1756">
        <f>IF(A1756="","",IFERROR(MINIFS(Tickets[Trip Start Time],Tickets[TripKey],A1756),""))</f>
        <v/>
      </c>
    </row>
    <row r="1757">
      <c r="B1757" s="8">
        <f>IF(A1757="","",IFERROR(DATEVALUE(TEXTBEFORE(A1757,"|")),--LEFT(A1757,10)))</f>
        <v/>
      </c>
      <c r="C1757">
        <f>IF(A1757="","",TEXTBEFORE(TEXTAFTER(A1757,"|"),"|"))</f>
        <v/>
      </c>
      <c r="D1757">
        <f>IF(A1757="","",TEXTAFTER(A1757,"|",2))</f>
        <v/>
      </c>
      <c r="E1757">
        <f>IF(A1757="","",SUMIF(Tickets[TripKey],A1757,Tickets[TP]))</f>
        <v/>
      </c>
      <c r="F1757">
        <f>IF(A1757="","",SUMIF(Tickets[TripKey],A1757,Tickets[Revenue]))</f>
        <v/>
      </c>
      <c r="G1757">
        <f>IF(A1757="","",SUMIF(Tickets[TripKey],A1757,Tickets[PK]))</f>
        <v/>
      </c>
      <c r="H1757">
        <f>IF(A1757="","",IFERROR(XLOOKUP(A1757,Tickets[TripKey],Tickets[VehClean]),""))</f>
        <v/>
      </c>
      <c r="I1757">
        <f>IF(A1757="","",IFERROR(XLOOKUP(A1757,Tickets[TripKey],Tickets[RouteLen]),0))</f>
        <v/>
      </c>
      <c r="J1757">
        <f>IF(A1757="","",IFERROR(XLOOKUP(A1757,Tickets[TripKey],Tickets[Capacity]),0))</f>
        <v/>
      </c>
      <c r="K1757">
        <f>IF(A1757="","",I1757*J1757)</f>
        <v/>
      </c>
      <c r="L1757">
        <f>IF(A1757="","",IFERROR(MINIFS(Tickets[Trip Start Time],Tickets[TripKey],A1757),""))</f>
        <v/>
      </c>
    </row>
    <row r="1758">
      <c r="B1758" s="8">
        <f>IF(A1758="","",IFERROR(DATEVALUE(TEXTBEFORE(A1758,"|")),--LEFT(A1758,10)))</f>
        <v/>
      </c>
      <c r="C1758">
        <f>IF(A1758="","",TEXTBEFORE(TEXTAFTER(A1758,"|"),"|"))</f>
        <v/>
      </c>
      <c r="D1758">
        <f>IF(A1758="","",TEXTAFTER(A1758,"|",2))</f>
        <v/>
      </c>
      <c r="E1758">
        <f>IF(A1758="","",SUMIF(Tickets[TripKey],A1758,Tickets[TP]))</f>
        <v/>
      </c>
      <c r="F1758">
        <f>IF(A1758="","",SUMIF(Tickets[TripKey],A1758,Tickets[Revenue]))</f>
        <v/>
      </c>
      <c r="G1758">
        <f>IF(A1758="","",SUMIF(Tickets[TripKey],A1758,Tickets[PK]))</f>
        <v/>
      </c>
      <c r="H1758">
        <f>IF(A1758="","",IFERROR(XLOOKUP(A1758,Tickets[TripKey],Tickets[VehClean]),""))</f>
        <v/>
      </c>
      <c r="I1758">
        <f>IF(A1758="","",IFERROR(XLOOKUP(A1758,Tickets[TripKey],Tickets[RouteLen]),0))</f>
        <v/>
      </c>
      <c r="J1758">
        <f>IF(A1758="","",IFERROR(XLOOKUP(A1758,Tickets[TripKey],Tickets[Capacity]),0))</f>
        <v/>
      </c>
      <c r="K1758">
        <f>IF(A1758="","",I1758*J1758)</f>
        <v/>
      </c>
      <c r="L1758">
        <f>IF(A1758="","",IFERROR(MINIFS(Tickets[Trip Start Time],Tickets[TripKey],A1758),""))</f>
        <v/>
      </c>
    </row>
    <row r="1759">
      <c r="B1759" s="8">
        <f>IF(A1759="","",IFERROR(DATEVALUE(TEXTBEFORE(A1759,"|")),--LEFT(A1759,10)))</f>
        <v/>
      </c>
      <c r="C1759">
        <f>IF(A1759="","",TEXTBEFORE(TEXTAFTER(A1759,"|"),"|"))</f>
        <v/>
      </c>
      <c r="D1759">
        <f>IF(A1759="","",TEXTAFTER(A1759,"|",2))</f>
        <v/>
      </c>
      <c r="E1759">
        <f>IF(A1759="","",SUMIF(Tickets[TripKey],A1759,Tickets[TP]))</f>
        <v/>
      </c>
      <c r="F1759">
        <f>IF(A1759="","",SUMIF(Tickets[TripKey],A1759,Tickets[Revenue]))</f>
        <v/>
      </c>
      <c r="G1759">
        <f>IF(A1759="","",SUMIF(Tickets[TripKey],A1759,Tickets[PK]))</f>
        <v/>
      </c>
      <c r="H1759">
        <f>IF(A1759="","",IFERROR(XLOOKUP(A1759,Tickets[TripKey],Tickets[VehClean]),""))</f>
        <v/>
      </c>
      <c r="I1759">
        <f>IF(A1759="","",IFERROR(XLOOKUP(A1759,Tickets[TripKey],Tickets[RouteLen]),0))</f>
        <v/>
      </c>
      <c r="J1759">
        <f>IF(A1759="","",IFERROR(XLOOKUP(A1759,Tickets[TripKey],Tickets[Capacity]),0))</f>
        <v/>
      </c>
      <c r="K1759">
        <f>IF(A1759="","",I1759*J1759)</f>
        <v/>
      </c>
      <c r="L1759">
        <f>IF(A1759="","",IFERROR(MINIFS(Tickets[Trip Start Time],Tickets[TripKey],A1759),""))</f>
        <v/>
      </c>
    </row>
    <row r="1760">
      <c r="B1760" s="8">
        <f>IF(A1760="","",IFERROR(DATEVALUE(TEXTBEFORE(A1760,"|")),--LEFT(A1760,10)))</f>
        <v/>
      </c>
      <c r="C1760">
        <f>IF(A1760="","",TEXTBEFORE(TEXTAFTER(A1760,"|"),"|"))</f>
        <v/>
      </c>
      <c r="D1760">
        <f>IF(A1760="","",TEXTAFTER(A1760,"|",2))</f>
        <v/>
      </c>
      <c r="E1760">
        <f>IF(A1760="","",SUMIF(Tickets[TripKey],A1760,Tickets[TP]))</f>
        <v/>
      </c>
      <c r="F1760">
        <f>IF(A1760="","",SUMIF(Tickets[TripKey],A1760,Tickets[Revenue]))</f>
        <v/>
      </c>
      <c r="G1760">
        <f>IF(A1760="","",SUMIF(Tickets[TripKey],A1760,Tickets[PK]))</f>
        <v/>
      </c>
      <c r="H1760">
        <f>IF(A1760="","",IFERROR(XLOOKUP(A1760,Tickets[TripKey],Tickets[VehClean]),""))</f>
        <v/>
      </c>
      <c r="I1760">
        <f>IF(A1760="","",IFERROR(XLOOKUP(A1760,Tickets[TripKey],Tickets[RouteLen]),0))</f>
        <v/>
      </c>
      <c r="J1760">
        <f>IF(A1760="","",IFERROR(XLOOKUP(A1760,Tickets[TripKey],Tickets[Capacity]),0))</f>
        <v/>
      </c>
      <c r="K1760">
        <f>IF(A1760="","",I1760*J1760)</f>
        <v/>
      </c>
      <c r="L1760">
        <f>IF(A1760="","",IFERROR(MINIFS(Tickets[Trip Start Time],Tickets[TripKey],A1760),""))</f>
        <v/>
      </c>
    </row>
    <row r="1761">
      <c r="B1761" s="8">
        <f>IF(A1761="","",IFERROR(DATEVALUE(TEXTBEFORE(A1761,"|")),--LEFT(A1761,10)))</f>
        <v/>
      </c>
      <c r="C1761">
        <f>IF(A1761="","",TEXTBEFORE(TEXTAFTER(A1761,"|"),"|"))</f>
        <v/>
      </c>
      <c r="D1761">
        <f>IF(A1761="","",TEXTAFTER(A1761,"|",2))</f>
        <v/>
      </c>
      <c r="E1761">
        <f>IF(A1761="","",SUMIF(Tickets[TripKey],A1761,Tickets[TP]))</f>
        <v/>
      </c>
      <c r="F1761">
        <f>IF(A1761="","",SUMIF(Tickets[TripKey],A1761,Tickets[Revenue]))</f>
        <v/>
      </c>
      <c r="G1761">
        <f>IF(A1761="","",SUMIF(Tickets[TripKey],A1761,Tickets[PK]))</f>
        <v/>
      </c>
      <c r="H1761">
        <f>IF(A1761="","",IFERROR(XLOOKUP(A1761,Tickets[TripKey],Tickets[VehClean]),""))</f>
        <v/>
      </c>
      <c r="I1761">
        <f>IF(A1761="","",IFERROR(XLOOKUP(A1761,Tickets[TripKey],Tickets[RouteLen]),0))</f>
        <v/>
      </c>
      <c r="J1761">
        <f>IF(A1761="","",IFERROR(XLOOKUP(A1761,Tickets[TripKey],Tickets[Capacity]),0))</f>
        <v/>
      </c>
      <c r="K1761">
        <f>IF(A1761="","",I1761*J1761)</f>
        <v/>
      </c>
      <c r="L1761">
        <f>IF(A1761="","",IFERROR(MINIFS(Tickets[Trip Start Time],Tickets[TripKey],A1761),""))</f>
        <v/>
      </c>
    </row>
    <row r="1762">
      <c r="B1762" s="8">
        <f>IF(A1762="","",IFERROR(DATEVALUE(TEXTBEFORE(A1762,"|")),--LEFT(A1762,10)))</f>
        <v/>
      </c>
      <c r="C1762">
        <f>IF(A1762="","",TEXTBEFORE(TEXTAFTER(A1762,"|"),"|"))</f>
        <v/>
      </c>
      <c r="D1762">
        <f>IF(A1762="","",TEXTAFTER(A1762,"|",2))</f>
        <v/>
      </c>
      <c r="E1762">
        <f>IF(A1762="","",SUMIF(Tickets[TripKey],A1762,Tickets[TP]))</f>
        <v/>
      </c>
      <c r="F1762">
        <f>IF(A1762="","",SUMIF(Tickets[TripKey],A1762,Tickets[Revenue]))</f>
        <v/>
      </c>
      <c r="G1762">
        <f>IF(A1762="","",SUMIF(Tickets[TripKey],A1762,Tickets[PK]))</f>
        <v/>
      </c>
      <c r="H1762">
        <f>IF(A1762="","",IFERROR(XLOOKUP(A1762,Tickets[TripKey],Tickets[VehClean]),""))</f>
        <v/>
      </c>
      <c r="I1762">
        <f>IF(A1762="","",IFERROR(XLOOKUP(A1762,Tickets[TripKey],Tickets[RouteLen]),0))</f>
        <v/>
      </c>
      <c r="J1762">
        <f>IF(A1762="","",IFERROR(XLOOKUP(A1762,Tickets[TripKey],Tickets[Capacity]),0))</f>
        <v/>
      </c>
      <c r="K1762">
        <f>IF(A1762="","",I1762*J1762)</f>
        <v/>
      </c>
      <c r="L1762">
        <f>IF(A1762="","",IFERROR(MINIFS(Tickets[Trip Start Time],Tickets[TripKey],A1762),""))</f>
        <v/>
      </c>
    </row>
    <row r="1763">
      <c r="B1763" s="8">
        <f>IF(A1763="","",IFERROR(DATEVALUE(TEXTBEFORE(A1763,"|")),--LEFT(A1763,10)))</f>
        <v/>
      </c>
      <c r="C1763">
        <f>IF(A1763="","",TEXTBEFORE(TEXTAFTER(A1763,"|"),"|"))</f>
        <v/>
      </c>
      <c r="D1763">
        <f>IF(A1763="","",TEXTAFTER(A1763,"|",2))</f>
        <v/>
      </c>
      <c r="E1763">
        <f>IF(A1763="","",SUMIF(Tickets[TripKey],A1763,Tickets[TP]))</f>
        <v/>
      </c>
      <c r="F1763">
        <f>IF(A1763="","",SUMIF(Tickets[TripKey],A1763,Tickets[Revenue]))</f>
        <v/>
      </c>
      <c r="G1763">
        <f>IF(A1763="","",SUMIF(Tickets[TripKey],A1763,Tickets[PK]))</f>
        <v/>
      </c>
      <c r="H1763">
        <f>IF(A1763="","",IFERROR(XLOOKUP(A1763,Tickets[TripKey],Tickets[VehClean]),""))</f>
        <v/>
      </c>
      <c r="I1763">
        <f>IF(A1763="","",IFERROR(XLOOKUP(A1763,Tickets[TripKey],Tickets[RouteLen]),0))</f>
        <v/>
      </c>
      <c r="J1763">
        <f>IF(A1763="","",IFERROR(XLOOKUP(A1763,Tickets[TripKey],Tickets[Capacity]),0))</f>
        <v/>
      </c>
      <c r="K1763">
        <f>IF(A1763="","",I1763*J1763)</f>
        <v/>
      </c>
      <c r="L1763">
        <f>IF(A1763="","",IFERROR(MINIFS(Tickets[Trip Start Time],Tickets[TripKey],A1763),""))</f>
        <v/>
      </c>
    </row>
    <row r="1764">
      <c r="B1764" s="8">
        <f>IF(A1764="","",IFERROR(DATEVALUE(TEXTBEFORE(A1764,"|")),--LEFT(A1764,10)))</f>
        <v/>
      </c>
      <c r="C1764">
        <f>IF(A1764="","",TEXTBEFORE(TEXTAFTER(A1764,"|"),"|"))</f>
        <v/>
      </c>
      <c r="D1764">
        <f>IF(A1764="","",TEXTAFTER(A1764,"|",2))</f>
        <v/>
      </c>
      <c r="E1764">
        <f>IF(A1764="","",SUMIF(Tickets[TripKey],A1764,Tickets[TP]))</f>
        <v/>
      </c>
      <c r="F1764">
        <f>IF(A1764="","",SUMIF(Tickets[TripKey],A1764,Tickets[Revenue]))</f>
        <v/>
      </c>
      <c r="G1764">
        <f>IF(A1764="","",SUMIF(Tickets[TripKey],A1764,Tickets[PK]))</f>
        <v/>
      </c>
      <c r="H1764">
        <f>IF(A1764="","",IFERROR(XLOOKUP(A1764,Tickets[TripKey],Tickets[VehClean]),""))</f>
        <v/>
      </c>
      <c r="I1764">
        <f>IF(A1764="","",IFERROR(XLOOKUP(A1764,Tickets[TripKey],Tickets[RouteLen]),0))</f>
        <v/>
      </c>
      <c r="J1764">
        <f>IF(A1764="","",IFERROR(XLOOKUP(A1764,Tickets[TripKey],Tickets[Capacity]),0))</f>
        <v/>
      </c>
      <c r="K1764">
        <f>IF(A1764="","",I1764*J1764)</f>
        <v/>
      </c>
      <c r="L1764">
        <f>IF(A1764="","",IFERROR(MINIFS(Tickets[Trip Start Time],Tickets[TripKey],A1764),""))</f>
        <v/>
      </c>
    </row>
    <row r="1765">
      <c r="B1765" s="8">
        <f>IF(A1765="","",IFERROR(DATEVALUE(TEXTBEFORE(A1765,"|")),--LEFT(A1765,10)))</f>
        <v/>
      </c>
      <c r="C1765">
        <f>IF(A1765="","",TEXTBEFORE(TEXTAFTER(A1765,"|"),"|"))</f>
        <v/>
      </c>
      <c r="D1765">
        <f>IF(A1765="","",TEXTAFTER(A1765,"|",2))</f>
        <v/>
      </c>
      <c r="E1765">
        <f>IF(A1765="","",SUMIF(Tickets[TripKey],A1765,Tickets[TP]))</f>
        <v/>
      </c>
      <c r="F1765">
        <f>IF(A1765="","",SUMIF(Tickets[TripKey],A1765,Tickets[Revenue]))</f>
        <v/>
      </c>
      <c r="G1765">
        <f>IF(A1765="","",SUMIF(Tickets[TripKey],A1765,Tickets[PK]))</f>
        <v/>
      </c>
      <c r="H1765">
        <f>IF(A1765="","",IFERROR(XLOOKUP(A1765,Tickets[TripKey],Tickets[VehClean]),""))</f>
        <v/>
      </c>
      <c r="I1765">
        <f>IF(A1765="","",IFERROR(XLOOKUP(A1765,Tickets[TripKey],Tickets[RouteLen]),0))</f>
        <v/>
      </c>
      <c r="J1765">
        <f>IF(A1765="","",IFERROR(XLOOKUP(A1765,Tickets[TripKey],Tickets[Capacity]),0))</f>
        <v/>
      </c>
      <c r="K1765">
        <f>IF(A1765="","",I1765*J1765)</f>
        <v/>
      </c>
      <c r="L1765">
        <f>IF(A1765="","",IFERROR(MINIFS(Tickets[Trip Start Time],Tickets[TripKey],A1765),""))</f>
        <v/>
      </c>
    </row>
    <row r="1766">
      <c r="B1766" s="8">
        <f>IF(A1766="","",IFERROR(DATEVALUE(TEXTBEFORE(A1766,"|")),--LEFT(A1766,10)))</f>
        <v/>
      </c>
      <c r="C1766">
        <f>IF(A1766="","",TEXTBEFORE(TEXTAFTER(A1766,"|"),"|"))</f>
        <v/>
      </c>
      <c r="D1766">
        <f>IF(A1766="","",TEXTAFTER(A1766,"|",2))</f>
        <v/>
      </c>
      <c r="E1766">
        <f>IF(A1766="","",SUMIF(Tickets[TripKey],A1766,Tickets[TP]))</f>
        <v/>
      </c>
      <c r="F1766">
        <f>IF(A1766="","",SUMIF(Tickets[TripKey],A1766,Tickets[Revenue]))</f>
        <v/>
      </c>
      <c r="G1766">
        <f>IF(A1766="","",SUMIF(Tickets[TripKey],A1766,Tickets[PK]))</f>
        <v/>
      </c>
      <c r="H1766">
        <f>IF(A1766="","",IFERROR(XLOOKUP(A1766,Tickets[TripKey],Tickets[VehClean]),""))</f>
        <v/>
      </c>
      <c r="I1766">
        <f>IF(A1766="","",IFERROR(XLOOKUP(A1766,Tickets[TripKey],Tickets[RouteLen]),0))</f>
        <v/>
      </c>
      <c r="J1766">
        <f>IF(A1766="","",IFERROR(XLOOKUP(A1766,Tickets[TripKey],Tickets[Capacity]),0))</f>
        <v/>
      </c>
      <c r="K1766">
        <f>IF(A1766="","",I1766*J1766)</f>
        <v/>
      </c>
      <c r="L1766">
        <f>IF(A1766="","",IFERROR(MINIFS(Tickets[Trip Start Time],Tickets[TripKey],A1766),""))</f>
        <v/>
      </c>
    </row>
    <row r="1767">
      <c r="B1767" s="8">
        <f>IF(A1767="","",IFERROR(DATEVALUE(TEXTBEFORE(A1767,"|")),--LEFT(A1767,10)))</f>
        <v/>
      </c>
      <c r="C1767">
        <f>IF(A1767="","",TEXTBEFORE(TEXTAFTER(A1767,"|"),"|"))</f>
        <v/>
      </c>
      <c r="D1767">
        <f>IF(A1767="","",TEXTAFTER(A1767,"|",2))</f>
        <v/>
      </c>
      <c r="E1767">
        <f>IF(A1767="","",SUMIF(Tickets[TripKey],A1767,Tickets[TP]))</f>
        <v/>
      </c>
      <c r="F1767">
        <f>IF(A1767="","",SUMIF(Tickets[TripKey],A1767,Tickets[Revenue]))</f>
        <v/>
      </c>
      <c r="G1767">
        <f>IF(A1767="","",SUMIF(Tickets[TripKey],A1767,Tickets[PK]))</f>
        <v/>
      </c>
      <c r="H1767">
        <f>IF(A1767="","",IFERROR(XLOOKUP(A1767,Tickets[TripKey],Tickets[VehClean]),""))</f>
        <v/>
      </c>
      <c r="I1767">
        <f>IF(A1767="","",IFERROR(XLOOKUP(A1767,Tickets[TripKey],Tickets[RouteLen]),0))</f>
        <v/>
      </c>
      <c r="J1767">
        <f>IF(A1767="","",IFERROR(XLOOKUP(A1767,Tickets[TripKey],Tickets[Capacity]),0))</f>
        <v/>
      </c>
      <c r="K1767">
        <f>IF(A1767="","",I1767*J1767)</f>
        <v/>
      </c>
      <c r="L1767">
        <f>IF(A1767="","",IFERROR(MINIFS(Tickets[Trip Start Time],Tickets[TripKey],A1767),""))</f>
        <v/>
      </c>
    </row>
    <row r="1768">
      <c r="B1768" s="8">
        <f>IF(A1768="","",IFERROR(DATEVALUE(TEXTBEFORE(A1768,"|")),--LEFT(A1768,10)))</f>
        <v/>
      </c>
      <c r="C1768">
        <f>IF(A1768="","",TEXTBEFORE(TEXTAFTER(A1768,"|"),"|"))</f>
        <v/>
      </c>
      <c r="D1768">
        <f>IF(A1768="","",TEXTAFTER(A1768,"|",2))</f>
        <v/>
      </c>
      <c r="E1768">
        <f>IF(A1768="","",SUMIF(Tickets[TripKey],A1768,Tickets[TP]))</f>
        <v/>
      </c>
      <c r="F1768">
        <f>IF(A1768="","",SUMIF(Tickets[TripKey],A1768,Tickets[Revenue]))</f>
        <v/>
      </c>
      <c r="G1768">
        <f>IF(A1768="","",SUMIF(Tickets[TripKey],A1768,Tickets[PK]))</f>
        <v/>
      </c>
      <c r="H1768">
        <f>IF(A1768="","",IFERROR(XLOOKUP(A1768,Tickets[TripKey],Tickets[VehClean]),""))</f>
        <v/>
      </c>
      <c r="I1768">
        <f>IF(A1768="","",IFERROR(XLOOKUP(A1768,Tickets[TripKey],Tickets[RouteLen]),0))</f>
        <v/>
      </c>
      <c r="J1768">
        <f>IF(A1768="","",IFERROR(XLOOKUP(A1768,Tickets[TripKey],Tickets[Capacity]),0))</f>
        <v/>
      </c>
      <c r="K1768">
        <f>IF(A1768="","",I1768*J1768)</f>
        <v/>
      </c>
      <c r="L1768">
        <f>IF(A1768="","",IFERROR(MINIFS(Tickets[Trip Start Time],Tickets[TripKey],A1768),""))</f>
        <v/>
      </c>
    </row>
    <row r="1769">
      <c r="B1769" s="8">
        <f>IF(A1769="","",IFERROR(DATEVALUE(TEXTBEFORE(A1769,"|")),--LEFT(A1769,10)))</f>
        <v/>
      </c>
      <c r="C1769">
        <f>IF(A1769="","",TEXTBEFORE(TEXTAFTER(A1769,"|"),"|"))</f>
        <v/>
      </c>
      <c r="D1769">
        <f>IF(A1769="","",TEXTAFTER(A1769,"|",2))</f>
        <v/>
      </c>
      <c r="E1769">
        <f>IF(A1769="","",SUMIF(Tickets[TripKey],A1769,Tickets[TP]))</f>
        <v/>
      </c>
      <c r="F1769">
        <f>IF(A1769="","",SUMIF(Tickets[TripKey],A1769,Tickets[Revenue]))</f>
        <v/>
      </c>
      <c r="G1769">
        <f>IF(A1769="","",SUMIF(Tickets[TripKey],A1769,Tickets[PK]))</f>
        <v/>
      </c>
      <c r="H1769">
        <f>IF(A1769="","",IFERROR(XLOOKUP(A1769,Tickets[TripKey],Tickets[VehClean]),""))</f>
        <v/>
      </c>
      <c r="I1769">
        <f>IF(A1769="","",IFERROR(XLOOKUP(A1769,Tickets[TripKey],Tickets[RouteLen]),0))</f>
        <v/>
      </c>
      <c r="J1769">
        <f>IF(A1769="","",IFERROR(XLOOKUP(A1769,Tickets[TripKey],Tickets[Capacity]),0))</f>
        <v/>
      </c>
      <c r="K1769">
        <f>IF(A1769="","",I1769*J1769)</f>
        <v/>
      </c>
      <c r="L1769">
        <f>IF(A1769="","",IFERROR(MINIFS(Tickets[Trip Start Time],Tickets[TripKey],A1769),""))</f>
        <v/>
      </c>
    </row>
    <row r="1770">
      <c r="B1770" s="8">
        <f>IF(A1770="","",IFERROR(DATEVALUE(TEXTBEFORE(A1770,"|")),--LEFT(A1770,10)))</f>
        <v/>
      </c>
      <c r="C1770">
        <f>IF(A1770="","",TEXTBEFORE(TEXTAFTER(A1770,"|"),"|"))</f>
        <v/>
      </c>
      <c r="D1770">
        <f>IF(A1770="","",TEXTAFTER(A1770,"|",2))</f>
        <v/>
      </c>
      <c r="E1770">
        <f>IF(A1770="","",SUMIF(Tickets[TripKey],A1770,Tickets[TP]))</f>
        <v/>
      </c>
      <c r="F1770">
        <f>IF(A1770="","",SUMIF(Tickets[TripKey],A1770,Tickets[Revenue]))</f>
        <v/>
      </c>
      <c r="G1770">
        <f>IF(A1770="","",SUMIF(Tickets[TripKey],A1770,Tickets[PK]))</f>
        <v/>
      </c>
      <c r="H1770">
        <f>IF(A1770="","",IFERROR(XLOOKUP(A1770,Tickets[TripKey],Tickets[VehClean]),""))</f>
        <v/>
      </c>
      <c r="I1770">
        <f>IF(A1770="","",IFERROR(XLOOKUP(A1770,Tickets[TripKey],Tickets[RouteLen]),0))</f>
        <v/>
      </c>
      <c r="J1770">
        <f>IF(A1770="","",IFERROR(XLOOKUP(A1770,Tickets[TripKey],Tickets[Capacity]),0))</f>
        <v/>
      </c>
      <c r="K1770">
        <f>IF(A1770="","",I1770*J1770)</f>
        <v/>
      </c>
      <c r="L1770">
        <f>IF(A1770="","",IFERROR(MINIFS(Tickets[Trip Start Time],Tickets[TripKey],A1770),""))</f>
        <v/>
      </c>
    </row>
    <row r="1771">
      <c r="B1771" s="8">
        <f>IF(A1771="","",IFERROR(DATEVALUE(TEXTBEFORE(A1771,"|")),--LEFT(A1771,10)))</f>
        <v/>
      </c>
      <c r="C1771">
        <f>IF(A1771="","",TEXTBEFORE(TEXTAFTER(A1771,"|"),"|"))</f>
        <v/>
      </c>
      <c r="D1771">
        <f>IF(A1771="","",TEXTAFTER(A1771,"|",2))</f>
        <v/>
      </c>
      <c r="E1771">
        <f>IF(A1771="","",SUMIF(Tickets[TripKey],A1771,Tickets[TP]))</f>
        <v/>
      </c>
      <c r="F1771">
        <f>IF(A1771="","",SUMIF(Tickets[TripKey],A1771,Tickets[Revenue]))</f>
        <v/>
      </c>
      <c r="G1771">
        <f>IF(A1771="","",SUMIF(Tickets[TripKey],A1771,Tickets[PK]))</f>
        <v/>
      </c>
      <c r="H1771">
        <f>IF(A1771="","",IFERROR(XLOOKUP(A1771,Tickets[TripKey],Tickets[VehClean]),""))</f>
        <v/>
      </c>
      <c r="I1771">
        <f>IF(A1771="","",IFERROR(XLOOKUP(A1771,Tickets[TripKey],Tickets[RouteLen]),0))</f>
        <v/>
      </c>
      <c r="J1771">
        <f>IF(A1771="","",IFERROR(XLOOKUP(A1771,Tickets[TripKey],Tickets[Capacity]),0))</f>
        <v/>
      </c>
      <c r="K1771">
        <f>IF(A1771="","",I1771*J1771)</f>
        <v/>
      </c>
      <c r="L1771">
        <f>IF(A1771="","",IFERROR(MINIFS(Tickets[Trip Start Time],Tickets[TripKey],A1771),""))</f>
        <v/>
      </c>
    </row>
    <row r="1772">
      <c r="B1772" s="8">
        <f>IF(A1772="","",IFERROR(DATEVALUE(TEXTBEFORE(A1772,"|")),--LEFT(A1772,10)))</f>
        <v/>
      </c>
      <c r="C1772">
        <f>IF(A1772="","",TEXTBEFORE(TEXTAFTER(A1772,"|"),"|"))</f>
        <v/>
      </c>
      <c r="D1772">
        <f>IF(A1772="","",TEXTAFTER(A1772,"|",2))</f>
        <v/>
      </c>
      <c r="E1772">
        <f>IF(A1772="","",SUMIF(Tickets[TripKey],A1772,Tickets[TP]))</f>
        <v/>
      </c>
      <c r="F1772">
        <f>IF(A1772="","",SUMIF(Tickets[TripKey],A1772,Tickets[Revenue]))</f>
        <v/>
      </c>
      <c r="G1772">
        <f>IF(A1772="","",SUMIF(Tickets[TripKey],A1772,Tickets[PK]))</f>
        <v/>
      </c>
      <c r="H1772">
        <f>IF(A1772="","",IFERROR(XLOOKUP(A1772,Tickets[TripKey],Tickets[VehClean]),""))</f>
        <v/>
      </c>
      <c r="I1772">
        <f>IF(A1772="","",IFERROR(XLOOKUP(A1772,Tickets[TripKey],Tickets[RouteLen]),0))</f>
        <v/>
      </c>
      <c r="J1772">
        <f>IF(A1772="","",IFERROR(XLOOKUP(A1772,Tickets[TripKey],Tickets[Capacity]),0))</f>
        <v/>
      </c>
      <c r="K1772">
        <f>IF(A1772="","",I1772*J1772)</f>
        <v/>
      </c>
      <c r="L1772">
        <f>IF(A1772="","",IFERROR(MINIFS(Tickets[Trip Start Time],Tickets[TripKey],A1772),""))</f>
        <v/>
      </c>
    </row>
    <row r="1773">
      <c r="B1773" s="8">
        <f>IF(A1773="","",IFERROR(DATEVALUE(TEXTBEFORE(A1773,"|")),--LEFT(A1773,10)))</f>
        <v/>
      </c>
      <c r="C1773">
        <f>IF(A1773="","",TEXTBEFORE(TEXTAFTER(A1773,"|"),"|"))</f>
        <v/>
      </c>
      <c r="D1773">
        <f>IF(A1773="","",TEXTAFTER(A1773,"|",2))</f>
        <v/>
      </c>
      <c r="E1773">
        <f>IF(A1773="","",SUMIF(Tickets[TripKey],A1773,Tickets[TP]))</f>
        <v/>
      </c>
      <c r="F1773">
        <f>IF(A1773="","",SUMIF(Tickets[TripKey],A1773,Tickets[Revenue]))</f>
        <v/>
      </c>
      <c r="G1773">
        <f>IF(A1773="","",SUMIF(Tickets[TripKey],A1773,Tickets[PK]))</f>
        <v/>
      </c>
      <c r="H1773">
        <f>IF(A1773="","",IFERROR(XLOOKUP(A1773,Tickets[TripKey],Tickets[VehClean]),""))</f>
        <v/>
      </c>
      <c r="I1773">
        <f>IF(A1773="","",IFERROR(XLOOKUP(A1773,Tickets[TripKey],Tickets[RouteLen]),0))</f>
        <v/>
      </c>
      <c r="J1773">
        <f>IF(A1773="","",IFERROR(XLOOKUP(A1773,Tickets[TripKey],Tickets[Capacity]),0))</f>
        <v/>
      </c>
      <c r="K1773">
        <f>IF(A1773="","",I1773*J1773)</f>
        <v/>
      </c>
      <c r="L1773">
        <f>IF(A1773="","",IFERROR(MINIFS(Tickets[Trip Start Time],Tickets[TripKey],A1773),""))</f>
        <v/>
      </c>
    </row>
    <row r="1774">
      <c r="B1774" s="8">
        <f>IF(A1774="","",IFERROR(DATEVALUE(TEXTBEFORE(A1774,"|")),--LEFT(A1774,10)))</f>
        <v/>
      </c>
      <c r="C1774">
        <f>IF(A1774="","",TEXTBEFORE(TEXTAFTER(A1774,"|"),"|"))</f>
        <v/>
      </c>
      <c r="D1774">
        <f>IF(A1774="","",TEXTAFTER(A1774,"|",2))</f>
        <v/>
      </c>
      <c r="E1774">
        <f>IF(A1774="","",SUMIF(Tickets[TripKey],A1774,Tickets[TP]))</f>
        <v/>
      </c>
      <c r="F1774">
        <f>IF(A1774="","",SUMIF(Tickets[TripKey],A1774,Tickets[Revenue]))</f>
        <v/>
      </c>
      <c r="G1774">
        <f>IF(A1774="","",SUMIF(Tickets[TripKey],A1774,Tickets[PK]))</f>
        <v/>
      </c>
      <c r="H1774">
        <f>IF(A1774="","",IFERROR(XLOOKUP(A1774,Tickets[TripKey],Tickets[VehClean]),""))</f>
        <v/>
      </c>
      <c r="I1774">
        <f>IF(A1774="","",IFERROR(XLOOKUP(A1774,Tickets[TripKey],Tickets[RouteLen]),0))</f>
        <v/>
      </c>
      <c r="J1774">
        <f>IF(A1774="","",IFERROR(XLOOKUP(A1774,Tickets[TripKey],Tickets[Capacity]),0))</f>
        <v/>
      </c>
      <c r="K1774">
        <f>IF(A1774="","",I1774*J1774)</f>
        <v/>
      </c>
      <c r="L1774">
        <f>IF(A1774="","",IFERROR(MINIFS(Tickets[Trip Start Time],Tickets[TripKey],A1774),""))</f>
        <v/>
      </c>
    </row>
    <row r="1775">
      <c r="B1775" s="8">
        <f>IF(A1775="","",IFERROR(DATEVALUE(TEXTBEFORE(A1775,"|")),--LEFT(A1775,10)))</f>
        <v/>
      </c>
      <c r="C1775">
        <f>IF(A1775="","",TEXTBEFORE(TEXTAFTER(A1775,"|"),"|"))</f>
        <v/>
      </c>
      <c r="D1775">
        <f>IF(A1775="","",TEXTAFTER(A1775,"|",2))</f>
        <v/>
      </c>
      <c r="E1775">
        <f>IF(A1775="","",SUMIF(Tickets[TripKey],A1775,Tickets[TP]))</f>
        <v/>
      </c>
      <c r="F1775">
        <f>IF(A1775="","",SUMIF(Tickets[TripKey],A1775,Tickets[Revenue]))</f>
        <v/>
      </c>
      <c r="G1775">
        <f>IF(A1775="","",SUMIF(Tickets[TripKey],A1775,Tickets[PK]))</f>
        <v/>
      </c>
      <c r="H1775">
        <f>IF(A1775="","",IFERROR(XLOOKUP(A1775,Tickets[TripKey],Tickets[VehClean]),""))</f>
        <v/>
      </c>
      <c r="I1775">
        <f>IF(A1775="","",IFERROR(XLOOKUP(A1775,Tickets[TripKey],Tickets[RouteLen]),0))</f>
        <v/>
      </c>
      <c r="J1775">
        <f>IF(A1775="","",IFERROR(XLOOKUP(A1775,Tickets[TripKey],Tickets[Capacity]),0))</f>
        <v/>
      </c>
      <c r="K1775">
        <f>IF(A1775="","",I1775*J1775)</f>
        <v/>
      </c>
      <c r="L1775">
        <f>IF(A1775="","",IFERROR(MINIFS(Tickets[Trip Start Time],Tickets[TripKey],A1775),""))</f>
        <v/>
      </c>
    </row>
    <row r="1776">
      <c r="B1776" s="8">
        <f>IF(A1776="","",IFERROR(DATEVALUE(TEXTBEFORE(A1776,"|")),--LEFT(A1776,10)))</f>
        <v/>
      </c>
      <c r="C1776">
        <f>IF(A1776="","",TEXTBEFORE(TEXTAFTER(A1776,"|"),"|"))</f>
        <v/>
      </c>
      <c r="D1776">
        <f>IF(A1776="","",TEXTAFTER(A1776,"|",2))</f>
        <v/>
      </c>
      <c r="E1776">
        <f>IF(A1776="","",SUMIF(Tickets[TripKey],A1776,Tickets[TP]))</f>
        <v/>
      </c>
      <c r="F1776">
        <f>IF(A1776="","",SUMIF(Tickets[TripKey],A1776,Tickets[Revenue]))</f>
        <v/>
      </c>
      <c r="G1776">
        <f>IF(A1776="","",SUMIF(Tickets[TripKey],A1776,Tickets[PK]))</f>
        <v/>
      </c>
      <c r="H1776">
        <f>IF(A1776="","",IFERROR(XLOOKUP(A1776,Tickets[TripKey],Tickets[VehClean]),""))</f>
        <v/>
      </c>
      <c r="I1776">
        <f>IF(A1776="","",IFERROR(XLOOKUP(A1776,Tickets[TripKey],Tickets[RouteLen]),0))</f>
        <v/>
      </c>
      <c r="J1776">
        <f>IF(A1776="","",IFERROR(XLOOKUP(A1776,Tickets[TripKey],Tickets[Capacity]),0))</f>
        <v/>
      </c>
      <c r="K1776">
        <f>IF(A1776="","",I1776*J1776)</f>
        <v/>
      </c>
      <c r="L1776">
        <f>IF(A1776="","",IFERROR(MINIFS(Tickets[Trip Start Time],Tickets[TripKey],A1776),""))</f>
        <v/>
      </c>
    </row>
    <row r="1777">
      <c r="B1777" s="8">
        <f>IF(A1777="","",IFERROR(DATEVALUE(TEXTBEFORE(A1777,"|")),--LEFT(A1777,10)))</f>
        <v/>
      </c>
      <c r="C1777">
        <f>IF(A1777="","",TEXTBEFORE(TEXTAFTER(A1777,"|"),"|"))</f>
        <v/>
      </c>
      <c r="D1777">
        <f>IF(A1777="","",TEXTAFTER(A1777,"|",2))</f>
        <v/>
      </c>
      <c r="E1777">
        <f>IF(A1777="","",SUMIF(Tickets[TripKey],A1777,Tickets[TP]))</f>
        <v/>
      </c>
      <c r="F1777">
        <f>IF(A1777="","",SUMIF(Tickets[TripKey],A1777,Tickets[Revenue]))</f>
        <v/>
      </c>
      <c r="G1777">
        <f>IF(A1777="","",SUMIF(Tickets[TripKey],A1777,Tickets[PK]))</f>
        <v/>
      </c>
      <c r="H1777">
        <f>IF(A1777="","",IFERROR(XLOOKUP(A1777,Tickets[TripKey],Tickets[VehClean]),""))</f>
        <v/>
      </c>
      <c r="I1777">
        <f>IF(A1777="","",IFERROR(XLOOKUP(A1777,Tickets[TripKey],Tickets[RouteLen]),0))</f>
        <v/>
      </c>
      <c r="J1777">
        <f>IF(A1777="","",IFERROR(XLOOKUP(A1777,Tickets[TripKey],Tickets[Capacity]),0))</f>
        <v/>
      </c>
      <c r="K1777">
        <f>IF(A1777="","",I1777*J1777)</f>
        <v/>
      </c>
      <c r="L1777">
        <f>IF(A1777="","",IFERROR(MINIFS(Tickets[Trip Start Time],Tickets[TripKey],A1777),""))</f>
        <v/>
      </c>
    </row>
    <row r="1778">
      <c r="B1778" s="8">
        <f>IF(A1778="","",IFERROR(DATEVALUE(TEXTBEFORE(A1778,"|")),--LEFT(A1778,10)))</f>
        <v/>
      </c>
      <c r="C1778">
        <f>IF(A1778="","",TEXTBEFORE(TEXTAFTER(A1778,"|"),"|"))</f>
        <v/>
      </c>
      <c r="D1778">
        <f>IF(A1778="","",TEXTAFTER(A1778,"|",2))</f>
        <v/>
      </c>
      <c r="E1778">
        <f>IF(A1778="","",SUMIF(Tickets[TripKey],A1778,Tickets[TP]))</f>
        <v/>
      </c>
      <c r="F1778">
        <f>IF(A1778="","",SUMIF(Tickets[TripKey],A1778,Tickets[Revenue]))</f>
        <v/>
      </c>
      <c r="G1778">
        <f>IF(A1778="","",SUMIF(Tickets[TripKey],A1778,Tickets[PK]))</f>
        <v/>
      </c>
      <c r="H1778">
        <f>IF(A1778="","",IFERROR(XLOOKUP(A1778,Tickets[TripKey],Tickets[VehClean]),""))</f>
        <v/>
      </c>
      <c r="I1778">
        <f>IF(A1778="","",IFERROR(XLOOKUP(A1778,Tickets[TripKey],Tickets[RouteLen]),0))</f>
        <v/>
      </c>
      <c r="J1778">
        <f>IF(A1778="","",IFERROR(XLOOKUP(A1778,Tickets[TripKey],Tickets[Capacity]),0))</f>
        <v/>
      </c>
      <c r="K1778">
        <f>IF(A1778="","",I1778*J1778)</f>
        <v/>
      </c>
      <c r="L1778">
        <f>IF(A1778="","",IFERROR(MINIFS(Tickets[Trip Start Time],Tickets[TripKey],A1778),""))</f>
        <v/>
      </c>
    </row>
    <row r="1779">
      <c r="B1779" s="8">
        <f>IF(A1779="","",IFERROR(DATEVALUE(TEXTBEFORE(A1779,"|")),--LEFT(A1779,10)))</f>
        <v/>
      </c>
      <c r="C1779">
        <f>IF(A1779="","",TEXTBEFORE(TEXTAFTER(A1779,"|"),"|"))</f>
        <v/>
      </c>
      <c r="D1779">
        <f>IF(A1779="","",TEXTAFTER(A1779,"|",2))</f>
        <v/>
      </c>
      <c r="E1779">
        <f>IF(A1779="","",SUMIF(Tickets[TripKey],A1779,Tickets[TP]))</f>
        <v/>
      </c>
      <c r="F1779">
        <f>IF(A1779="","",SUMIF(Tickets[TripKey],A1779,Tickets[Revenue]))</f>
        <v/>
      </c>
      <c r="G1779">
        <f>IF(A1779="","",SUMIF(Tickets[TripKey],A1779,Tickets[PK]))</f>
        <v/>
      </c>
      <c r="H1779">
        <f>IF(A1779="","",IFERROR(XLOOKUP(A1779,Tickets[TripKey],Tickets[VehClean]),""))</f>
        <v/>
      </c>
      <c r="I1779">
        <f>IF(A1779="","",IFERROR(XLOOKUP(A1779,Tickets[TripKey],Tickets[RouteLen]),0))</f>
        <v/>
      </c>
      <c r="J1779">
        <f>IF(A1779="","",IFERROR(XLOOKUP(A1779,Tickets[TripKey],Tickets[Capacity]),0))</f>
        <v/>
      </c>
      <c r="K1779">
        <f>IF(A1779="","",I1779*J1779)</f>
        <v/>
      </c>
      <c r="L1779">
        <f>IF(A1779="","",IFERROR(MINIFS(Tickets[Trip Start Time],Tickets[TripKey],A1779),""))</f>
        <v/>
      </c>
    </row>
    <row r="1780">
      <c r="B1780" s="8">
        <f>IF(A1780="","",IFERROR(DATEVALUE(TEXTBEFORE(A1780,"|")),--LEFT(A1780,10)))</f>
        <v/>
      </c>
      <c r="C1780">
        <f>IF(A1780="","",TEXTBEFORE(TEXTAFTER(A1780,"|"),"|"))</f>
        <v/>
      </c>
      <c r="D1780">
        <f>IF(A1780="","",TEXTAFTER(A1780,"|",2))</f>
        <v/>
      </c>
      <c r="E1780">
        <f>IF(A1780="","",SUMIF(Tickets[TripKey],A1780,Tickets[TP]))</f>
        <v/>
      </c>
      <c r="F1780">
        <f>IF(A1780="","",SUMIF(Tickets[TripKey],A1780,Tickets[Revenue]))</f>
        <v/>
      </c>
      <c r="G1780">
        <f>IF(A1780="","",SUMIF(Tickets[TripKey],A1780,Tickets[PK]))</f>
        <v/>
      </c>
      <c r="H1780">
        <f>IF(A1780="","",IFERROR(XLOOKUP(A1780,Tickets[TripKey],Tickets[VehClean]),""))</f>
        <v/>
      </c>
      <c r="I1780">
        <f>IF(A1780="","",IFERROR(XLOOKUP(A1780,Tickets[TripKey],Tickets[RouteLen]),0))</f>
        <v/>
      </c>
      <c r="J1780">
        <f>IF(A1780="","",IFERROR(XLOOKUP(A1780,Tickets[TripKey],Tickets[Capacity]),0))</f>
        <v/>
      </c>
      <c r="K1780">
        <f>IF(A1780="","",I1780*J1780)</f>
        <v/>
      </c>
      <c r="L1780">
        <f>IF(A1780="","",IFERROR(MINIFS(Tickets[Trip Start Time],Tickets[TripKey],A1780),""))</f>
        <v/>
      </c>
    </row>
    <row r="1781">
      <c r="B1781" s="8">
        <f>IF(A1781="","",IFERROR(DATEVALUE(TEXTBEFORE(A1781,"|")),--LEFT(A1781,10)))</f>
        <v/>
      </c>
      <c r="C1781">
        <f>IF(A1781="","",TEXTBEFORE(TEXTAFTER(A1781,"|"),"|"))</f>
        <v/>
      </c>
      <c r="D1781">
        <f>IF(A1781="","",TEXTAFTER(A1781,"|",2))</f>
        <v/>
      </c>
      <c r="E1781">
        <f>IF(A1781="","",SUMIF(Tickets[TripKey],A1781,Tickets[TP]))</f>
        <v/>
      </c>
      <c r="F1781">
        <f>IF(A1781="","",SUMIF(Tickets[TripKey],A1781,Tickets[Revenue]))</f>
        <v/>
      </c>
      <c r="G1781">
        <f>IF(A1781="","",SUMIF(Tickets[TripKey],A1781,Tickets[PK]))</f>
        <v/>
      </c>
      <c r="H1781">
        <f>IF(A1781="","",IFERROR(XLOOKUP(A1781,Tickets[TripKey],Tickets[VehClean]),""))</f>
        <v/>
      </c>
      <c r="I1781">
        <f>IF(A1781="","",IFERROR(XLOOKUP(A1781,Tickets[TripKey],Tickets[RouteLen]),0))</f>
        <v/>
      </c>
      <c r="J1781">
        <f>IF(A1781="","",IFERROR(XLOOKUP(A1781,Tickets[TripKey],Tickets[Capacity]),0))</f>
        <v/>
      </c>
      <c r="K1781">
        <f>IF(A1781="","",I1781*J1781)</f>
        <v/>
      </c>
      <c r="L1781">
        <f>IF(A1781="","",IFERROR(MINIFS(Tickets[Trip Start Time],Tickets[TripKey],A1781),""))</f>
        <v/>
      </c>
    </row>
    <row r="1782">
      <c r="B1782" s="8">
        <f>IF(A1782="","",IFERROR(DATEVALUE(TEXTBEFORE(A1782,"|")),--LEFT(A1782,10)))</f>
        <v/>
      </c>
      <c r="C1782">
        <f>IF(A1782="","",TEXTBEFORE(TEXTAFTER(A1782,"|"),"|"))</f>
        <v/>
      </c>
      <c r="D1782">
        <f>IF(A1782="","",TEXTAFTER(A1782,"|",2))</f>
        <v/>
      </c>
      <c r="E1782">
        <f>IF(A1782="","",SUMIF(Tickets[TripKey],A1782,Tickets[TP]))</f>
        <v/>
      </c>
      <c r="F1782">
        <f>IF(A1782="","",SUMIF(Tickets[TripKey],A1782,Tickets[Revenue]))</f>
        <v/>
      </c>
      <c r="G1782">
        <f>IF(A1782="","",SUMIF(Tickets[TripKey],A1782,Tickets[PK]))</f>
        <v/>
      </c>
      <c r="H1782">
        <f>IF(A1782="","",IFERROR(XLOOKUP(A1782,Tickets[TripKey],Tickets[VehClean]),""))</f>
        <v/>
      </c>
      <c r="I1782">
        <f>IF(A1782="","",IFERROR(XLOOKUP(A1782,Tickets[TripKey],Tickets[RouteLen]),0))</f>
        <v/>
      </c>
      <c r="J1782">
        <f>IF(A1782="","",IFERROR(XLOOKUP(A1782,Tickets[TripKey],Tickets[Capacity]),0))</f>
        <v/>
      </c>
      <c r="K1782">
        <f>IF(A1782="","",I1782*J1782)</f>
        <v/>
      </c>
      <c r="L1782">
        <f>IF(A1782="","",IFERROR(MINIFS(Tickets[Trip Start Time],Tickets[TripKey],A1782),""))</f>
        <v/>
      </c>
    </row>
    <row r="1783">
      <c r="B1783" s="8">
        <f>IF(A1783="","",IFERROR(DATEVALUE(TEXTBEFORE(A1783,"|")),--LEFT(A1783,10)))</f>
        <v/>
      </c>
      <c r="C1783">
        <f>IF(A1783="","",TEXTBEFORE(TEXTAFTER(A1783,"|"),"|"))</f>
        <v/>
      </c>
      <c r="D1783">
        <f>IF(A1783="","",TEXTAFTER(A1783,"|",2))</f>
        <v/>
      </c>
      <c r="E1783">
        <f>IF(A1783="","",SUMIF(Tickets[TripKey],A1783,Tickets[TP]))</f>
        <v/>
      </c>
      <c r="F1783">
        <f>IF(A1783="","",SUMIF(Tickets[TripKey],A1783,Tickets[Revenue]))</f>
        <v/>
      </c>
      <c r="G1783">
        <f>IF(A1783="","",SUMIF(Tickets[TripKey],A1783,Tickets[PK]))</f>
        <v/>
      </c>
      <c r="H1783">
        <f>IF(A1783="","",IFERROR(XLOOKUP(A1783,Tickets[TripKey],Tickets[VehClean]),""))</f>
        <v/>
      </c>
      <c r="I1783">
        <f>IF(A1783="","",IFERROR(XLOOKUP(A1783,Tickets[TripKey],Tickets[RouteLen]),0))</f>
        <v/>
      </c>
      <c r="J1783">
        <f>IF(A1783="","",IFERROR(XLOOKUP(A1783,Tickets[TripKey],Tickets[Capacity]),0))</f>
        <v/>
      </c>
      <c r="K1783">
        <f>IF(A1783="","",I1783*J1783)</f>
        <v/>
      </c>
      <c r="L1783">
        <f>IF(A1783="","",IFERROR(MINIFS(Tickets[Trip Start Time],Tickets[TripKey],A1783),""))</f>
        <v/>
      </c>
    </row>
    <row r="1784">
      <c r="B1784" s="8">
        <f>IF(A1784="","",IFERROR(DATEVALUE(TEXTBEFORE(A1784,"|")),--LEFT(A1784,10)))</f>
        <v/>
      </c>
      <c r="C1784">
        <f>IF(A1784="","",TEXTBEFORE(TEXTAFTER(A1784,"|"),"|"))</f>
        <v/>
      </c>
      <c r="D1784">
        <f>IF(A1784="","",TEXTAFTER(A1784,"|",2))</f>
        <v/>
      </c>
      <c r="E1784">
        <f>IF(A1784="","",SUMIF(Tickets[TripKey],A1784,Tickets[TP]))</f>
        <v/>
      </c>
      <c r="F1784">
        <f>IF(A1784="","",SUMIF(Tickets[TripKey],A1784,Tickets[Revenue]))</f>
        <v/>
      </c>
      <c r="G1784">
        <f>IF(A1784="","",SUMIF(Tickets[TripKey],A1784,Tickets[PK]))</f>
        <v/>
      </c>
      <c r="H1784">
        <f>IF(A1784="","",IFERROR(XLOOKUP(A1784,Tickets[TripKey],Tickets[VehClean]),""))</f>
        <v/>
      </c>
      <c r="I1784">
        <f>IF(A1784="","",IFERROR(XLOOKUP(A1784,Tickets[TripKey],Tickets[RouteLen]),0))</f>
        <v/>
      </c>
      <c r="J1784">
        <f>IF(A1784="","",IFERROR(XLOOKUP(A1784,Tickets[TripKey],Tickets[Capacity]),0))</f>
        <v/>
      </c>
      <c r="K1784">
        <f>IF(A1784="","",I1784*J1784)</f>
        <v/>
      </c>
      <c r="L1784">
        <f>IF(A1784="","",IFERROR(MINIFS(Tickets[Trip Start Time],Tickets[TripKey],A1784),""))</f>
        <v/>
      </c>
    </row>
    <row r="1785">
      <c r="B1785" s="8">
        <f>IF(A1785="","",IFERROR(DATEVALUE(TEXTBEFORE(A1785,"|")),--LEFT(A1785,10)))</f>
        <v/>
      </c>
      <c r="C1785">
        <f>IF(A1785="","",TEXTBEFORE(TEXTAFTER(A1785,"|"),"|"))</f>
        <v/>
      </c>
      <c r="D1785">
        <f>IF(A1785="","",TEXTAFTER(A1785,"|",2))</f>
        <v/>
      </c>
      <c r="E1785">
        <f>IF(A1785="","",SUMIF(Tickets[TripKey],A1785,Tickets[TP]))</f>
        <v/>
      </c>
      <c r="F1785">
        <f>IF(A1785="","",SUMIF(Tickets[TripKey],A1785,Tickets[Revenue]))</f>
        <v/>
      </c>
      <c r="G1785">
        <f>IF(A1785="","",SUMIF(Tickets[TripKey],A1785,Tickets[PK]))</f>
        <v/>
      </c>
      <c r="H1785">
        <f>IF(A1785="","",IFERROR(XLOOKUP(A1785,Tickets[TripKey],Tickets[VehClean]),""))</f>
        <v/>
      </c>
      <c r="I1785">
        <f>IF(A1785="","",IFERROR(XLOOKUP(A1785,Tickets[TripKey],Tickets[RouteLen]),0))</f>
        <v/>
      </c>
      <c r="J1785">
        <f>IF(A1785="","",IFERROR(XLOOKUP(A1785,Tickets[TripKey],Tickets[Capacity]),0))</f>
        <v/>
      </c>
      <c r="K1785">
        <f>IF(A1785="","",I1785*J1785)</f>
        <v/>
      </c>
      <c r="L1785">
        <f>IF(A1785="","",IFERROR(MINIFS(Tickets[Trip Start Time],Tickets[TripKey],A1785),""))</f>
        <v/>
      </c>
    </row>
    <row r="1786">
      <c r="B1786" s="8">
        <f>IF(A1786="","",IFERROR(DATEVALUE(TEXTBEFORE(A1786,"|")),--LEFT(A1786,10)))</f>
        <v/>
      </c>
      <c r="C1786">
        <f>IF(A1786="","",TEXTBEFORE(TEXTAFTER(A1786,"|"),"|"))</f>
        <v/>
      </c>
      <c r="D1786">
        <f>IF(A1786="","",TEXTAFTER(A1786,"|",2))</f>
        <v/>
      </c>
      <c r="E1786">
        <f>IF(A1786="","",SUMIF(Tickets[TripKey],A1786,Tickets[TP]))</f>
        <v/>
      </c>
      <c r="F1786">
        <f>IF(A1786="","",SUMIF(Tickets[TripKey],A1786,Tickets[Revenue]))</f>
        <v/>
      </c>
      <c r="G1786">
        <f>IF(A1786="","",SUMIF(Tickets[TripKey],A1786,Tickets[PK]))</f>
        <v/>
      </c>
      <c r="H1786">
        <f>IF(A1786="","",IFERROR(XLOOKUP(A1786,Tickets[TripKey],Tickets[VehClean]),""))</f>
        <v/>
      </c>
      <c r="I1786">
        <f>IF(A1786="","",IFERROR(XLOOKUP(A1786,Tickets[TripKey],Tickets[RouteLen]),0))</f>
        <v/>
      </c>
      <c r="J1786">
        <f>IF(A1786="","",IFERROR(XLOOKUP(A1786,Tickets[TripKey],Tickets[Capacity]),0))</f>
        <v/>
      </c>
      <c r="K1786">
        <f>IF(A1786="","",I1786*J1786)</f>
        <v/>
      </c>
      <c r="L1786">
        <f>IF(A1786="","",IFERROR(MINIFS(Tickets[Trip Start Time],Tickets[TripKey],A1786),""))</f>
        <v/>
      </c>
    </row>
    <row r="1787">
      <c r="B1787" s="8">
        <f>IF(A1787="","",IFERROR(DATEVALUE(TEXTBEFORE(A1787,"|")),--LEFT(A1787,10)))</f>
        <v/>
      </c>
      <c r="C1787">
        <f>IF(A1787="","",TEXTBEFORE(TEXTAFTER(A1787,"|"),"|"))</f>
        <v/>
      </c>
      <c r="D1787">
        <f>IF(A1787="","",TEXTAFTER(A1787,"|",2))</f>
        <v/>
      </c>
      <c r="E1787">
        <f>IF(A1787="","",SUMIF(Tickets[TripKey],A1787,Tickets[TP]))</f>
        <v/>
      </c>
      <c r="F1787">
        <f>IF(A1787="","",SUMIF(Tickets[TripKey],A1787,Tickets[Revenue]))</f>
        <v/>
      </c>
      <c r="G1787">
        <f>IF(A1787="","",SUMIF(Tickets[TripKey],A1787,Tickets[PK]))</f>
        <v/>
      </c>
      <c r="H1787">
        <f>IF(A1787="","",IFERROR(XLOOKUP(A1787,Tickets[TripKey],Tickets[VehClean]),""))</f>
        <v/>
      </c>
      <c r="I1787">
        <f>IF(A1787="","",IFERROR(XLOOKUP(A1787,Tickets[TripKey],Tickets[RouteLen]),0))</f>
        <v/>
      </c>
      <c r="J1787">
        <f>IF(A1787="","",IFERROR(XLOOKUP(A1787,Tickets[TripKey],Tickets[Capacity]),0))</f>
        <v/>
      </c>
      <c r="K1787">
        <f>IF(A1787="","",I1787*J1787)</f>
        <v/>
      </c>
      <c r="L1787">
        <f>IF(A1787="","",IFERROR(MINIFS(Tickets[Trip Start Time],Tickets[TripKey],A1787),""))</f>
        <v/>
      </c>
    </row>
    <row r="1788">
      <c r="B1788" s="8">
        <f>IF(A1788="","",IFERROR(DATEVALUE(TEXTBEFORE(A1788,"|")),--LEFT(A1788,10)))</f>
        <v/>
      </c>
      <c r="C1788">
        <f>IF(A1788="","",TEXTBEFORE(TEXTAFTER(A1788,"|"),"|"))</f>
        <v/>
      </c>
      <c r="D1788">
        <f>IF(A1788="","",TEXTAFTER(A1788,"|",2))</f>
        <v/>
      </c>
      <c r="E1788">
        <f>IF(A1788="","",SUMIF(Tickets[TripKey],A1788,Tickets[TP]))</f>
        <v/>
      </c>
      <c r="F1788">
        <f>IF(A1788="","",SUMIF(Tickets[TripKey],A1788,Tickets[Revenue]))</f>
        <v/>
      </c>
      <c r="G1788">
        <f>IF(A1788="","",SUMIF(Tickets[TripKey],A1788,Tickets[PK]))</f>
        <v/>
      </c>
      <c r="H1788">
        <f>IF(A1788="","",IFERROR(XLOOKUP(A1788,Tickets[TripKey],Tickets[VehClean]),""))</f>
        <v/>
      </c>
      <c r="I1788">
        <f>IF(A1788="","",IFERROR(XLOOKUP(A1788,Tickets[TripKey],Tickets[RouteLen]),0))</f>
        <v/>
      </c>
      <c r="J1788">
        <f>IF(A1788="","",IFERROR(XLOOKUP(A1788,Tickets[TripKey],Tickets[Capacity]),0))</f>
        <v/>
      </c>
      <c r="K1788">
        <f>IF(A1788="","",I1788*J1788)</f>
        <v/>
      </c>
      <c r="L1788">
        <f>IF(A1788="","",IFERROR(MINIFS(Tickets[Trip Start Time],Tickets[TripKey],A1788),""))</f>
        <v/>
      </c>
    </row>
    <row r="1789">
      <c r="B1789" s="8">
        <f>IF(A1789="","",IFERROR(DATEVALUE(TEXTBEFORE(A1789,"|")),--LEFT(A1789,10)))</f>
        <v/>
      </c>
      <c r="C1789">
        <f>IF(A1789="","",TEXTBEFORE(TEXTAFTER(A1789,"|"),"|"))</f>
        <v/>
      </c>
      <c r="D1789">
        <f>IF(A1789="","",TEXTAFTER(A1789,"|",2))</f>
        <v/>
      </c>
      <c r="E1789">
        <f>IF(A1789="","",SUMIF(Tickets[TripKey],A1789,Tickets[TP]))</f>
        <v/>
      </c>
      <c r="F1789">
        <f>IF(A1789="","",SUMIF(Tickets[TripKey],A1789,Tickets[Revenue]))</f>
        <v/>
      </c>
      <c r="G1789">
        <f>IF(A1789="","",SUMIF(Tickets[TripKey],A1789,Tickets[PK]))</f>
        <v/>
      </c>
      <c r="H1789">
        <f>IF(A1789="","",IFERROR(XLOOKUP(A1789,Tickets[TripKey],Tickets[VehClean]),""))</f>
        <v/>
      </c>
      <c r="I1789">
        <f>IF(A1789="","",IFERROR(XLOOKUP(A1789,Tickets[TripKey],Tickets[RouteLen]),0))</f>
        <v/>
      </c>
      <c r="J1789">
        <f>IF(A1789="","",IFERROR(XLOOKUP(A1789,Tickets[TripKey],Tickets[Capacity]),0))</f>
        <v/>
      </c>
      <c r="K1789">
        <f>IF(A1789="","",I1789*J1789)</f>
        <v/>
      </c>
      <c r="L1789">
        <f>IF(A1789="","",IFERROR(MINIFS(Tickets[Trip Start Time],Tickets[TripKey],A1789),""))</f>
        <v/>
      </c>
    </row>
    <row r="1790">
      <c r="B1790" s="8">
        <f>IF(A1790="","",IFERROR(DATEVALUE(TEXTBEFORE(A1790,"|")),--LEFT(A1790,10)))</f>
        <v/>
      </c>
      <c r="C1790">
        <f>IF(A1790="","",TEXTBEFORE(TEXTAFTER(A1790,"|"),"|"))</f>
        <v/>
      </c>
      <c r="D1790">
        <f>IF(A1790="","",TEXTAFTER(A1790,"|",2))</f>
        <v/>
      </c>
      <c r="E1790">
        <f>IF(A1790="","",SUMIF(Tickets[TripKey],A1790,Tickets[TP]))</f>
        <v/>
      </c>
      <c r="F1790">
        <f>IF(A1790="","",SUMIF(Tickets[TripKey],A1790,Tickets[Revenue]))</f>
        <v/>
      </c>
      <c r="G1790">
        <f>IF(A1790="","",SUMIF(Tickets[TripKey],A1790,Tickets[PK]))</f>
        <v/>
      </c>
      <c r="H1790">
        <f>IF(A1790="","",IFERROR(XLOOKUP(A1790,Tickets[TripKey],Tickets[VehClean]),""))</f>
        <v/>
      </c>
      <c r="I1790">
        <f>IF(A1790="","",IFERROR(XLOOKUP(A1790,Tickets[TripKey],Tickets[RouteLen]),0))</f>
        <v/>
      </c>
      <c r="J1790">
        <f>IF(A1790="","",IFERROR(XLOOKUP(A1790,Tickets[TripKey],Tickets[Capacity]),0))</f>
        <v/>
      </c>
      <c r="K1790">
        <f>IF(A1790="","",I1790*J1790)</f>
        <v/>
      </c>
      <c r="L1790">
        <f>IF(A1790="","",IFERROR(MINIFS(Tickets[Trip Start Time],Tickets[TripKey],A1790),""))</f>
        <v/>
      </c>
    </row>
    <row r="1791">
      <c r="B1791" s="8">
        <f>IF(A1791="","",IFERROR(DATEVALUE(TEXTBEFORE(A1791,"|")),--LEFT(A1791,10)))</f>
        <v/>
      </c>
      <c r="C1791">
        <f>IF(A1791="","",TEXTBEFORE(TEXTAFTER(A1791,"|"),"|"))</f>
        <v/>
      </c>
      <c r="D1791">
        <f>IF(A1791="","",TEXTAFTER(A1791,"|",2))</f>
        <v/>
      </c>
      <c r="E1791">
        <f>IF(A1791="","",SUMIF(Tickets[TripKey],A1791,Tickets[TP]))</f>
        <v/>
      </c>
      <c r="F1791">
        <f>IF(A1791="","",SUMIF(Tickets[TripKey],A1791,Tickets[Revenue]))</f>
        <v/>
      </c>
      <c r="G1791">
        <f>IF(A1791="","",SUMIF(Tickets[TripKey],A1791,Tickets[PK]))</f>
        <v/>
      </c>
      <c r="H1791">
        <f>IF(A1791="","",IFERROR(XLOOKUP(A1791,Tickets[TripKey],Tickets[VehClean]),""))</f>
        <v/>
      </c>
      <c r="I1791">
        <f>IF(A1791="","",IFERROR(XLOOKUP(A1791,Tickets[TripKey],Tickets[RouteLen]),0))</f>
        <v/>
      </c>
      <c r="J1791">
        <f>IF(A1791="","",IFERROR(XLOOKUP(A1791,Tickets[TripKey],Tickets[Capacity]),0))</f>
        <v/>
      </c>
      <c r="K1791">
        <f>IF(A1791="","",I1791*J1791)</f>
        <v/>
      </c>
      <c r="L1791">
        <f>IF(A1791="","",IFERROR(MINIFS(Tickets[Trip Start Time],Tickets[TripKey],A1791),""))</f>
        <v/>
      </c>
    </row>
    <row r="1792">
      <c r="B1792" s="8">
        <f>IF(A1792="","",IFERROR(DATEVALUE(TEXTBEFORE(A1792,"|")),--LEFT(A1792,10)))</f>
        <v/>
      </c>
      <c r="C1792">
        <f>IF(A1792="","",TEXTBEFORE(TEXTAFTER(A1792,"|"),"|"))</f>
        <v/>
      </c>
      <c r="D1792">
        <f>IF(A1792="","",TEXTAFTER(A1792,"|",2))</f>
        <v/>
      </c>
      <c r="E1792">
        <f>IF(A1792="","",SUMIF(Tickets[TripKey],A1792,Tickets[TP]))</f>
        <v/>
      </c>
      <c r="F1792">
        <f>IF(A1792="","",SUMIF(Tickets[TripKey],A1792,Tickets[Revenue]))</f>
        <v/>
      </c>
      <c r="G1792">
        <f>IF(A1792="","",SUMIF(Tickets[TripKey],A1792,Tickets[PK]))</f>
        <v/>
      </c>
      <c r="H1792">
        <f>IF(A1792="","",IFERROR(XLOOKUP(A1792,Tickets[TripKey],Tickets[VehClean]),""))</f>
        <v/>
      </c>
      <c r="I1792">
        <f>IF(A1792="","",IFERROR(XLOOKUP(A1792,Tickets[TripKey],Tickets[RouteLen]),0))</f>
        <v/>
      </c>
      <c r="J1792">
        <f>IF(A1792="","",IFERROR(XLOOKUP(A1792,Tickets[TripKey],Tickets[Capacity]),0))</f>
        <v/>
      </c>
      <c r="K1792">
        <f>IF(A1792="","",I1792*J1792)</f>
        <v/>
      </c>
      <c r="L1792">
        <f>IF(A1792="","",IFERROR(MINIFS(Tickets[Trip Start Time],Tickets[TripKey],A1792),""))</f>
        <v/>
      </c>
    </row>
    <row r="1793">
      <c r="B1793" s="8">
        <f>IF(A1793="","",IFERROR(DATEVALUE(TEXTBEFORE(A1793,"|")),--LEFT(A1793,10)))</f>
        <v/>
      </c>
      <c r="C1793">
        <f>IF(A1793="","",TEXTBEFORE(TEXTAFTER(A1793,"|"),"|"))</f>
        <v/>
      </c>
      <c r="D1793">
        <f>IF(A1793="","",TEXTAFTER(A1793,"|",2))</f>
        <v/>
      </c>
      <c r="E1793">
        <f>IF(A1793="","",SUMIF(Tickets[TripKey],A1793,Tickets[TP]))</f>
        <v/>
      </c>
      <c r="F1793">
        <f>IF(A1793="","",SUMIF(Tickets[TripKey],A1793,Tickets[Revenue]))</f>
        <v/>
      </c>
      <c r="G1793">
        <f>IF(A1793="","",SUMIF(Tickets[TripKey],A1793,Tickets[PK]))</f>
        <v/>
      </c>
      <c r="H1793">
        <f>IF(A1793="","",IFERROR(XLOOKUP(A1793,Tickets[TripKey],Tickets[VehClean]),""))</f>
        <v/>
      </c>
      <c r="I1793">
        <f>IF(A1793="","",IFERROR(XLOOKUP(A1793,Tickets[TripKey],Tickets[RouteLen]),0))</f>
        <v/>
      </c>
      <c r="J1793">
        <f>IF(A1793="","",IFERROR(XLOOKUP(A1793,Tickets[TripKey],Tickets[Capacity]),0))</f>
        <v/>
      </c>
      <c r="K1793">
        <f>IF(A1793="","",I1793*J1793)</f>
        <v/>
      </c>
      <c r="L1793">
        <f>IF(A1793="","",IFERROR(MINIFS(Tickets[Trip Start Time],Tickets[TripKey],A1793),""))</f>
        <v/>
      </c>
    </row>
    <row r="1794">
      <c r="B1794" s="8">
        <f>IF(A1794="","",IFERROR(DATEVALUE(TEXTBEFORE(A1794,"|")),--LEFT(A1794,10)))</f>
        <v/>
      </c>
      <c r="C1794">
        <f>IF(A1794="","",TEXTBEFORE(TEXTAFTER(A1794,"|"),"|"))</f>
        <v/>
      </c>
      <c r="D1794">
        <f>IF(A1794="","",TEXTAFTER(A1794,"|",2))</f>
        <v/>
      </c>
      <c r="E1794">
        <f>IF(A1794="","",SUMIF(Tickets[TripKey],A1794,Tickets[TP]))</f>
        <v/>
      </c>
      <c r="F1794">
        <f>IF(A1794="","",SUMIF(Tickets[TripKey],A1794,Tickets[Revenue]))</f>
        <v/>
      </c>
      <c r="G1794">
        <f>IF(A1794="","",SUMIF(Tickets[TripKey],A1794,Tickets[PK]))</f>
        <v/>
      </c>
      <c r="H1794">
        <f>IF(A1794="","",IFERROR(XLOOKUP(A1794,Tickets[TripKey],Tickets[VehClean]),""))</f>
        <v/>
      </c>
      <c r="I1794">
        <f>IF(A1794="","",IFERROR(XLOOKUP(A1794,Tickets[TripKey],Tickets[RouteLen]),0))</f>
        <v/>
      </c>
      <c r="J1794">
        <f>IF(A1794="","",IFERROR(XLOOKUP(A1794,Tickets[TripKey],Tickets[Capacity]),0))</f>
        <v/>
      </c>
      <c r="K1794">
        <f>IF(A1794="","",I1794*J1794)</f>
        <v/>
      </c>
      <c r="L1794">
        <f>IF(A1794="","",IFERROR(MINIFS(Tickets[Trip Start Time],Tickets[TripKey],A1794),""))</f>
        <v/>
      </c>
    </row>
    <row r="1795">
      <c r="B1795" s="8">
        <f>IF(A1795="","",IFERROR(DATEVALUE(TEXTBEFORE(A1795,"|")),--LEFT(A1795,10)))</f>
        <v/>
      </c>
      <c r="C1795">
        <f>IF(A1795="","",TEXTBEFORE(TEXTAFTER(A1795,"|"),"|"))</f>
        <v/>
      </c>
      <c r="D1795">
        <f>IF(A1795="","",TEXTAFTER(A1795,"|",2))</f>
        <v/>
      </c>
      <c r="E1795">
        <f>IF(A1795="","",SUMIF(Tickets[TripKey],A1795,Tickets[TP]))</f>
        <v/>
      </c>
      <c r="F1795">
        <f>IF(A1795="","",SUMIF(Tickets[TripKey],A1795,Tickets[Revenue]))</f>
        <v/>
      </c>
      <c r="G1795">
        <f>IF(A1795="","",SUMIF(Tickets[TripKey],A1795,Tickets[PK]))</f>
        <v/>
      </c>
      <c r="H1795">
        <f>IF(A1795="","",IFERROR(XLOOKUP(A1795,Tickets[TripKey],Tickets[VehClean]),""))</f>
        <v/>
      </c>
      <c r="I1795">
        <f>IF(A1795="","",IFERROR(XLOOKUP(A1795,Tickets[TripKey],Tickets[RouteLen]),0))</f>
        <v/>
      </c>
      <c r="J1795">
        <f>IF(A1795="","",IFERROR(XLOOKUP(A1795,Tickets[TripKey],Tickets[Capacity]),0))</f>
        <v/>
      </c>
      <c r="K1795">
        <f>IF(A1795="","",I1795*J1795)</f>
        <v/>
      </c>
      <c r="L1795">
        <f>IF(A1795="","",IFERROR(MINIFS(Tickets[Trip Start Time],Tickets[TripKey],A1795),""))</f>
        <v/>
      </c>
    </row>
    <row r="1796">
      <c r="B1796" s="8">
        <f>IF(A1796="","",IFERROR(DATEVALUE(TEXTBEFORE(A1796,"|")),--LEFT(A1796,10)))</f>
        <v/>
      </c>
      <c r="C1796">
        <f>IF(A1796="","",TEXTBEFORE(TEXTAFTER(A1796,"|"),"|"))</f>
        <v/>
      </c>
      <c r="D1796">
        <f>IF(A1796="","",TEXTAFTER(A1796,"|",2))</f>
        <v/>
      </c>
      <c r="E1796">
        <f>IF(A1796="","",SUMIF(Tickets[TripKey],A1796,Tickets[TP]))</f>
        <v/>
      </c>
      <c r="F1796">
        <f>IF(A1796="","",SUMIF(Tickets[TripKey],A1796,Tickets[Revenue]))</f>
        <v/>
      </c>
      <c r="G1796">
        <f>IF(A1796="","",SUMIF(Tickets[TripKey],A1796,Tickets[PK]))</f>
        <v/>
      </c>
      <c r="H1796">
        <f>IF(A1796="","",IFERROR(XLOOKUP(A1796,Tickets[TripKey],Tickets[VehClean]),""))</f>
        <v/>
      </c>
      <c r="I1796">
        <f>IF(A1796="","",IFERROR(XLOOKUP(A1796,Tickets[TripKey],Tickets[RouteLen]),0))</f>
        <v/>
      </c>
      <c r="J1796">
        <f>IF(A1796="","",IFERROR(XLOOKUP(A1796,Tickets[TripKey],Tickets[Capacity]),0))</f>
        <v/>
      </c>
      <c r="K1796">
        <f>IF(A1796="","",I1796*J1796)</f>
        <v/>
      </c>
      <c r="L1796">
        <f>IF(A1796="","",IFERROR(MINIFS(Tickets[Trip Start Time],Tickets[TripKey],A1796),""))</f>
        <v/>
      </c>
    </row>
    <row r="1797">
      <c r="B1797" s="8">
        <f>IF(A1797="","",IFERROR(DATEVALUE(TEXTBEFORE(A1797,"|")),--LEFT(A1797,10)))</f>
        <v/>
      </c>
      <c r="C1797">
        <f>IF(A1797="","",TEXTBEFORE(TEXTAFTER(A1797,"|"),"|"))</f>
        <v/>
      </c>
      <c r="D1797">
        <f>IF(A1797="","",TEXTAFTER(A1797,"|",2))</f>
        <v/>
      </c>
      <c r="E1797">
        <f>IF(A1797="","",SUMIF(Tickets[TripKey],A1797,Tickets[TP]))</f>
        <v/>
      </c>
      <c r="F1797">
        <f>IF(A1797="","",SUMIF(Tickets[TripKey],A1797,Tickets[Revenue]))</f>
        <v/>
      </c>
      <c r="G1797">
        <f>IF(A1797="","",SUMIF(Tickets[TripKey],A1797,Tickets[PK]))</f>
        <v/>
      </c>
      <c r="H1797">
        <f>IF(A1797="","",IFERROR(XLOOKUP(A1797,Tickets[TripKey],Tickets[VehClean]),""))</f>
        <v/>
      </c>
      <c r="I1797">
        <f>IF(A1797="","",IFERROR(XLOOKUP(A1797,Tickets[TripKey],Tickets[RouteLen]),0))</f>
        <v/>
      </c>
      <c r="J1797">
        <f>IF(A1797="","",IFERROR(XLOOKUP(A1797,Tickets[TripKey],Tickets[Capacity]),0))</f>
        <v/>
      </c>
      <c r="K1797">
        <f>IF(A1797="","",I1797*J1797)</f>
        <v/>
      </c>
      <c r="L1797">
        <f>IF(A1797="","",IFERROR(MINIFS(Tickets[Trip Start Time],Tickets[TripKey],A1797),""))</f>
        <v/>
      </c>
    </row>
    <row r="1798">
      <c r="B1798" s="8">
        <f>IF(A1798="","",IFERROR(DATEVALUE(TEXTBEFORE(A1798,"|")),--LEFT(A1798,10)))</f>
        <v/>
      </c>
      <c r="C1798">
        <f>IF(A1798="","",TEXTBEFORE(TEXTAFTER(A1798,"|"),"|"))</f>
        <v/>
      </c>
      <c r="D1798">
        <f>IF(A1798="","",TEXTAFTER(A1798,"|",2))</f>
        <v/>
      </c>
      <c r="E1798">
        <f>IF(A1798="","",SUMIF(Tickets[TripKey],A1798,Tickets[TP]))</f>
        <v/>
      </c>
      <c r="F1798">
        <f>IF(A1798="","",SUMIF(Tickets[TripKey],A1798,Tickets[Revenue]))</f>
        <v/>
      </c>
      <c r="G1798">
        <f>IF(A1798="","",SUMIF(Tickets[TripKey],A1798,Tickets[PK]))</f>
        <v/>
      </c>
      <c r="H1798">
        <f>IF(A1798="","",IFERROR(XLOOKUP(A1798,Tickets[TripKey],Tickets[VehClean]),""))</f>
        <v/>
      </c>
      <c r="I1798">
        <f>IF(A1798="","",IFERROR(XLOOKUP(A1798,Tickets[TripKey],Tickets[RouteLen]),0))</f>
        <v/>
      </c>
      <c r="J1798">
        <f>IF(A1798="","",IFERROR(XLOOKUP(A1798,Tickets[TripKey],Tickets[Capacity]),0))</f>
        <v/>
      </c>
      <c r="K1798">
        <f>IF(A1798="","",I1798*J1798)</f>
        <v/>
      </c>
      <c r="L1798">
        <f>IF(A1798="","",IFERROR(MINIFS(Tickets[Trip Start Time],Tickets[TripKey],A1798),""))</f>
        <v/>
      </c>
    </row>
    <row r="1799">
      <c r="B1799" s="8">
        <f>IF(A1799="","",IFERROR(DATEVALUE(TEXTBEFORE(A1799,"|")),--LEFT(A1799,10)))</f>
        <v/>
      </c>
      <c r="C1799">
        <f>IF(A1799="","",TEXTBEFORE(TEXTAFTER(A1799,"|"),"|"))</f>
        <v/>
      </c>
      <c r="D1799">
        <f>IF(A1799="","",TEXTAFTER(A1799,"|",2))</f>
        <v/>
      </c>
      <c r="E1799">
        <f>IF(A1799="","",SUMIF(Tickets[TripKey],A1799,Tickets[TP]))</f>
        <v/>
      </c>
      <c r="F1799">
        <f>IF(A1799="","",SUMIF(Tickets[TripKey],A1799,Tickets[Revenue]))</f>
        <v/>
      </c>
      <c r="G1799">
        <f>IF(A1799="","",SUMIF(Tickets[TripKey],A1799,Tickets[PK]))</f>
        <v/>
      </c>
      <c r="H1799">
        <f>IF(A1799="","",IFERROR(XLOOKUP(A1799,Tickets[TripKey],Tickets[VehClean]),""))</f>
        <v/>
      </c>
      <c r="I1799">
        <f>IF(A1799="","",IFERROR(XLOOKUP(A1799,Tickets[TripKey],Tickets[RouteLen]),0))</f>
        <v/>
      </c>
      <c r="J1799">
        <f>IF(A1799="","",IFERROR(XLOOKUP(A1799,Tickets[TripKey],Tickets[Capacity]),0))</f>
        <v/>
      </c>
      <c r="K1799">
        <f>IF(A1799="","",I1799*J1799)</f>
        <v/>
      </c>
      <c r="L1799">
        <f>IF(A1799="","",IFERROR(MINIFS(Tickets[Trip Start Time],Tickets[TripKey],A1799),""))</f>
        <v/>
      </c>
    </row>
    <row r="1800">
      <c r="B1800" s="8">
        <f>IF(A1800="","",IFERROR(DATEVALUE(TEXTBEFORE(A1800,"|")),--LEFT(A1800,10)))</f>
        <v/>
      </c>
      <c r="C1800">
        <f>IF(A1800="","",TEXTBEFORE(TEXTAFTER(A1800,"|"),"|"))</f>
        <v/>
      </c>
      <c r="D1800">
        <f>IF(A1800="","",TEXTAFTER(A1800,"|",2))</f>
        <v/>
      </c>
      <c r="E1800">
        <f>IF(A1800="","",SUMIF(Tickets[TripKey],A1800,Tickets[TP]))</f>
        <v/>
      </c>
      <c r="F1800">
        <f>IF(A1800="","",SUMIF(Tickets[TripKey],A1800,Tickets[Revenue]))</f>
        <v/>
      </c>
      <c r="G1800">
        <f>IF(A1800="","",SUMIF(Tickets[TripKey],A1800,Tickets[PK]))</f>
        <v/>
      </c>
      <c r="H1800">
        <f>IF(A1800="","",IFERROR(XLOOKUP(A1800,Tickets[TripKey],Tickets[VehClean]),""))</f>
        <v/>
      </c>
      <c r="I1800">
        <f>IF(A1800="","",IFERROR(XLOOKUP(A1800,Tickets[TripKey],Tickets[RouteLen]),0))</f>
        <v/>
      </c>
      <c r="J1800">
        <f>IF(A1800="","",IFERROR(XLOOKUP(A1800,Tickets[TripKey],Tickets[Capacity]),0))</f>
        <v/>
      </c>
      <c r="K1800">
        <f>IF(A1800="","",I1800*J1800)</f>
        <v/>
      </c>
      <c r="L1800">
        <f>IF(A1800="","",IFERROR(MINIFS(Tickets[Trip Start Time],Tickets[TripKey],A1800),""))</f>
        <v/>
      </c>
    </row>
    <row r="1801">
      <c r="B1801" s="8">
        <f>IF(A1801="","",IFERROR(DATEVALUE(TEXTBEFORE(A1801,"|")),--LEFT(A1801,10)))</f>
        <v/>
      </c>
      <c r="C1801">
        <f>IF(A1801="","",TEXTBEFORE(TEXTAFTER(A1801,"|"),"|"))</f>
        <v/>
      </c>
      <c r="D1801">
        <f>IF(A1801="","",TEXTAFTER(A1801,"|",2))</f>
        <v/>
      </c>
      <c r="E1801">
        <f>IF(A1801="","",SUMIF(Tickets[TripKey],A1801,Tickets[TP]))</f>
        <v/>
      </c>
      <c r="F1801">
        <f>IF(A1801="","",SUMIF(Tickets[TripKey],A1801,Tickets[Revenue]))</f>
        <v/>
      </c>
      <c r="G1801">
        <f>IF(A1801="","",SUMIF(Tickets[TripKey],A1801,Tickets[PK]))</f>
        <v/>
      </c>
      <c r="H1801">
        <f>IF(A1801="","",IFERROR(XLOOKUP(A1801,Tickets[TripKey],Tickets[VehClean]),""))</f>
        <v/>
      </c>
      <c r="I1801">
        <f>IF(A1801="","",IFERROR(XLOOKUP(A1801,Tickets[TripKey],Tickets[RouteLen]),0))</f>
        <v/>
      </c>
      <c r="J1801">
        <f>IF(A1801="","",IFERROR(XLOOKUP(A1801,Tickets[TripKey],Tickets[Capacity]),0))</f>
        <v/>
      </c>
      <c r="K1801">
        <f>IF(A1801="","",I1801*J1801)</f>
        <v/>
      </c>
      <c r="L1801">
        <f>IF(A1801="","",IFERROR(MINIFS(Tickets[Trip Start Time],Tickets[TripKey],A1801),""))</f>
        <v/>
      </c>
    </row>
    <row r="1802">
      <c r="B1802" s="8">
        <f>IF(A1802="","",IFERROR(DATEVALUE(TEXTBEFORE(A1802,"|")),--LEFT(A1802,10)))</f>
        <v/>
      </c>
      <c r="C1802">
        <f>IF(A1802="","",TEXTBEFORE(TEXTAFTER(A1802,"|"),"|"))</f>
        <v/>
      </c>
      <c r="D1802">
        <f>IF(A1802="","",TEXTAFTER(A1802,"|",2))</f>
        <v/>
      </c>
      <c r="E1802">
        <f>IF(A1802="","",SUMIF(Tickets[TripKey],A1802,Tickets[TP]))</f>
        <v/>
      </c>
      <c r="F1802">
        <f>IF(A1802="","",SUMIF(Tickets[TripKey],A1802,Tickets[Revenue]))</f>
        <v/>
      </c>
      <c r="G1802">
        <f>IF(A1802="","",SUMIF(Tickets[TripKey],A1802,Tickets[PK]))</f>
        <v/>
      </c>
      <c r="H1802">
        <f>IF(A1802="","",IFERROR(XLOOKUP(A1802,Tickets[TripKey],Tickets[VehClean]),""))</f>
        <v/>
      </c>
      <c r="I1802">
        <f>IF(A1802="","",IFERROR(XLOOKUP(A1802,Tickets[TripKey],Tickets[RouteLen]),0))</f>
        <v/>
      </c>
      <c r="J1802">
        <f>IF(A1802="","",IFERROR(XLOOKUP(A1802,Tickets[TripKey],Tickets[Capacity]),0))</f>
        <v/>
      </c>
      <c r="K1802">
        <f>IF(A1802="","",I1802*J1802)</f>
        <v/>
      </c>
      <c r="L1802">
        <f>IF(A1802="","",IFERROR(MINIFS(Tickets[Trip Start Time],Tickets[TripKey],A1802),""))</f>
        <v/>
      </c>
    </row>
    <row r="1803">
      <c r="B1803" s="8">
        <f>IF(A1803="","",IFERROR(DATEVALUE(TEXTBEFORE(A1803,"|")),--LEFT(A1803,10)))</f>
        <v/>
      </c>
      <c r="C1803">
        <f>IF(A1803="","",TEXTBEFORE(TEXTAFTER(A1803,"|"),"|"))</f>
        <v/>
      </c>
      <c r="D1803">
        <f>IF(A1803="","",TEXTAFTER(A1803,"|",2))</f>
        <v/>
      </c>
      <c r="E1803">
        <f>IF(A1803="","",SUMIF(Tickets[TripKey],A1803,Tickets[TP]))</f>
        <v/>
      </c>
      <c r="F1803">
        <f>IF(A1803="","",SUMIF(Tickets[TripKey],A1803,Tickets[Revenue]))</f>
        <v/>
      </c>
      <c r="G1803">
        <f>IF(A1803="","",SUMIF(Tickets[TripKey],A1803,Tickets[PK]))</f>
        <v/>
      </c>
      <c r="H1803">
        <f>IF(A1803="","",IFERROR(XLOOKUP(A1803,Tickets[TripKey],Tickets[VehClean]),""))</f>
        <v/>
      </c>
      <c r="I1803">
        <f>IF(A1803="","",IFERROR(XLOOKUP(A1803,Tickets[TripKey],Tickets[RouteLen]),0))</f>
        <v/>
      </c>
      <c r="J1803">
        <f>IF(A1803="","",IFERROR(XLOOKUP(A1803,Tickets[TripKey],Tickets[Capacity]),0))</f>
        <v/>
      </c>
      <c r="K1803">
        <f>IF(A1803="","",I1803*J1803)</f>
        <v/>
      </c>
      <c r="L1803">
        <f>IF(A1803="","",IFERROR(MINIFS(Tickets[Trip Start Time],Tickets[TripKey],A1803),""))</f>
        <v/>
      </c>
    </row>
    <row r="1804">
      <c r="B1804" s="8">
        <f>IF(A1804="","",IFERROR(DATEVALUE(TEXTBEFORE(A1804,"|")),--LEFT(A1804,10)))</f>
        <v/>
      </c>
      <c r="C1804">
        <f>IF(A1804="","",TEXTBEFORE(TEXTAFTER(A1804,"|"),"|"))</f>
        <v/>
      </c>
      <c r="D1804">
        <f>IF(A1804="","",TEXTAFTER(A1804,"|",2))</f>
        <v/>
      </c>
      <c r="E1804">
        <f>IF(A1804="","",SUMIF(Tickets[TripKey],A1804,Tickets[TP]))</f>
        <v/>
      </c>
      <c r="F1804">
        <f>IF(A1804="","",SUMIF(Tickets[TripKey],A1804,Tickets[Revenue]))</f>
        <v/>
      </c>
      <c r="G1804">
        <f>IF(A1804="","",SUMIF(Tickets[TripKey],A1804,Tickets[PK]))</f>
        <v/>
      </c>
      <c r="H1804">
        <f>IF(A1804="","",IFERROR(XLOOKUP(A1804,Tickets[TripKey],Tickets[VehClean]),""))</f>
        <v/>
      </c>
      <c r="I1804">
        <f>IF(A1804="","",IFERROR(XLOOKUP(A1804,Tickets[TripKey],Tickets[RouteLen]),0))</f>
        <v/>
      </c>
      <c r="J1804">
        <f>IF(A1804="","",IFERROR(XLOOKUP(A1804,Tickets[TripKey],Tickets[Capacity]),0))</f>
        <v/>
      </c>
      <c r="K1804">
        <f>IF(A1804="","",I1804*J1804)</f>
        <v/>
      </c>
      <c r="L1804">
        <f>IF(A1804="","",IFERROR(MINIFS(Tickets[Trip Start Time],Tickets[TripKey],A1804),""))</f>
        <v/>
      </c>
    </row>
    <row r="1805">
      <c r="B1805" s="8">
        <f>IF(A1805="","",IFERROR(DATEVALUE(TEXTBEFORE(A1805,"|")),--LEFT(A1805,10)))</f>
        <v/>
      </c>
      <c r="C1805">
        <f>IF(A1805="","",TEXTBEFORE(TEXTAFTER(A1805,"|"),"|"))</f>
        <v/>
      </c>
      <c r="D1805">
        <f>IF(A1805="","",TEXTAFTER(A1805,"|",2))</f>
        <v/>
      </c>
      <c r="E1805">
        <f>IF(A1805="","",SUMIF(Tickets[TripKey],A1805,Tickets[TP]))</f>
        <v/>
      </c>
      <c r="F1805">
        <f>IF(A1805="","",SUMIF(Tickets[TripKey],A1805,Tickets[Revenue]))</f>
        <v/>
      </c>
      <c r="G1805">
        <f>IF(A1805="","",SUMIF(Tickets[TripKey],A1805,Tickets[PK]))</f>
        <v/>
      </c>
      <c r="H1805">
        <f>IF(A1805="","",IFERROR(XLOOKUP(A1805,Tickets[TripKey],Tickets[VehClean]),""))</f>
        <v/>
      </c>
      <c r="I1805">
        <f>IF(A1805="","",IFERROR(XLOOKUP(A1805,Tickets[TripKey],Tickets[RouteLen]),0))</f>
        <v/>
      </c>
      <c r="J1805">
        <f>IF(A1805="","",IFERROR(XLOOKUP(A1805,Tickets[TripKey],Tickets[Capacity]),0))</f>
        <v/>
      </c>
      <c r="K1805">
        <f>IF(A1805="","",I1805*J1805)</f>
        <v/>
      </c>
      <c r="L1805">
        <f>IF(A1805="","",IFERROR(MINIFS(Tickets[Trip Start Time],Tickets[TripKey],A1805),""))</f>
        <v/>
      </c>
    </row>
    <row r="1806">
      <c r="B1806" s="8">
        <f>IF(A1806="","",IFERROR(DATEVALUE(TEXTBEFORE(A1806,"|")),--LEFT(A1806,10)))</f>
        <v/>
      </c>
      <c r="C1806">
        <f>IF(A1806="","",TEXTBEFORE(TEXTAFTER(A1806,"|"),"|"))</f>
        <v/>
      </c>
      <c r="D1806">
        <f>IF(A1806="","",TEXTAFTER(A1806,"|",2))</f>
        <v/>
      </c>
      <c r="E1806">
        <f>IF(A1806="","",SUMIF(Tickets[TripKey],A1806,Tickets[TP]))</f>
        <v/>
      </c>
      <c r="F1806">
        <f>IF(A1806="","",SUMIF(Tickets[TripKey],A1806,Tickets[Revenue]))</f>
        <v/>
      </c>
      <c r="G1806">
        <f>IF(A1806="","",SUMIF(Tickets[TripKey],A1806,Tickets[PK]))</f>
        <v/>
      </c>
      <c r="H1806">
        <f>IF(A1806="","",IFERROR(XLOOKUP(A1806,Tickets[TripKey],Tickets[VehClean]),""))</f>
        <v/>
      </c>
      <c r="I1806">
        <f>IF(A1806="","",IFERROR(XLOOKUP(A1806,Tickets[TripKey],Tickets[RouteLen]),0))</f>
        <v/>
      </c>
      <c r="J1806">
        <f>IF(A1806="","",IFERROR(XLOOKUP(A1806,Tickets[TripKey],Tickets[Capacity]),0))</f>
        <v/>
      </c>
      <c r="K1806">
        <f>IF(A1806="","",I1806*J1806)</f>
        <v/>
      </c>
      <c r="L1806">
        <f>IF(A1806="","",IFERROR(MINIFS(Tickets[Trip Start Time],Tickets[TripKey],A1806),""))</f>
        <v/>
      </c>
    </row>
    <row r="1807">
      <c r="B1807" s="8">
        <f>IF(A1807="","",IFERROR(DATEVALUE(TEXTBEFORE(A1807,"|")),--LEFT(A1807,10)))</f>
        <v/>
      </c>
      <c r="C1807">
        <f>IF(A1807="","",TEXTBEFORE(TEXTAFTER(A1807,"|"),"|"))</f>
        <v/>
      </c>
      <c r="D1807">
        <f>IF(A1807="","",TEXTAFTER(A1807,"|",2))</f>
        <v/>
      </c>
      <c r="E1807">
        <f>IF(A1807="","",SUMIF(Tickets[TripKey],A1807,Tickets[TP]))</f>
        <v/>
      </c>
      <c r="F1807">
        <f>IF(A1807="","",SUMIF(Tickets[TripKey],A1807,Tickets[Revenue]))</f>
        <v/>
      </c>
      <c r="G1807">
        <f>IF(A1807="","",SUMIF(Tickets[TripKey],A1807,Tickets[PK]))</f>
        <v/>
      </c>
      <c r="H1807">
        <f>IF(A1807="","",IFERROR(XLOOKUP(A1807,Tickets[TripKey],Tickets[VehClean]),""))</f>
        <v/>
      </c>
      <c r="I1807">
        <f>IF(A1807="","",IFERROR(XLOOKUP(A1807,Tickets[TripKey],Tickets[RouteLen]),0))</f>
        <v/>
      </c>
      <c r="J1807">
        <f>IF(A1807="","",IFERROR(XLOOKUP(A1807,Tickets[TripKey],Tickets[Capacity]),0))</f>
        <v/>
      </c>
      <c r="K1807">
        <f>IF(A1807="","",I1807*J1807)</f>
        <v/>
      </c>
      <c r="L1807">
        <f>IF(A1807="","",IFERROR(MINIFS(Tickets[Trip Start Time],Tickets[TripKey],A1807),""))</f>
        <v/>
      </c>
    </row>
    <row r="1808">
      <c r="B1808" s="8">
        <f>IF(A1808="","",IFERROR(DATEVALUE(TEXTBEFORE(A1808,"|")),--LEFT(A1808,10)))</f>
        <v/>
      </c>
      <c r="C1808">
        <f>IF(A1808="","",TEXTBEFORE(TEXTAFTER(A1808,"|"),"|"))</f>
        <v/>
      </c>
      <c r="D1808">
        <f>IF(A1808="","",TEXTAFTER(A1808,"|",2))</f>
        <v/>
      </c>
      <c r="E1808">
        <f>IF(A1808="","",SUMIF(Tickets[TripKey],A1808,Tickets[TP]))</f>
        <v/>
      </c>
      <c r="F1808">
        <f>IF(A1808="","",SUMIF(Tickets[TripKey],A1808,Tickets[Revenue]))</f>
        <v/>
      </c>
      <c r="G1808">
        <f>IF(A1808="","",SUMIF(Tickets[TripKey],A1808,Tickets[PK]))</f>
        <v/>
      </c>
      <c r="H1808">
        <f>IF(A1808="","",IFERROR(XLOOKUP(A1808,Tickets[TripKey],Tickets[VehClean]),""))</f>
        <v/>
      </c>
      <c r="I1808">
        <f>IF(A1808="","",IFERROR(XLOOKUP(A1808,Tickets[TripKey],Tickets[RouteLen]),0))</f>
        <v/>
      </c>
      <c r="J1808">
        <f>IF(A1808="","",IFERROR(XLOOKUP(A1808,Tickets[TripKey],Tickets[Capacity]),0))</f>
        <v/>
      </c>
      <c r="K1808">
        <f>IF(A1808="","",I1808*J1808)</f>
        <v/>
      </c>
      <c r="L1808">
        <f>IF(A1808="","",IFERROR(MINIFS(Tickets[Trip Start Time],Tickets[TripKey],A1808),""))</f>
        <v/>
      </c>
    </row>
    <row r="1809">
      <c r="B1809" s="8">
        <f>IF(A1809="","",IFERROR(DATEVALUE(TEXTBEFORE(A1809,"|")),--LEFT(A1809,10)))</f>
        <v/>
      </c>
      <c r="C1809">
        <f>IF(A1809="","",TEXTBEFORE(TEXTAFTER(A1809,"|"),"|"))</f>
        <v/>
      </c>
      <c r="D1809">
        <f>IF(A1809="","",TEXTAFTER(A1809,"|",2))</f>
        <v/>
      </c>
      <c r="E1809">
        <f>IF(A1809="","",SUMIF(Tickets[TripKey],A1809,Tickets[TP]))</f>
        <v/>
      </c>
      <c r="F1809">
        <f>IF(A1809="","",SUMIF(Tickets[TripKey],A1809,Tickets[Revenue]))</f>
        <v/>
      </c>
      <c r="G1809">
        <f>IF(A1809="","",SUMIF(Tickets[TripKey],A1809,Tickets[PK]))</f>
        <v/>
      </c>
      <c r="H1809">
        <f>IF(A1809="","",IFERROR(XLOOKUP(A1809,Tickets[TripKey],Tickets[VehClean]),""))</f>
        <v/>
      </c>
      <c r="I1809">
        <f>IF(A1809="","",IFERROR(XLOOKUP(A1809,Tickets[TripKey],Tickets[RouteLen]),0))</f>
        <v/>
      </c>
      <c r="J1809">
        <f>IF(A1809="","",IFERROR(XLOOKUP(A1809,Tickets[TripKey],Tickets[Capacity]),0))</f>
        <v/>
      </c>
      <c r="K1809">
        <f>IF(A1809="","",I1809*J1809)</f>
        <v/>
      </c>
      <c r="L1809">
        <f>IF(A1809="","",IFERROR(MINIFS(Tickets[Trip Start Time],Tickets[TripKey],A1809),""))</f>
        <v/>
      </c>
    </row>
    <row r="1810">
      <c r="B1810" s="8">
        <f>IF(A1810="","",IFERROR(DATEVALUE(TEXTBEFORE(A1810,"|")),--LEFT(A1810,10)))</f>
        <v/>
      </c>
      <c r="C1810">
        <f>IF(A1810="","",TEXTBEFORE(TEXTAFTER(A1810,"|"),"|"))</f>
        <v/>
      </c>
      <c r="D1810">
        <f>IF(A1810="","",TEXTAFTER(A1810,"|",2))</f>
        <v/>
      </c>
      <c r="E1810">
        <f>IF(A1810="","",SUMIF(Tickets[TripKey],A1810,Tickets[TP]))</f>
        <v/>
      </c>
      <c r="F1810">
        <f>IF(A1810="","",SUMIF(Tickets[TripKey],A1810,Tickets[Revenue]))</f>
        <v/>
      </c>
      <c r="G1810">
        <f>IF(A1810="","",SUMIF(Tickets[TripKey],A1810,Tickets[PK]))</f>
        <v/>
      </c>
      <c r="H1810">
        <f>IF(A1810="","",IFERROR(XLOOKUP(A1810,Tickets[TripKey],Tickets[VehClean]),""))</f>
        <v/>
      </c>
      <c r="I1810">
        <f>IF(A1810="","",IFERROR(XLOOKUP(A1810,Tickets[TripKey],Tickets[RouteLen]),0))</f>
        <v/>
      </c>
      <c r="J1810">
        <f>IF(A1810="","",IFERROR(XLOOKUP(A1810,Tickets[TripKey],Tickets[Capacity]),0))</f>
        <v/>
      </c>
      <c r="K1810">
        <f>IF(A1810="","",I1810*J1810)</f>
        <v/>
      </c>
      <c r="L1810">
        <f>IF(A1810="","",IFERROR(MINIFS(Tickets[Trip Start Time],Tickets[TripKey],A1810),""))</f>
        <v/>
      </c>
    </row>
    <row r="1811">
      <c r="B1811" s="8">
        <f>IF(A1811="","",IFERROR(DATEVALUE(TEXTBEFORE(A1811,"|")),--LEFT(A1811,10)))</f>
        <v/>
      </c>
      <c r="C1811">
        <f>IF(A1811="","",TEXTBEFORE(TEXTAFTER(A1811,"|"),"|"))</f>
        <v/>
      </c>
      <c r="D1811">
        <f>IF(A1811="","",TEXTAFTER(A1811,"|",2))</f>
        <v/>
      </c>
      <c r="E1811">
        <f>IF(A1811="","",SUMIF(Tickets[TripKey],A1811,Tickets[TP]))</f>
        <v/>
      </c>
      <c r="F1811">
        <f>IF(A1811="","",SUMIF(Tickets[TripKey],A1811,Tickets[Revenue]))</f>
        <v/>
      </c>
      <c r="G1811">
        <f>IF(A1811="","",SUMIF(Tickets[TripKey],A1811,Tickets[PK]))</f>
        <v/>
      </c>
      <c r="H1811">
        <f>IF(A1811="","",IFERROR(XLOOKUP(A1811,Tickets[TripKey],Tickets[VehClean]),""))</f>
        <v/>
      </c>
      <c r="I1811">
        <f>IF(A1811="","",IFERROR(XLOOKUP(A1811,Tickets[TripKey],Tickets[RouteLen]),0))</f>
        <v/>
      </c>
      <c r="J1811">
        <f>IF(A1811="","",IFERROR(XLOOKUP(A1811,Tickets[TripKey],Tickets[Capacity]),0))</f>
        <v/>
      </c>
      <c r="K1811">
        <f>IF(A1811="","",I1811*J1811)</f>
        <v/>
      </c>
      <c r="L1811">
        <f>IF(A1811="","",IFERROR(MINIFS(Tickets[Trip Start Time],Tickets[TripKey],A1811),""))</f>
        <v/>
      </c>
    </row>
    <row r="1812">
      <c r="B1812" s="8">
        <f>IF(A1812="","",IFERROR(DATEVALUE(TEXTBEFORE(A1812,"|")),--LEFT(A1812,10)))</f>
        <v/>
      </c>
      <c r="C1812">
        <f>IF(A1812="","",TEXTBEFORE(TEXTAFTER(A1812,"|"),"|"))</f>
        <v/>
      </c>
      <c r="D1812">
        <f>IF(A1812="","",TEXTAFTER(A1812,"|",2))</f>
        <v/>
      </c>
      <c r="E1812">
        <f>IF(A1812="","",SUMIF(Tickets[TripKey],A1812,Tickets[TP]))</f>
        <v/>
      </c>
      <c r="F1812">
        <f>IF(A1812="","",SUMIF(Tickets[TripKey],A1812,Tickets[Revenue]))</f>
        <v/>
      </c>
      <c r="G1812">
        <f>IF(A1812="","",SUMIF(Tickets[TripKey],A1812,Tickets[PK]))</f>
        <v/>
      </c>
      <c r="H1812">
        <f>IF(A1812="","",IFERROR(XLOOKUP(A1812,Tickets[TripKey],Tickets[VehClean]),""))</f>
        <v/>
      </c>
      <c r="I1812">
        <f>IF(A1812="","",IFERROR(XLOOKUP(A1812,Tickets[TripKey],Tickets[RouteLen]),0))</f>
        <v/>
      </c>
      <c r="J1812">
        <f>IF(A1812="","",IFERROR(XLOOKUP(A1812,Tickets[TripKey],Tickets[Capacity]),0))</f>
        <v/>
      </c>
      <c r="K1812">
        <f>IF(A1812="","",I1812*J1812)</f>
        <v/>
      </c>
      <c r="L1812">
        <f>IF(A1812="","",IFERROR(MINIFS(Tickets[Trip Start Time],Tickets[TripKey],A1812),""))</f>
        <v/>
      </c>
    </row>
    <row r="1813">
      <c r="B1813" s="8">
        <f>IF(A1813="","",IFERROR(DATEVALUE(TEXTBEFORE(A1813,"|")),--LEFT(A1813,10)))</f>
        <v/>
      </c>
      <c r="C1813">
        <f>IF(A1813="","",TEXTBEFORE(TEXTAFTER(A1813,"|"),"|"))</f>
        <v/>
      </c>
      <c r="D1813">
        <f>IF(A1813="","",TEXTAFTER(A1813,"|",2))</f>
        <v/>
      </c>
      <c r="E1813">
        <f>IF(A1813="","",SUMIF(Tickets[TripKey],A1813,Tickets[TP]))</f>
        <v/>
      </c>
      <c r="F1813">
        <f>IF(A1813="","",SUMIF(Tickets[TripKey],A1813,Tickets[Revenue]))</f>
        <v/>
      </c>
      <c r="G1813">
        <f>IF(A1813="","",SUMIF(Tickets[TripKey],A1813,Tickets[PK]))</f>
        <v/>
      </c>
      <c r="H1813">
        <f>IF(A1813="","",IFERROR(XLOOKUP(A1813,Tickets[TripKey],Tickets[VehClean]),""))</f>
        <v/>
      </c>
      <c r="I1813">
        <f>IF(A1813="","",IFERROR(XLOOKUP(A1813,Tickets[TripKey],Tickets[RouteLen]),0))</f>
        <v/>
      </c>
      <c r="J1813">
        <f>IF(A1813="","",IFERROR(XLOOKUP(A1813,Tickets[TripKey],Tickets[Capacity]),0))</f>
        <v/>
      </c>
      <c r="K1813">
        <f>IF(A1813="","",I1813*J1813)</f>
        <v/>
      </c>
      <c r="L1813">
        <f>IF(A1813="","",IFERROR(MINIFS(Tickets[Trip Start Time],Tickets[TripKey],A1813),""))</f>
        <v/>
      </c>
    </row>
    <row r="1814">
      <c r="B1814" s="8">
        <f>IF(A1814="","",IFERROR(DATEVALUE(TEXTBEFORE(A1814,"|")),--LEFT(A1814,10)))</f>
        <v/>
      </c>
      <c r="C1814">
        <f>IF(A1814="","",TEXTBEFORE(TEXTAFTER(A1814,"|"),"|"))</f>
        <v/>
      </c>
      <c r="D1814">
        <f>IF(A1814="","",TEXTAFTER(A1814,"|",2))</f>
        <v/>
      </c>
      <c r="E1814">
        <f>IF(A1814="","",SUMIF(Tickets[TripKey],A1814,Tickets[TP]))</f>
        <v/>
      </c>
      <c r="F1814">
        <f>IF(A1814="","",SUMIF(Tickets[TripKey],A1814,Tickets[Revenue]))</f>
        <v/>
      </c>
      <c r="G1814">
        <f>IF(A1814="","",SUMIF(Tickets[TripKey],A1814,Tickets[PK]))</f>
        <v/>
      </c>
      <c r="H1814">
        <f>IF(A1814="","",IFERROR(XLOOKUP(A1814,Tickets[TripKey],Tickets[VehClean]),""))</f>
        <v/>
      </c>
      <c r="I1814">
        <f>IF(A1814="","",IFERROR(XLOOKUP(A1814,Tickets[TripKey],Tickets[RouteLen]),0))</f>
        <v/>
      </c>
      <c r="J1814">
        <f>IF(A1814="","",IFERROR(XLOOKUP(A1814,Tickets[TripKey],Tickets[Capacity]),0))</f>
        <v/>
      </c>
      <c r="K1814">
        <f>IF(A1814="","",I1814*J1814)</f>
        <v/>
      </c>
      <c r="L1814">
        <f>IF(A1814="","",IFERROR(MINIFS(Tickets[Trip Start Time],Tickets[TripKey],A1814),""))</f>
        <v/>
      </c>
    </row>
    <row r="1815">
      <c r="B1815" s="8">
        <f>IF(A1815="","",IFERROR(DATEVALUE(TEXTBEFORE(A1815,"|")),--LEFT(A1815,10)))</f>
        <v/>
      </c>
      <c r="C1815">
        <f>IF(A1815="","",TEXTBEFORE(TEXTAFTER(A1815,"|"),"|"))</f>
        <v/>
      </c>
      <c r="D1815">
        <f>IF(A1815="","",TEXTAFTER(A1815,"|",2))</f>
        <v/>
      </c>
      <c r="E1815">
        <f>IF(A1815="","",SUMIF(Tickets[TripKey],A1815,Tickets[TP]))</f>
        <v/>
      </c>
      <c r="F1815">
        <f>IF(A1815="","",SUMIF(Tickets[TripKey],A1815,Tickets[Revenue]))</f>
        <v/>
      </c>
      <c r="G1815">
        <f>IF(A1815="","",SUMIF(Tickets[TripKey],A1815,Tickets[PK]))</f>
        <v/>
      </c>
      <c r="H1815">
        <f>IF(A1815="","",IFERROR(XLOOKUP(A1815,Tickets[TripKey],Tickets[VehClean]),""))</f>
        <v/>
      </c>
      <c r="I1815">
        <f>IF(A1815="","",IFERROR(XLOOKUP(A1815,Tickets[TripKey],Tickets[RouteLen]),0))</f>
        <v/>
      </c>
      <c r="J1815">
        <f>IF(A1815="","",IFERROR(XLOOKUP(A1815,Tickets[TripKey],Tickets[Capacity]),0))</f>
        <v/>
      </c>
      <c r="K1815">
        <f>IF(A1815="","",I1815*J1815)</f>
        <v/>
      </c>
      <c r="L1815">
        <f>IF(A1815="","",IFERROR(MINIFS(Tickets[Trip Start Time],Tickets[TripKey],A1815),""))</f>
        <v/>
      </c>
    </row>
    <row r="1816">
      <c r="B1816" s="8">
        <f>IF(A1816="","",IFERROR(DATEVALUE(TEXTBEFORE(A1816,"|")),--LEFT(A1816,10)))</f>
        <v/>
      </c>
      <c r="C1816">
        <f>IF(A1816="","",TEXTBEFORE(TEXTAFTER(A1816,"|"),"|"))</f>
        <v/>
      </c>
      <c r="D1816">
        <f>IF(A1816="","",TEXTAFTER(A1816,"|",2))</f>
        <v/>
      </c>
      <c r="E1816">
        <f>IF(A1816="","",SUMIF(Tickets[TripKey],A1816,Tickets[TP]))</f>
        <v/>
      </c>
      <c r="F1816">
        <f>IF(A1816="","",SUMIF(Tickets[TripKey],A1816,Tickets[Revenue]))</f>
        <v/>
      </c>
      <c r="G1816">
        <f>IF(A1816="","",SUMIF(Tickets[TripKey],A1816,Tickets[PK]))</f>
        <v/>
      </c>
      <c r="H1816">
        <f>IF(A1816="","",IFERROR(XLOOKUP(A1816,Tickets[TripKey],Tickets[VehClean]),""))</f>
        <v/>
      </c>
      <c r="I1816">
        <f>IF(A1816="","",IFERROR(XLOOKUP(A1816,Tickets[TripKey],Tickets[RouteLen]),0))</f>
        <v/>
      </c>
      <c r="J1816">
        <f>IF(A1816="","",IFERROR(XLOOKUP(A1816,Tickets[TripKey],Tickets[Capacity]),0))</f>
        <v/>
      </c>
      <c r="K1816">
        <f>IF(A1816="","",I1816*J1816)</f>
        <v/>
      </c>
      <c r="L1816">
        <f>IF(A1816="","",IFERROR(MINIFS(Tickets[Trip Start Time],Tickets[TripKey],A1816),""))</f>
        <v/>
      </c>
    </row>
    <row r="1817">
      <c r="B1817" s="8">
        <f>IF(A1817="","",IFERROR(DATEVALUE(TEXTBEFORE(A1817,"|")),--LEFT(A1817,10)))</f>
        <v/>
      </c>
      <c r="C1817">
        <f>IF(A1817="","",TEXTBEFORE(TEXTAFTER(A1817,"|"),"|"))</f>
        <v/>
      </c>
      <c r="D1817">
        <f>IF(A1817="","",TEXTAFTER(A1817,"|",2))</f>
        <v/>
      </c>
      <c r="E1817">
        <f>IF(A1817="","",SUMIF(Tickets[TripKey],A1817,Tickets[TP]))</f>
        <v/>
      </c>
      <c r="F1817">
        <f>IF(A1817="","",SUMIF(Tickets[TripKey],A1817,Tickets[Revenue]))</f>
        <v/>
      </c>
      <c r="G1817">
        <f>IF(A1817="","",SUMIF(Tickets[TripKey],A1817,Tickets[PK]))</f>
        <v/>
      </c>
      <c r="H1817">
        <f>IF(A1817="","",IFERROR(XLOOKUP(A1817,Tickets[TripKey],Tickets[VehClean]),""))</f>
        <v/>
      </c>
      <c r="I1817">
        <f>IF(A1817="","",IFERROR(XLOOKUP(A1817,Tickets[TripKey],Tickets[RouteLen]),0))</f>
        <v/>
      </c>
      <c r="J1817">
        <f>IF(A1817="","",IFERROR(XLOOKUP(A1817,Tickets[TripKey],Tickets[Capacity]),0))</f>
        <v/>
      </c>
      <c r="K1817">
        <f>IF(A1817="","",I1817*J1817)</f>
        <v/>
      </c>
      <c r="L1817">
        <f>IF(A1817="","",IFERROR(MINIFS(Tickets[Trip Start Time],Tickets[TripKey],A1817),""))</f>
        <v/>
      </c>
    </row>
    <row r="1818">
      <c r="B1818" s="8">
        <f>IF(A1818="","",IFERROR(DATEVALUE(TEXTBEFORE(A1818,"|")),--LEFT(A1818,10)))</f>
        <v/>
      </c>
      <c r="C1818">
        <f>IF(A1818="","",TEXTBEFORE(TEXTAFTER(A1818,"|"),"|"))</f>
        <v/>
      </c>
      <c r="D1818">
        <f>IF(A1818="","",TEXTAFTER(A1818,"|",2))</f>
        <v/>
      </c>
      <c r="E1818">
        <f>IF(A1818="","",SUMIF(Tickets[TripKey],A1818,Tickets[TP]))</f>
        <v/>
      </c>
      <c r="F1818">
        <f>IF(A1818="","",SUMIF(Tickets[TripKey],A1818,Tickets[Revenue]))</f>
        <v/>
      </c>
      <c r="G1818">
        <f>IF(A1818="","",SUMIF(Tickets[TripKey],A1818,Tickets[PK]))</f>
        <v/>
      </c>
      <c r="H1818">
        <f>IF(A1818="","",IFERROR(XLOOKUP(A1818,Tickets[TripKey],Tickets[VehClean]),""))</f>
        <v/>
      </c>
      <c r="I1818">
        <f>IF(A1818="","",IFERROR(XLOOKUP(A1818,Tickets[TripKey],Tickets[RouteLen]),0))</f>
        <v/>
      </c>
      <c r="J1818">
        <f>IF(A1818="","",IFERROR(XLOOKUP(A1818,Tickets[TripKey],Tickets[Capacity]),0))</f>
        <v/>
      </c>
      <c r="K1818">
        <f>IF(A1818="","",I1818*J1818)</f>
        <v/>
      </c>
      <c r="L1818">
        <f>IF(A1818="","",IFERROR(MINIFS(Tickets[Trip Start Time],Tickets[TripKey],A1818),""))</f>
        <v/>
      </c>
    </row>
    <row r="1819">
      <c r="B1819" s="8">
        <f>IF(A1819="","",IFERROR(DATEVALUE(TEXTBEFORE(A1819,"|")),--LEFT(A1819,10)))</f>
        <v/>
      </c>
      <c r="C1819">
        <f>IF(A1819="","",TEXTBEFORE(TEXTAFTER(A1819,"|"),"|"))</f>
        <v/>
      </c>
      <c r="D1819">
        <f>IF(A1819="","",TEXTAFTER(A1819,"|",2))</f>
        <v/>
      </c>
      <c r="E1819">
        <f>IF(A1819="","",SUMIF(Tickets[TripKey],A1819,Tickets[TP]))</f>
        <v/>
      </c>
      <c r="F1819">
        <f>IF(A1819="","",SUMIF(Tickets[TripKey],A1819,Tickets[Revenue]))</f>
        <v/>
      </c>
      <c r="G1819">
        <f>IF(A1819="","",SUMIF(Tickets[TripKey],A1819,Tickets[PK]))</f>
        <v/>
      </c>
      <c r="H1819">
        <f>IF(A1819="","",IFERROR(XLOOKUP(A1819,Tickets[TripKey],Tickets[VehClean]),""))</f>
        <v/>
      </c>
      <c r="I1819">
        <f>IF(A1819="","",IFERROR(XLOOKUP(A1819,Tickets[TripKey],Tickets[RouteLen]),0))</f>
        <v/>
      </c>
      <c r="J1819">
        <f>IF(A1819="","",IFERROR(XLOOKUP(A1819,Tickets[TripKey],Tickets[Capacity]),0))</f>
        <v/>
      </c>
      <c r="K1819">
        <f>IF(A1819="","",I1819*J1819)</f>
        <v/>
      </c>
      <c r="L1819">
        <f>IF(A1819="","",IFERROR(MINIFS(Tickets[Trip Start Time],Tickets[TripKey],A1819),""))</f>
        <v/>
      </c>
    </row>
    <row r="1820">
      <c r="B1820" s="8">
        <f>IF(A1820="","",IFERROR(DATEVALUE(TEXTBEFORE(A1820,"|")),--LEFT(A1820,10)))</f>
        <v/>
      </c>
      <c r="C1820">
        <f>IF(A1820="","",TEXTBEFORE(TEXTAFTER(A1820,"|"),"|"))</f>
        <v/>
      </c>
      <c r="D1820">
        <f>IF(A1820="","",TEXTAFTER(A1820,"|",2))</f>
        <v/>
      </c>
      <c r="E1820">
        <f>IF(A1820="","",SUMIF(Tickets[TripKey],A1820,Tickets[TP]))</f>
        <v/>
      </c>
      <c r="F1820">
        <f>IF(A1820="","",SUMIF(Tickets[TripKey],A1820,Tickets[Revenue]))</f>
        <v/>
      </c>
      <c r="G1820">
        <f>IF(A1820="","",SUMIF(Tickets[TripKey],A1820,Tickets[PK]))</f>
        <v/>
      </c>
      <c r="H1820">
        <f>IF(A1820="","",IFERROR(XLOOKUP(A1820,Tickets[TripKey],Tickets[VehClean]),""))</f>
        <v/>
      </c>
      <c r="I1820">
        <f>IF(A1820="","",IFERROR(XLOOKUP(A1820,Tickets[TripKey],Tickets[RouteLen]),0))</f>
        <v/>
      </c>
      <c r="J1820">
        <f>IF(A1820="","",IFERROR(XLOOKUP(A1820,Tickets[TripKey],Tickets[Capacity]),0))</f>
        <v/>
      </c>
      <c r="K1820">
        <f>IF(A1820="","",I1820*J1820)</f>
        <v/>
      </c>
      <c r="L1820">
        <f>IF(A1820="","",IFERROR(MINIFS(Tickets[Trip Start Time],Tickets[TripKey],A1820),""))</f>
        <v/>
      </c>
    </row>
    <row r="1821">
      <c r="B1821" s="8">
        <f>IF(A1821="","",IFERROR(DATEVALUE(TEXTBEFORE(A1821,"|")),--LEFT(A1821,10)))</f>
        <v/>
      </c>
      <c r="C1821">
        <f>IF(A1821="","",TEXTBEFORE(TEXTAFTER(A1821,"|"),"|"))</f>
        <v/>
      </c>
      <c r="D1821">
        <f>IF(A1821="","",TEXTAFTER(A1821,"|",2))</f>
        <v/>
      </c>
      <c r="E1821">
        <f>IF(A1821="","",SUMIF(Tickets[TripKey],A1821,Tickets[TP]))</f>
        <v/>
      </c>
      <c r="F1821">
        <f>IF(A1821="","",SUMIF(Tickets[TripKey],A1821,Tickets[Revenue]))</f>
        <v/>
      </c>
      <c r="G1821">
        <f>IF(A1821="","",SUMIF(Tickets[TripKey],A1821,Tickets[PK]))</f>
        <v/>
      </c>
      <c r="H1821">
        <f>IF(A1821="","",IFERROR(XLOOKUP(A1821,Tickets[TripKey],Tickets[VehClean]),""))</f>
        <v/>
      </c>
      <c r="I1821">
        <f>IF(A1821="","",IFERROR(XLOOKUP(A1821,Tickets[TripKey],Tickets[RouteLen]),0))</f>
        <v/>
      </c>
      <c r="J1821">
        <f>IF(A1821="","",IFERROR(XLOOKUP(A1821,Tickets[TripKey],Tickets[Capacity]),0))</f>
        <v/>
      </c>
      <c r="K1821">
        <f>IF(A1821="","",I1821*J1821)</f>
        <v/>
      </c>
      <c r="L1821">
        <f>IF(A1821="","",IFERROR(MINIFS(Tickets[Trip Start Time],Tickets[TripKey],A1821),""))</f>
        <v/>
      </c>
    </row>
    <row r="1822">
      <c r="B1822" s="8">
        <f>IF(A1822="","",IFERROR(DATEVALUE(TEXTBEFORE(A1822,"|")),--LEFT(A1822,10)))</f>
        <v/>
      </c>
      <c r="C1822">
        <f>IF(A1822="","",TEXTBEFORE(TEXTAFTER(A1822,"|"),"|"))</f>
        <v/>
      </c>
      <c r="D1822">
        <f>IF(A1822="","",TEXTAFTER(A1822,"|",2))</f>
        <v/>
      </c>
      <c r="E1822">
        <f>IF(A1822="","",SUMIF(Tickets[TripKey],A1822,Tickets[TP]))</f>
        <v/>
      </c>
      <c r="F1822">
        <f>IF(A1822="","",SUMIF(Tickets[TripKey],A1822,Tickets[Revenue]))</f>
        <v/>
      </c>
      <c r="G1822">
        <f>IF(A1822="","",SUMIF(Tickets[TripKey],A1822,Tickets[PK]))</f>
        <v/>
      </c>
      <c r="H1822">
        <f>IF(A1822="","",IFERROR(XLOOKUP(A1822,Tickets[TripKey],Tickets[VehClean]),""))</f>
        <v/>
      </c>
      <c r="I1822">
        <f>IF(A1822="","",IFERROR(XLOOKUP(A1822,Tickets[TripKey],Tickets[RouteLen]),0))</f>
        <v/>
      </c>
      <c r="J1822">
        <f>IF(A1822="","",IFERROR(XLOOKUP(A1822,Tickets[TripKey],Tickets[Capacity]),0))</f>
        <v/>
      </c>
      <c r="K1822">
        <f>IF(A1822="","",I1822*J1822)</f>
        <v/>
      </c>
      <c r="L1822">
        <f>IF(A1822="","",IFERROR(MINIFS(Tickets[Trip Start Time],Tickets[TripKey],A1822),""))</f>
        <v/>
      </c>
    </row>
    <row r="1823">
      <c r="B1823" s="8">
        <f>IF(A1823="","",IFERROR(DATEVALUE(TEXTBEFORE(A1823,"|")),--LEFT(A1823,10)))</f>
        <v/>
      </c>
      <c r="C1823">
        <f>IF(A1823="","",TEXTBEFORE(TEXTAFTER(A1823,"|"),"|"))</f>
        <v/>
      </c>
      <c r="D1823">
        <f>IF(A1823="","",TEXTAFTER(A1823,"|",2))</f>
        <v/>
      </c>
      <c r="E1823">
        <f>IF(A1823="","",SUMIF(Tickets[TripKey],A1823,Tickets[TP]))</f>
        <v/>
      </c>
      <c r="F1823">
        <f>IF(A1823="","",SUMIF(Tickets[TripKey],A1823,Tickets[Revenue]))</f>
        <v/>
      </c>
      <c r="G1823">
        <f>IF(A1823="","",SUMIF(Tickets[TripKey],A1823,Tickets[PK]))</f>
        <v/>
      </c>
      <c r="H1823">
        <f>IF(A1823="","",IFERROR(XLOOKUP(A1823,Tickets[TripKey],Tickets[VehClean]),""))</f>
        <v/>
      </c>
      <c r="I1823">
        <f>IF(A1823="","",IFERROR(XLOOKUP(A1823,Tickets[TripKey],Tickets[RouteLen]),0))</f>
        <v/>
      </c>
      <c r="J1823">
        <f>IF(A1823="","",IFERROR(XLOOKUP(A1823,Tickets[TripKey],Tickets[Capacity]),0))</f>
        <v/>
      </c>
      <c r="K1823">
        <f>IF(A1823="","",I1823*J1823)</f>
        <v/>
      </c>
      <c r="L1823">
        <f>IF(A1823="","",IFERROR(MINIFS(Tickets[Trip Start Time],Tickets[TripKey],A1823),""))</f>
        <v/>
      </c>
    </row>
    <row r="1824">
      <c r="B1824" s="8">
        <f>IF(A1824="","",IFERROR(DATEVALUE(TEXTBEFORE(A1824,"|")),--LEFT(A1824,10)))</f>
        <v/>
      </c>
      <c r="C1824">
        <f>IF(A1824="","",TEXTBEFORE(TEXTAFTER(A1824,"|"),"|"))</f>
        <v/>
      </c>
      <c r="D1824">
        <f>IF(A1824="","",TEXTAFTER(A1824,"|",2))</f>
        <v/>
      </c>
      <c r="E1824">
        <f>IF(A1824="","",SUMIF(Tickets[TripKey],A1824,Tickets[TP]))</f>
        <v/>
      </c>
      <c r="F1824">
        <f>IF(A1824="","",SUMIF(Tickets[TripKey],A1824,Tickets[Revenue]))</f>
        <v/>
      </c>
      <c r="G1824">
        <f>IF(A1824="","",SUMIF(Tickets[TripKey],A1824,Tickets[PK]))</f>
        <v/>
      </c>
      <c r="H1824">
        <f>IF(A1824="","",IFERROR(XLOOKUP(A1824,Tickets[TripKey],Tickets[VehClean]),""))</f>
        <v/>
      </c>
      <c r="I1824">
        <f>IF(A1824="","",IFERROR(XLOOKUP(A1824,Tickets[TripKey],Tickets[RouteLen]),0))</f>
        <v/>
      </c>
      <c r="J1824">
        <f>IF(A1824="","",IFERROR(XLOOKUP(A1824,Tickets[TripKey],Tickets[Capacity]),0))</f>
        <v/>
      </c>
      <c r="K1824">
        <f>IF(A1824="","",I1824*J1824)</f>
        <v/>
      </c>
      <c r="L1824">
        <f>IF(A1824="","",IFERROR(MINIFS(Tickets[Trip Start Time],Tickets[TripKey],A1824),""))</f>
        <v/>
      </c>
    </row>
    <row r="1825">
      <c r="B1825" s="8">
        <f>IF(A1825="","",IFERROR(DATEVALUE(TEXTBEFORE(A1825,"|")),--LEFT(A1825,10)))</f>
        <v/>
      </c>
      <c r="C1825">
        <f>IF(A1825="","",TEXTBEFORE(TEXTAFTER(A1825,"|"),"|"))</f>
        <v/>
      </c>
      <c r="D1825">
        <f>IF(A1825="","",TEXTAFTER(A1825,"|",2))</f>
        <v/>
      </c>
      <c r="E1825">
        <f>IF(A1825="","",SUMIF(Tickets[TripKey],A1825,Tickets[TP]))</f>
        <v/>
      </c>
      <c r="F1825">
        <f>IF(A1825="","",SUMIF(Tickets[TripKey],A1825,Tickets[Revenue]))</f>
        <v/>
      </c>
      <c r="G1825">
        <f>IF(A1825="","",SUMIF(Tickets[TripKey],A1825,Tickets[PK]))</f>
        <v/>
      </c>
      <c r="H1825">
        <f>IF(A1825="","",IFERROR(XLOOKUP(A1825,Tickets[TripKey],Tickets[VehClean]),""))</f>
        <v/>
      </c>
      <c r="I1825">
        <f>IF(A1825="","",IFERROR(XLOOKUP(A1825,Tickets[TripKey],Tickets[RouteLen]),0))</f>
        <v/>
      </c>
      <c r="J1825">
        <f>IF(A1825="","",IFERROR(XLOOKUP(A1825,Tickets[TripKey],Tickets[Capacity]),0))</f>
        <v/>
      </c>
      <c r="K1825">
        <f>IF(A1825="","",I1825*J1825)</f>
        <v/>
      </c>
      <c r="L1825">
        <f>IF(A1825="","",IFERROR(MINIFS(Tickets[Trip Start Time],Tickets[TripKey],A1825),""))</f>
        <v/>
      </c>
    </row>
    <row r="1826">
      <c r="B1826" s="8">
        <f>IF(A1826="","",IFERROR(DATEVALUE(TEXTBEFORE(A1826,"|")),--LEFT(A1826,10)))</f>
        <v/>
      </c>
      <c r="C1826">
        <f>IF(A1826="","",TEXTBEFORE(TEXTAFTER(A1826,"|"),"|"))</f>
        <v/>
      </c>
      <c r="D1826">
        <f>IF(A1826="","",TEXTAFTER(A1826,"|",2))</f>
        <v/>
      </c>
      <c r="E1826">
        <f>IF(A1826="","",SUMIF(Tickets[TripKey],A1826,Tickets[TP]))</f>
        <v/>
      </c>
      <c r="F1826">
        <f>IF(A1826="","",SUMIF(Tickets[TripKey],A1826,Tickets[Revenue]))</f>
        <v/>
      </c>
      <c r="G1826">
        <f>IF(A1826="","",SUMIF(Tickets[TripKey],A1826,Tickets[PK]))</f>
        <v/>
      </c>
      <c r="H1826">
        <f>IF(A1826="","",IFERROR(XLOOKUP(A1826,Tickets[TripKey],Tickets[VehClean]),""))</f>
        <v/>
      </c>
      <c r="I1826">
        <f>IF(A1826="","",IFERROR(XLOOKUP(A1826,Tickets[TripKey],Tickets[RouteLen]),0))</f>
        <v/>
      </c>
      <c r="J1826">
        <f>IF(A1826="","",IFERROR(XLOOKUP(A1826,Tickets[TripKey],Tickets[Capacity]),0))</f>
        <v/>
      </c>
      <c r="K1826">
        <f>IF(A1826="","",I1826*J1826)</f>
        <v/>
      </c>
      <c r="L1826">
        <f>IF(A1826="","",IFERROR(MINIFS(Tickets[Trip Start Time],Tickets[TripKey],A1826),""))</f>
        <v/>
      </c>
    </row>
    <row r="1827">
      <c r="B1827" s="8">
        <f>IF(A1827="","",IFERROR(DATEVALUE(TEXTBEFORE(A1827,"|")),--LEFT(A1827,10)))</f>
        <v/>
      </c>
      <c r="C1827">
        <f>IF(A1827="","",TEXTBEFORE(TEXTAFTER(A1827,"|"),"|"))</f>
        <v/>
      </c>
      <c r="D1827">
        <f>IF(A1827="","",TEXTAFTER(A1827,"|",2))</f>
        <v/>
      </c>
      <c r="E1827">
        <f>IF(A1827="","",SUMIF(Tickets[TripKey],A1827,Tickets[TP]))</f>
        <v/>
      </c>
      <c r="F1827">
        <f>IF(A1827="","",SUMIF(Tickets[TripKey],A1827,Tickets[Revenue]))</f>
        <v/>
      </c>
      <c r="G1827">
        <f>IF(A1827="","",SUMIF(Tickets[TripKey],A1827,Tickets[PK]))</f>
        <v/>
      </c>
      <c r="H1827">
        <f>IF(A1827="","",IFERROR(XLOOKUP(A1827,Tickets[TripKey],Tickets[VehClean]),""))</f>
        <v/>
      </c>
      <c r="I1827">
        <f>IF(A1827="","",IFERROR(XLOOKUP(A1827,Tickets[TripKey],Tickets[RouteLen]),0))</f>
        <v/>
      </c>
      <c r="J1827">
        <f>IF(A1827="","",IFERROR(XLOOKUP(A1827,Tickets[TripKey],Tickets[Capacity]),0))</f>
        <v/>
      </c>
      <c r="K1827">
        <f>IF(A1827="","",I1827*J1827)</f>
        <v/>
      </c>
      <c r="L1827">
        <f>IF(A1827="","",IFERROR(MINIFS(Tickets[Trip Start Time],Tickets[TripKey],A1827),""))</f>
        <v/>
      </c>
    </row>
    <row r="1828">
      <c r="B1828" s="8">
        <f>IF(A1828="","",IFERROR(DATEVALUE(TEXTBEFORE(A1828,"|")),--LEFT(A1828,10)))</f>
        <v/>
      </c>
      <c r="C1828">
        <f>IF(A1828="","",TEXTBEFORE(TEXTAFTER(A1828,"|"),"|"))</f>
        <v/>
      </c>
      <c r="D1828">
        <f>IF(A1828="","",TEXTAFTER(A1828,"|",2))</f>
        <v/>
      </c>
      <c r="E1828">
        <f>IF(A1828="","",SUMIF(Tickets[TripKey],A1828,Tickets[TP]))</f>
        <v/>
      </c>
      <c r="F1828">
        <f>IF(A1828="","",SUMIF(Tickets[TripKey],A1828,Tickets[Revenue]))</f>
        <v/>
      </c>
      <c r="G1828">
        <f>IF(A1828="","",SUMIF(Tickets[TripKey],A1828,Tickets[PK]))</f>
        <v/>
      </c>
      <c r="H1828">
        <f>IF(A1828="","",IFERROR(XLOOKUP(A1828,Tickets[TripKey],Tickets[VehClean]),""))</f>
        <v/>
      </c>
      <c r="I1828">
        <f>IF(A1828="","",IFERROR(XLOOKUP(A1828,Tickets[TripKey],Tickets[RouteLen]),0))</f>
        <v/>
      </c>
      <c r="J1828">
        <f>IF(A1828="","",IFERROR(XLOOKUP(A1828,Tickets[TripKey],Tickets[Capacity]),0))</f>
        <v/>
      </c>
      <c r="K1828">
        <f>IF(A1828="","",I1828*J1828)</f>
        <v/>
      </c>
      <c r="L1828">
        <f>IF(A1828="","",IFERROR(MINIFS(Tickets[Trip Start Time],Tickets[TripKey],A1828),""))</f>
        <v/>
      </c>
    </row>
    <row r="1829">
      <c r="B1829" s="8">
        <f>IF(A1829="","",IFERROR(DATEVALUE(TEXTBEFORE(A1829,"|")),--LEFT(A1829,10)))</f>
        <v/>
      </c>
      <c r="C1829">
        <f>IF(A1829="","",TEXTBEFORE(TEXTAFTER(A1829,"|"),"|"))</f>
        <v/>
      </c>
      <c r="D1829">
        <f>IF(A1829="","",TEXTAFTER(A1829,"|",2))</f>
        <v/>
      </c>
      <c r="E1829">
        <f>IF(A1829="","",SUMIF(Tickets[TripKey],A1829,Tickets[TP]))</f>
        <v/>
      </c>
      <c r="F1829">
        <f>IF(A1829="","",SUMIF(Tickets[TripKey],A1829,Tickets[Revenue]))</f>
        <v/>
      </c>
      <c r="G1829">
        <f>IF(A1829="","",SUMIF(Tickets[TripKey],A1829,Tickets[PK]))</f>
        <v/>
      </c>
      <c r="H1829">
        <f>IF(A1829="","",IFERROR(XLOOKUP(A1829,Tickets[TripKey],Tickets[VehClean]),""))</f>
        <v/>
      </c>
      <c r="I1829">
        <f>IF(A1829="","",IFERROR(XLOOKUP(A1829,Tickets[TripKey],Tickets[RouteLen]),0))</f>
        <v/>
      </c>
      <c r="J1829">
        <f>IF(A1829="","",IFERROR(XLOOKUP(A1829,Tickets[TripKey],Tickets[Capacity]),0))</f>
        <v/>
      </c>
      <c r="K1829">
        <f>IF(A1829="","",I1829*J1829)</f>
        <v/>
      </c>
      <c r="L1829">
        <f>IF(A1829="","",IFERROR(MINIFS(Tickets[Trip Start Time],Tickets[TripKey],A1829),""))</f>
        <v/>
      </c>
    </row>
    <row r="1830">
      <c r="B1830" s="8">
        <f>IF(A1830="","",IFERROR(DATEVALUE(TEXTBEFORE(A1830,"|")),--LEFT(A1830,10)))</f>
        <v/>
      </c>
      <c r="C1830">
        <f>IF(A1830="","",TEXTBEFORE(TEXTAFTER(A1830,"|"),"|"))</f>
        <v/>
      </c>
      <c r="D1830">
        <f>IF(A1830="","",TEXTAFTER(A1830,"|",2))</f>
        <v/>
      </c>
      <c r="E1830">
        <f>IF(A1830="","",SUMIF(Tickets[TripKey],A1830,Tickets[TP]))</f>
        <v/>
      </c>
      <c r="F1830">
        <f>IF(A1830="","",SUMIF(Tickets[TripKey],A1830,Tickets[Revenue]))</f>
        <v/>
      </c>
      <c r="G1830">
        <f>IF(A1830="","",SUMIF(Tickets[TripKey],A1830,Tickets[PK]))</f>
        <v/>
      </c>
      <c r="H1830">
        <f>IF(A1830="","",IFERROR(XLOOKUP(A1830,Tickets[TripKey],Tickets[VehClean]),""))</f>
        <v/>
      </c>
      <c r="I1830">
        <f>IF(A1830="","",IFERROR(XLOOKUP(A1830,Tickets[TripKey],Tickets[RouteLen]),0))</f>
        <v/>
      </c>
      <c r="J1830">
        <f>IF(A1830="","",IFERROR(XLOOKUP(A1830,Tickets[TripKey],Tickets[Capacity]),0))</f>
        <v/>
      </c>
      <c r="K1830">
        <f>IF(A1830="","",I1830*J1830)</f>
        <v/>
      </c>
      <c r="L1830">
        <f>IF(A1830="","",IFERROR(MINIFS(Tickets[Trip Start Time],Tickets[TripKey],A1830),""))</f>
        <v/>
      </c>
    </row>
    <row r="1831">
      <c r="B1831" s="8">
        <f>IF(A1831="","",IFERROR(DATEVALUE(TEXTBEFORE(A1831,"|")),--LEFT(A1831,10)))</f>
        <v/>
      </c>
      <c r="C1831">
        <f>IF(A1831="","",TEXTBEFORE(TEXTAFTER(A1831,"|"),"|"))</f>
        <v/>
      </c>
      <c r="D1831">
        <f>IF(A1831="","",TEXTAFTER(A1831,"|",2))</f>
        <v/>
      </c>
      <c r="E1831">
        <f>IF(A1831="","",SUMIF(Tickets[TripKey],A1831,Tickets[TP]))</f>
        <v/>
      </c>
      <c r="F1831">
        <f>IF(A1831="","",SUMIF(Tickets[TripKey],A1831,Tickets[Revenue]))</f>
        <v/>
      </c>
      <c r="G1831">
        <f>IF(A1831="","",SUMIF(Tickets[TripKey],A1831,Tickets[PK]))</f>
        <v/>
      </c>
      <c r="H1831">
        <f>IF(A1831="","",IFERROR(XLOOKUP(A1831,Tickets[TripKey],Tickets[VehClean]),""))</f>
        <v/>
      </c>
      <c r="I1831">
        <f>IF(A1831="","",IFERROR(XLOOKUP(A1831,Tickets[TripKey],Tickets[RouteLen]),0))</f>
        <v/>
      </c>
      <c r="J1831">
        <f>IF(A1831="","",IFERROR(XLOOKUP(A1831,Tickets[TripKey],Tickets[Capacity]),0))</f>
        <v/>
      </c>
      <c r="K1831">
        <f>IF(A1831="","",I1831*J1831)</f>
        <v/>
      </c>
      <c r="L1831">
        <f>IF(A1831="","",IFERROR(MINIFS(Tickets[Trip Start Time],Tickets[TripKey],A1831),""))</f>
        <v/>
      </c>
    </row>
    <row r="1832">
      <c r="B1832" s="8">
        <f>IF(A1832="","",IFERROR(DATEVALUE(TEXTBEFORE(A1832,"|")),--LEFT(A1832,10)))</f>
        <v/>
      </c>
      <c r="C1832">
        <f>IF(A1832="","",TEXTBEFORE(TEXTAFTER(A1832,"|"),"|"))</f>
        <v/>
      </c>
      <c r="D1832">
        <f>IF(A1832="","",TEXTAFTER(A1832,"|",2))</f>
        <v/>
      </c>
      <c r="E1832">
        <f>IF(A1832="","",SUMIF(Tickets[TripKey],A1832,Tickets[TP]))</f>
        <v/>
      </c>
      <c r="F1832">
        <f>IF(A1832="","",SUMIF(Tickets[TripKey],A1832,Tickets[Revenue]))</f>
        <v/>
      </c>
      <c r="G1832">
        <f>IF(A1832="","",SUMIF(Tickets[TripKey],A1832,Tickets[PK]))</f>
        <v/>
      </c>
      <c r="H1832">
        <f>IF(A1832="","",IFERROR(XLOOKUP(A1832,Tickets[TripKey],Tickets[VehClean]),""))</f>
        <v/>
      </c>
      <c r="I1832">
        <f>IF(A1832="","",IFERROR(XLOOKUP(A1832,Tickets[TripKey],Tickets[RouteLen]),0))</f>
        <v/>
      </c>
      <c r="J1832">
        <f>IF(A1832="","",IFERROR(XLOOKUP(A1832,Tickets[TripKey],Tickets[Capacity]),0))</f>
        <v/>
      </c>
      <c r="K1832">
        <f>IF(A1832="","",I1832*J1832)</f>
        <v/>
      </c>
      <c r="L1832">
        <f>IF(A1832="","",IFERROR(MINIFS(Tickets[Trip Start Time],Tickets[TripKey],A1832),""))</f>
        <v/>
      </c>
    </row>
    <row r="1833">
      <c r="B1833" s="8">
        <f>IF(A1833="","",IFERROR(DATEVALUE(TEXTBEFORE(A1833,"|")),--LEFT(A1833,10)))</f>
        <v/>
      </c>
      <c r="C1833">
        <f>IF(A1833="","",TEXTBEFORE(TEXTAFTER(A1833,"|"),"|"))</f>
        <v/>
      </c>
      <c r="D1833">
        <f>IF(A1833="","",TEXTAFTER(A1833,"|",2))</f>
        <v/>
      </c>
      <c r="E1833">
        <f>IF(A1833="","",SUMIF(Tickets[TripKey],A1833,Tickets[TP]))</f>
        <v/>
      </c>
      <c r="F1833">
        <f>IF(A1833="","",SUMIF(Tickets[TripKey],A1833,Tickets[Revenue]))</f>
        <v/>
      </c>
      <c r="G1833">
        <f>IF(A1833="","",SUMIF(Tickets[TripKey],A1833,Tickets[PK]))</f>
        <v/>
      </c>
      <c r="H1833">
        <f>IF(A1833="","",IFERROR(XLOOKUP(A1833,Tickets[TripKey],Tickets[VehClean]),""))</f>
        <v/>
      </c>
      <c r="I1833">
        <f>IF(A1833="","",IFERROR(XLOOKUP(A1833,Tickets[TripKey],Tickets[RouteLen]),0))</f>
        <v/>
      </c>
      <c r="J1833">
        <f>IF(A1833="","",IFERROR(XLOOKUP(A1833,Tickets[TripKey],Tickets[Capacity]),0))</f>
        <v/>
      </c>
      <c r="K1833">
        <f>IF(A1833="","",I1833*J1833)</f>
        <v/>
      </c>
      <c r="L1833">
        <f>IF(A1833="","",IFERROR(MINIFS(Tickets[Trip Start Time],Tickets[TripKey],A1833),""))</f>
        <v/>
      </c>
    </row>
    <row r="1834">
      <c r="B1834" s="8">
        <f>IF(A1834="","",IFERROR(DATEVALUE(TEXTBEFORE(A1834,"|")),--LEFT(A1834,10)))</f>
        <v/>
      </c>
      <c r="C1834">
        <f>IF(A1834="","",TEXTBEFORE(TEXTAFTER(A1834,"|"),"|"))</f>
        <v/>
      </c>
      <c r="D1834">
        <f>IF(A1834="","",TEXTAFTER(A1834,"|",2))</f>
        <v/>
      </c>
      <c r="E1834">
        <f>IF(A1834="","",SUMIF(Tickets[TripKey],A1834,Tickets[TP]))</f>
        <v/>
      </c>
      <c r="F1834">
        <f>IF(A1834="","",SUMIF(Tickets[TripKey],A1834,Tickets[Revenue]))</f>
        <v/>
      </c>
      <c r="G1834">
        <f>IF(A1834="","",SUMIF(Tickets[TripKey],A1834,Tickets[PK]))</f>
        <v/>
      </c>
      <c r="H1834">
        <f>IF(A1834="","",IFERROR(XLOOKUP(A1834,Tickets[TripKey],Tickets[VehClean]),""))</f>
        <v/>
      </c>
      <c r="I1834">
        <f>IF(A1834="","",IFERROR(XLOOKUP(A1834,Tickets[TripKey],Tickets[RouteLen]),0))</f>
        <v/>
      </c>
      <c r="J1834">
        <f>IF(A1834="","",IFERROR(XLOOKUP(A1834,Tickets[TripKey],Tickets[Capacity]),0))</f>
        <v/>
      </c>
      <c r="K1834">
        <f>IF(A1834="","",I1834*J1834)</f>
        <v/>
      </c>
      <c r="L1834">
        <f>IF(A1834="","",IFERROR(MINIFS(Tickets[Trip Start Time],Tickets[TripKey],A1834),""))</f>
        <v/>
      </c>
    </row>
    <row r="1835">
      <c r="B1835" s="8">
        <f>IF(A1835="","",IFERROR(DATEVALUE(TEXTBEFORE(A1835,"|")),--LEFT(A1835,10)))</f>
        <v/>
      </c>
      <c r="C1835">
        <f>IF(A1835="","",TEXTBEFORE(TEXTAFTER(A1835,"|"),"|"))</f>
        <v/>
      </c>
      <c r="D1835">
        <f>IF(A1835="","",TEXTAFTER(A1835,"|",2))</f>
        <v/>
      </c>
      <c r="E1835">
        <f>IF(A1835="","",SUMIF(Tickets[TripKey],A1835,Tickets[TP]))</f>
        <v/>
      </c>
      <c r="F1835">
        <f>IF(A1835="","",SUMIF(Tickets[TripKey],A1835,Tickets[Revenue]))</f>
        <v/>
      </c>
      <c r="G1835">
        <f>IF(A1835="","",SUMIF(Tickets[TripKey],A1835,Tickets[PK]))</f>
        <v/>
      </c>
      <c r="H1835">
        <f>IF(A1835="","",IFERROR(XLOOKUP(A1835,Tickets[TripKey],Tickets[VehClean]),""))</f>
        <v/>
      </c>
      <c r="I1835">
        <f>IF(A1835="","",IFERROR(XLOOKUP(A1835,Tickets[TripKey],Tickets[RouteLen]),0))</f>
        <v/>
      </c>
      <c r="J1835">
        <f>IF(A1835="","",IFERROR(XLOOKUP(A1835,Tickets[TripKey],Tickets[Capacity]),0))</f>
        <v/>
      </c>
      <c r="K1835">
        <f>IF(A1835="","",I1835*J1835)</f>
        <v/>
      </c>
      <c r="L1835">
        <f>IF(A1835="","",IFERROR(MINIFS(Tickets[Trip Start Time],Tickets[TripKey],A1835),""))</f>
        <v/>
      </c>
    </row>
    <row r="1836">
      <c r="B1836" s="8">
        <f>IF(A1836="","",IFERROR(DATEVALUE(TEXTBEFORE(A1836,"|")),--LEFT(A1836,10)))</f>
        <v/>
      </c>
      <c r="C1836">
        <f>IF(A1836="","",TEXTBEFORE(TEXTAFTER(A1836,"|"),"|"))</f>
        <v/>
      </c>
      <c r="D1836">
        <f>IF(A1836="","",TEXTAFTER(A1836,"|",2))</f>
        <v/>
      </c>
      <c r="E1836">
        <f>IF(A1836="","",SUMIF(Tickets[TripKey],A1836,Tickets[TP]))</f>
        <v/>
      </c>
      <c r="F1836">
        <f>IF(A1836="","",SUMIF(Tickets[TripKey],A1836,Tickets[Revenue]))</f>
        <v/>
      </c>
      <c r="G1836">
        <f>IF(A1836="","",SUMIF(Tickets[TripKey],A1836,Tickets[PK]))</f>
        <v/>
      </c>
      <c r="H1836">
        <f>IF(A1836="","",IFERROR(XLOOKUP(A1836,Tickets[TripKey],Tickets[VehClean]),""))</f>
        <v/>
      </c>
      <c r="I1836">
        <f>IF(A1836="","",IFERROR(XLOOKUP(A1836,Tickets[TripKey],Tickets[RouteLen]),0))</f>
        <v/>
      </c>
      <c r="J1836">
        <f>IF(A1836="","",IFERROR(XLOOKUP(A1836,Tickets[TripKey],Tickets[Capacity]),0))</f>
        <v/>
      </c>
      <c r="K1836">
        <f>IF(A1836="","",I1836*J1836)</f>
        <v/>
      </c>
      <c r="L1836">
        <f>IF(A1836="","",IFERROR(MINIFS(Tickets[Trip Start Time],Tickets[TripKey],A1836),""))</f>
        <v/>
      </c>
    </row>
    <row r="1837">
      <c r="B1837" s="8">
        <f>IF(A1837="","",IFERROR(DATEVALUE(TEXTBEFORE(A1837,"|")),--LEFT(A1837,10)))</f>
        <v/>
      </c>
      <c r="C1837">
        <f>IF(A1837="","",TEXTBEFORE(TEXTAFTER(A1837,"|"),"|"))</f>
        <v/>
      </c>
      <c r="D1837">
        <f>IF(A1837="","",TEXTAFTER(A1837,"|",2))</f>
        <v/>
      </c>
      <c r="E1837">
        <f>IF(A1837="","",SUMIF(Tickets[TripKey],A1837,Tickets[TP]))</f>
        <v/>
      </c>
      <c r="F1837">
        <f>IF(A1837="","",SUMIF(Tickets[TripKey],A1837,Tickets[Revenue]))</f>
        <v/>
      </c>
      <c r="G1837">
        <f>IF(A1837="","",SUMIF(Tickets[TripKey],A1837,Tickets[PK]))</f>
        <v/>
      </c>
      <c r="H1837">
        <f>IF(A1837="","",IFERROR(XLOOKUP(A1837,Tickets[TripKey],Tickets[VehClean]),""))</f>
        <v/>
      </c>
      <c r="I1837">
        <f>IF(A1837="","",IFERROR(XLOOKUP(A1837,Tickets[TripKey],Tickets[RouteLen]),0))</f>
        <v/>
      </c>
      <c r="J1837">
        <f>IF(A1837="","",IFERROR(XLOOKUP(A1837,Tickets[TripKey],Tickets[Capacity]),0))</f>
        <v/>
      </c>
      <c r="K1837">
        <f>IF(A1837="","",I1837*J1837)</f>
        <v/>
      </c>
      <c r="L1837">
        <f>IF(A1837="","",IFERROR(MINIFS(Tickets[Trip Start Time],Tickets[TripKey],A1837),""))</f>
        <v/>
      </c>
    </row>
    <row r="1838">
      <c r="B1838" s="8">
        <f>IF(A1838="","",IFERROR(DATEVALUE(TEXTBEFORE(A1838,"|")),--LEFT(A1838,10)))</f>
        <v/>
      </c>
      <c r="C1838">
        <f>IF(A1838="","",TEXTBEFORE(TEXTAFTER(A1838,"|"),"|"))</f>
        <v/>
      </c>
      <c r="D1838">
        <f>IF(A1838="","",TEXTAFTER(A1838,"|",2))</f>
        <v/>
      </c>
      <c r="E1838">
        <f>IF(A1838="","",SUMIF(Tickets[TripKey],A1838,Tickets[TP]))</f>
        <v/>
      </c>
      <c r="F1838">
        <f>IF(A1838="","",SUMIF(Tickets[TripKey],A1838,Tickets[Revenue]))</f>
        <v/>
      </c>
      <c r="G1838">
        <f>IF(A1838="","",SUMIF(Tickets[TripKey],A1838,Tickets[PK]))</f>
        <v/>
      </c>
      <c r="H1838">
        <f>IF(A1838="","",IFERROR(XLOOKUP(A1838,Tickets[TripKey],Tickets[VehClean]),""))</f>
        <v/>
      </c>
      <c r="I1838">
        <f>IF(A1838="","",IFERROR(XLOOKUP(A1838,Tickets[TripKey],Tickets[RouteLen]),0))</f>
        <v/>
      </c>
      <c r="J1838">
        <f>IF(A1838="","",IFERROR(XLOOKUP(A1838,Tickets[TripKey],Tickets[Capacity]),0))</f>
        <v/>
      </c>
      <c r="K1838">
        <f>IF(A1838="","",I1838*J1838)</f>
        <v/>
      </c>
      <c r="L1838">
        <f>IF(A1838="","",IFERROR(MINIFS(Tickets[Trip Start Time],Tickets[TripKey],A1838),""))</f>
        <v/>
      </c>
    </row>
    <row r="1839">
      <c r="B1839" s="8">
        <f>IF(A1839="","",IFERROR(DATEVALUE(TEXTBEFORE(A1839,"|")),--LEFT(A1839,10)))</f>
        <v/>
      </c>
      <c r="C1839">
        <f>IF(A1839="","",TEXTBEFORE(TEXTAFTER(A1839,"|"),"|"))</f>
        <v/>
      </c>
      <c r="D1839">
        <f>IF(A1839="","",TEXTAFTER(A1839,"|",2))</f>
        <v/>
      </c>
      <c r="E1839">
        <f>IF(A1839="","",SUMIF(Tickets[TripKey],A1839,Tickets[TP]))</f>
        <v/>
      </c>
      <c r="F1839">
        <f>IF(A1839="","",SUMIF(Tickets[TripKey],A1839,Tickets[Revenue]))</f>
        <v/>
      </c>
      <c r="G1839">
        <f>IF(A1839="","",SUMIF(Tickets[TripKey],A1839,Tickets[PK]))</f>
        <v/>
      </c>
      <c r="H1839">
        <f>IF(A1839="","",IFERROR(XLOOKUP(A1839,Tickets[TripKey],Tickets[VehClean]),""))</f>
        <v/>
      </c>
      <c r="I1839">
        <f>IF(A1839="","",IFERROR(XLOOKUP(A1839,Tickets[TripKey],Tickets[RouteLen]),0))</f>
        <v/>
      </c>
      <c r="J1839">
        <f>IF(A1839="","",IFERROR(XLOOKUP(A1839,Tickets[TripKey],Tickets[Capacity]),0))</f>
        <v/>
      </c>
      <c r="K1839">
        <f>IF(A1839="","",I1839*J1839)</f>
        <v/>
      </c>
      <c r="L1839">
        <f>IF(A1839="","",IFERROR(MINIFS(Tickets[Trip Start Time],Tickets[TripKey],A1839),""))</f>
        <v/>
      </c>
    </row>
    <row r="1840">
      <c r="B1840" s="8">
        <f>IF(A1840="","",IFERROR(DATEVALUE(TEXTBEFORE(A1840,"|")),--LEFT(A1840,10)))</f>
        <v/>
      </c>
      <c r="C1840">
        <f>IF(A1840="","",TEXTBEFORE(TEXTAFTER(A1840,"|"),"|"))</f>
        <v/>
      </c>
      <c r="D1840">
        <f>IF(A1840="","",TEXTAFTER(A1840,"|",2))</f>
        <v/>
      </c>
      <c r="E1840">
        <f>IF(A1840="","",SUMIF(Tickets[TripKey],A1840,Tickets[TP]))</f>
        <v/>
      </c>
      <c r="F1840">
        <f>IF(A1840="","",SUMIF(Tickets[TripKey],A1840,Tickets[Revenue]))</f>
        <v/>
      </c>
      <c r="G1840">
        <f>IF(A1840="","",SUMIF(Tickets[TripKey],A1840,Tickets[PK]))</f>
        <v/>
      </c>
      <c r="H1840">
        <f>IF(A1840="","",IFERROR(XLOOKUP(A1840,Tickets[TripKey],Tickets[VehClean]),""))</f>
        <v/>
      </c>
      <c r="I1840">
        <f>IF(A1840="","",IFERROR(XLOOKUP(A1840,Tickets[TripKey],Tickets[RouteLen]),0))</f>
        <v/>
      </c>
      <c r="J1840">
        <f>IF(A1840="","",IFERROR(XLOOKUP(A1840,Tickets[TripKey],Tickets[Capacity]),0))</f>
        <v/>
      </c>
      <c r="K1840">
        <f>IF(A1840="","",I1840*J1840)</f>
        <v/>
      </c>
      <c r="L1840">
        <f>IF(A1840="","",IFERROR(MINIFS(Tickets[Trip Start Time],Tickets[TripKey],A1840),""))</f>
        <v/>
      </c>
    </row>
    <row r="1841">
      <c r="B1841" s="8">
        <f>IF(A1841="","",IFERROR(DATEVALUE(TEXTBEFORE(A1841,"|")),--LEFT(A1841,10)))</f>
        <v/>
      </c>
      <c r="C1841">
        <f>IF(A1841="","",TEXTBEFORE(TEXTAFTER(A1841,"|"),"|"))</f>
        <v/>
      </c>
      <c r="D1841">
        <f>IF(A1841="","",TEXTAFTER(A1841,"|",2))</f>
        <v/>
      </c>
      <c r="E1841">
        <f>IF(A1841="","",SUMIF(Tickets[TripKey],A1841,Tickets[TP]))</f>
        <v/>
      </c>
      <c r="F1841">
        <f>IF(A1841="","",SUMIF(Tickets[TripKey],A1841,Tickets[Revenue]))</f>
        <v/>
      </c>
      <c r="G1841">
        <f>IF(A1841="","",SUMIF(Tickets[TripKey],A1841,Tickets[PK]))</f>
        <v/>
      </c>
      <c r="H1841">
        <f>IF(A1841="","",IFERROR(XLOOKUP(A1841,Tickets[TripKey],Tickets[VehClean]),""))</f>
        <v/>
      </c>
      <c r="I1841">
        <f>IF(A1841="","",IFERROR(XLOOKUP(A1841,Tickets[TripKey],Tickets[RouteLen]),0))</f>
        <v/>
      </c>
      <c r="J1841">
        <f>IF(A1841="","",IFERROR(XLOOKUP(A1841,Tickets[TripKey],Tickets[Capacity]),0))</f>
        <v/>
      </c>
      <c r="K1841">
        <f>IF(A1841="","",I1841*J1841)</f>
        <v/>
      </c>
      <c r="L1841">
        <f>IF(A1841="","",IFERROR(MINIFS(Tickets[Trip Start Time],Tickets[TripKey],A1841),""))</f>
        <v/>
      </c>
    </row>
    <row r="1842">
      <c r="B1842" s="8">
        <f>IF(A1842="","",IFERROR(DATEVALUE(TEXTBEFORE(A1842,"|")),--LEFT(A1842,10)))</f>
        <v/>
      </c>
      <c r="C1842">
        <f>IF(A1842="","",TEXTBEFORE(TEXTAFTER(A1842,"|"),"|"))</f>
        <v/>
      </c>
      <c r="D1842">
        <f>IF(A1842="","",TEXTAFTER(A1842,"|",2))</f>
        <v/>
      </c>
      <c r="E1842">
        <f>IF(A1842="","",SUMIF(Tickets[TripKey],A1842,Tickets[TP]))</f>
        <v/>
      </c>
      <c r="F1842">
        <f>IF(A1842="","",SUMIF(Tickets[TripKey],A1842,Tickets[Revenue]))</f>
        <v/>
      </c>
      <c r="G1842">
        <f>IF(A1842="","",SUMIF(Tickets[TripKey],A1842,Tickets[PK]))</f>
        <v/>
      </c>
      <c r="H1842">
        <f>IF(A1842="","",IFERROR(XLOOKUP(A1842,Tickets[TripKey],Tickets[VehClean]),""))</f>
        <v/>
      </c>
      <c r="I1842">
        <f>IF(A1842="","",IFERROR(XLOOKUP(A1842,Tickets[TripKey],Tickets[RouteLen]),0))</f>
        <v/>
      </c>
      <c r="J1842">
        <f>IF(A1842="","",IFERROR(XLOOKUP(A1842,Tickets[TripKey],Tickets[Capacity]),0))</f>
        <v/>
      </c>
      <c r="K1842">
        <f>IF(A1842="","",I1842*J1842)</f>
        <v/>
      </c>
      <c r="L1842">
        <f>IF(A1842="","",IFERROR(MINIFS(Tickets[Trip Start Time],Tickets[TripKey],A1842),""))</f>
        <v/>
      </c>
    </row>
    <row r="1843">
      <c r="B1843" s="8">
        <f>IF(A1843="","",IFERROR(DATEVALUE(TEXTBEFORE(A1843,"|")),--LEFT(A1843,10)))</f>
        <v/>
      </c>
      <c r="C1843">
        <f>IF(A1843="","",TEXTBEFORE(TEXTAFTER(A1843,"|"),"|"))</f>
        <v/>
      </c>
      <c r="D1843">
        <f>IF(A1843="","",TEXTAFTER(A1843,"|",2))</f>
        <v/>
      </c>
      <c r="E1843">
        <f>IF(A1843="","",SUMIF(Tickets[TripKey],A1843,Tickets[TP]))</f>
        <v/>
      </c>
      <c r="F1843">
        <f>IF(A1843="","",SUMIF(Tickets[TripKey],A1843,Tickets[Revenue]))</f>
        <v/>
      </c>
      <c r="G1843">
        <f>IF(A1843="","",SUMIF(Tickets[TripKey],A1843,Tickets[PK]))</f>
        <v/>
      </c>
      <c r="H1843">
        <f>IF(A1843="","",IFERROR(XLOOKUP(A1843,Tickets[TripKey],Tickets[VehClean]),""))</f>
        <v/>
      </c>
      <c r="I1843">
        <f>IF(A1843="","",IFERROR(XLOOKUP(A1843,Tickets[TripKey],Tickets[RouteLen]),0))</f>
        <v/>
      </c>
      <c r="J1843">
        <f>IF(A1843="","",IFERROR(XLOOKUP(A1843,Tickets[TripKey],Tickets[Capacity]),0))</f>
        <v/>
      </c>
      <c r="K1843">
        <f>IF(A1843="","",I1843*J1843)</f>
        <v/>
      </c>
      <c r="L1843">
        <f>IF(A1843="","",IFERROR(MINIFS(Tickets[Trip Start Time],Tickets[TripKey],A1843),""))</f>
        <v/>
      </c>
    </row>
    <row r="1844">
      <c r="B1844" s="8">
        <f>IF(A1844="","",IFERROR(DATEVALUE(TEXTBEFORE(A1844,"|")),--LEFT(A1844,10)))</f>
        <v/>
      </c>
      <c r="C1844">
        <f>IF(A1844="","",TEXTBEFORE(TEXTAFTER(A1844,"|"),"|"))</f>
        <v/>
      </c>
      <c r="D1844">
        <f>IF(A1844="","",TEXTAFTER(A1844,"|",2))</f>
        <v/>
      </c>
      <c r="E1844">
        <f>IF(A1844="","",SUMIF(Tickets[TripKey],A1844,Tickets[TP]))</f>
        <v/>
      </c>
      <c r="F1844">
        <f>IF(A1844="","",SUMIF(Tickets[TripKey],A1844,Tickets[Revenue]))</f>
        <v/>
      </c>
      <c r="G1844">
        <f>IF(A1844="","",SUMIF(Tickets[TripKey],A1844,Tickets[PK]))</f>
        <v/>
      </c>
      <c r="H1844">
        <f>IF(A1844="","",IFERROR(XLOOKUP(A1844,Tickets[TripKey],Tickets[VehClean]),""))</f>
        <v/>
      </c>
      <c r="I1844">
        <f>IF(A1844="","",IFERROR(XLOOKUP(A1844,Tickets[TripKey],Tickets[RouteLen]),0))</f>
        <v/>
      </c>
      <c r="J1844">
        <f>IF(A1844="","",IFERROR(XLOOKUP(A1844,Tickets[TripKey],Tickets[Capacity]),0))</f>
        <v/>
      </c>
      <c r="K1844">
        <f>IF(A1844="","",I1844*J1844)</f>
        <v/>
      </c>
      <c r="L1844">
        <f>IF(A1844="","",IFERROR(MINIFS(Tickets[Trip Start Time],Tickets[TripKey],A1844),""))</f>
        <v/>
      </c>
    </row>
    <row r="1845">
      <c r="B1845" s="8">
        <f>IF(A1845="","",IFERROR(DATEVALUE(TEXTBEFORE(A1845,"|")),--LEFT(A1845,10)))</f>
        <v/>
      </c>
      <c r="C1845">
        <f>IF(A1845="","",TEXTBEFORE(TEXTAFTER(A1845,"|"),"|"))</f>
        <v/>
      </c>
      <c r="D1845">
        <f>IF(A1845="","",TEXTAFTER(A1845,"|",2))</f>
        <v/>
      </c>
      <c r="E1845">
        <f>IF(A1845="","",SUMIF(Tickets[TripKey],A1845,Tickets[TP]))</f>
        <v/>
      </c>
      <c r="F1845">
        <f>IF(A1845="","",SUMIF(Tickets[TripKey],A1845,Tickets[Revenue]))</f>
        <v/>
      </c>
      <c r="G1845">
        <f>IF(A1845="","",SUMIF(Tickets[TripKey],A1845,Tickets[PK]))</f>
        <v/>
      </c>
      <c r="H1845">
        <f>IF(A1845="","",IFERROR(XLOOKUP(A1845,Tickets[TripKey],Tickets[VehClean]),""))</f>
        <v/>
      </c>
      <c r="I1845">
        <f>IF(A1845="","",IFERROR(XLOOKUP(A1845,Tickets[TripKey],Tickets[RouteLen]),0))</f>
        <v/>
      </c>
      <c r="J1845">
        <f>IF(A1845="","",IFERROR(XLOOKUP(A1845,Tickets[TripKey],Tickets[Capacity]),0))</f>
        <v/>
      </c>
      <c r="K1845">
        <f>IF(A1845="","",I1845*J1845)</f>
        <v/>
      </c>
      <c r="L1845">
        <f>IF(A1845="","",IFERROR(MINIFS(Tickets[Trip Start Time],Tickets[TripKey],A1845),""))</f>
        <v/>
      </c>
    </row>
    <row r="1846">
      <c r="B1846" s="8">
        <f>IF(A1846="","",IFERROR(DATEVALUE(TEXTBEFORE(A1846,"|")),--LEFT(A1846,10)))</f>
        <v/>
      </c>
      <c r="C1846">
        <f>IF(A1846="","",TEXTBEFORE(TEXTAFTER(A1846,"|"),"|"))</f>
        <v/>
      </c>
      <c r="D1846">
        <f>IF(A1846="","",TEXTAFTER(A1846,"|",2))</f>
        <v/>
      </c>
      <c r="E1846">
        <f>IF(A1846="","",SUMIF(Tickets[TripKey],A1846,Tickets[TP]))</f>
        <v/>
      </c>
      <c r="F1846">
        <f>IF(A1846="","",SUMIF(Tickets[TripKey],A1846,Tickets[Revenue]))</f>
        <v/>
      </c>
      <c r="G1846">
        <f>IF(A1846="","",SUMIF(Tickets[TripKey],A1846,Tickets[PK]))</f>
        <v/>
      </c>
      <c r="H1846">
        <f>IF(A1846="","",IFERROR(XLOOKUP(A1846,Tickets[TripKey],Tickets[VehClean]),""))</f>
        <v/>
      </c>
      <c r="I1846">
        <f>IF(A1846="","",IFERROR(XLOOKUP(A1846,Tickets[TripKey],Tickets[RouteLen]),0))</f>
        <v/>
      </c>
      <c r="J1846">
        <f>IF(A1846="","",IFERROR(XLOOKUP(A1846,Tickets[TripKey],Tickets[Capacity]),0))</f>
        <v/>
      </c>
      <c r="K1846">
        <f>IF(A1846="","",I1846*J1846)</f>
        <v/>
      </c>
      <c r="L1846">
        <f>IF(A1846="","",IFERROR(MINIFS(Tickets[Trip Start Time],Tickets[TripKey],A1846),""))</f>
        <v/>
      </c>
    </row>
    <row r="1847">
      <c r="B1847" s="8">
        <f>IF(A1847="","",IFERROR(DATEVALUE(TEXTBEFORE(A1847,"|")),--LEFT(A1847,10)))</f>
        <v/>
      </c>
      <c r="C1847">
        <f>IF(A1847="","",TEXTBEFORE(TEXTAFTER(A1847,"|"),"|"))</f>
        <v/>
      </c>
      <c r="D1847">
        <f>IF(A1847="","",TEXTAFTER(A1847,"|",2))</f>
        <v/>
      </c>
      <c r="E1847">
        <f>IF(A1847="","",SUMIF(Tickets[TripKey],A1847,Tickets[TP]))</f>
        <v/>
      </c>
      <c r="F1847">
        <f>IF(A1847="","",SUMIF(Tickets[TripKey],A1847,Tickets[Revenue]))</f>
        <v/>
      </c>
      <c r="G1847">
        <f>IF(A1847="","",SUMIF(Tickets[TripKey],A1847,Tickets[PK]))</f>
        <v/>
      </c>
      <c r="H1847">
        <f>IF(A1847="","",IFERROR(XLOOKUP(A1847,Tickets[TripKey],Tickets[VehClean]),""))</f>
        <v/>
      </c>
      <c r="I1847">
        <f>IF(A1847="","",IFERROR(XLOOKUP(A1847,Tickets[TripKey],Tickets[RouteLen]),0))</f>
        <v/>
      </c>
      <c r="J1847">
        <f>IF(A1847="","",IFERROR(XLOOKUP(A1847,Tickets[TripKey],Tickets[Capacity]),0))</f>
        <v/>
      </c>
      <c r="K1847">
        <f>IF(A1847="","",I1847*J1847)</f>
        <v/>
      </c>
      <c r="L1847">
        <f>IF(A1847="","",IFERROR(MINIFS(Tickets[Trip Start Time],Tickets[TripKey],A1847),""))</f>
        <v/>
      </c>
    </row>
    <row r="1848">
      <c r="B1848" s="8">
        <f>IF(A1848="","",IFERROR(DATEVALUE(TEXTBEFORE(A1848,"|")),--LEFT(A1848,10)))</f>
        <v/>
      </c>
      <c r="C1848">
        <f>IF(A1848="","",TEXTBEFORE(TEXTAFTER(A1848,"|"),"|"))</f>
        <v/>
      </c>
      <c r="D1848">
        <f>IF(A1848="","",TEXTAFTER(A1848,"|",2))</f>
        <v/>
      </c>
      <c r="E1848">
        <f>IF(A1848="","",SUMIF(Tickets[TripKey],A1848,Tickets[TP]))</f>
        <v/>
      </c>
      <c r="F1848">
        <f>IF(A1848="","",SUMIF(Tickets[TripKey],A1848,Tickets[Revenue]))</f>
        <v/>
      </c>
      <c r="G1848">
        <f>IF(A1848="","",SUMIF(Tickets[TripKey],A1848,Tickets[PK]))</f>
        <v/>
      </c>
      <c r="H1848">
        <f>IF(A1848="","",IFERROR(XLOOKUP(A1848,Tickets[TripKey],Tickets[VehClean]),""))</f>
        <v/>
      </c>
      <c r="I1848">
        <f>IF(A1848="","",IFERROR(XLOOKUP(A1848,Tickets[TripKey],Tickets[RouteLen]),0))</f>
        <v/>
      </c>
      <c r="J1848">
        <f>IF(A1848="","",IFERROR(XLOOKUP(A1848,Tickets[TripKey],Tickets[Capacity]),0))</f>
        <v/>
      </c>
      <c r="K1848">
        <f>IF(A1848="","",I1848*J1848)</f>
        <v/>
      </c>
      <c r="L1848">
        <f>IF(A1848="","",IFERROR(MINIFS(Tickets[Trip Start Time],Tickets[TripKey],A1848),""))</f>
        <v/>
      </c>
    </row>
    <row r="1849">
      <c r="B1849" s="8">
        <f>IF(A1849="","",IFERROR(DATEVALUE(TEXTBEFORE(A1849,"|")),--LEFT(A1849,10)))</f>
        <v/>
      </c>
      <c r="C1849">
        <f>IF(A1849="","",TEXTBEFORE(TEXTAFTER(A1849,"|"),"|"))</f>
        <v/>
      </c>
      <c r="D1849">
        <f>IF(A1849="","",TEXTAFTER(A1849,"|",2))</f>
        <v/>
      </c>
      <c r="E1849">
        <f>IF(A1849="","",SUMIF(Tickets[TripKey],A1849,Tickets[TP]))</f>
        <v/>
      </c>
      <c r="F1849">
        <f>IF(A1849="","",SUMIF(Tickets[TripKey],A1849,Tickets[Revenue]))</f>
        <v/>
      </c>
      <c r="G1849">
        <f>IF(A1849="","",SUMIF(Tickets[TripKey],A1849,Tickets[PK]))</f>
        <v/>
      </c>
      <c r="H1849">
        <f>IF(A1849="","",IFERROR(XLOOKUP(A1849,Tickets[TripKey],Tickets[VehClean]),""))</f>
        <v/>
      </c>
      <c r="I1849">
        <f>IF(A1849="","",IFERROR(XLOOKUP(A1849,Tickets[TripKey],Tickets[RouteLen]),0))</f>
        <v/>
      </c>
      <c r="J1849">
        <f>IF(A1849="","",IFERROR(XLOOKUP(A1849,Tickets[TripKey],Tickets[Capacity]),0))</f>
        <v/>
      </c>
      <c r="K1849">
        <f>IF(A1849="","",I1849*J1849)</f>
        <v/>
      </c>
      <c r="L1849">
        <f>IF(A1849="","",IFERROR(MINIFS(Tickets[Trip Start Time],Tickets[TripKey],A1849),""))</f>
        <v/>
      </c>
    </row>
    <row r="1850">
      <c r="B1850" s="8">
        <f>IF(A1850="","",IFERROR(DATEVALUE(TEXTBEFORE(A1850,"|")),--LEFT(A1850,10)))</f>
        <v/>
      </c>
      <c r="C1850">
        <f>IF(A1850="","",TEXTBEFORE(TEXTAFTER(A1850,"|"),"|"))</f>
        <v/>
      </c>
      <c r="D1850">
        <f>IF(A1850="","",TEXTAFTER(A1850,"|",2))</f>
        <v/>
      </c>
      <c r="E1850">
        <f>IF(A1850="","",SUMIF(Tickets[TripKey],A1850,Tickets[TP]))</f>
        <v/>
      </c>
      <c r="F1850">
        <f>IF(A1850="","",SUMIF(Tickets[TripKey],A1850,Tickets[Revenue]))</f>
        <v/>
      </c>
      <c r="G1850">
        <f>IF(A1850="","",SUMIF(Tickets[TripKey],A1850,Tickets[PK]))</f>
        <v/>
      </c>
      <c r="H1850">
        <f>IF(A1850="","",IFERROR(XLOOKUP(A1850,Tickets[TripKey],Tickets[VehClean]),""))</f>
        <v/>
      </c>
      <c r="I1850">
        <f>IF(A1850="","",IFERROR(XLOOKUP(A1850,Tickets[TripKey],Tickets[RouteLen]),0))</f>
        <v/>
      </c>
      <c r="J1850">
        <f>IF(A1850="","",IFERROR(XLOOKUP(A1850,Tickets[TripKey],Tickets[Capacity]),0))</f>
        <v/>
      </c>
      <c r="K1850">
        <f>IF(A1850="","",I1850*J1850)</f>
        <v/>
      </c>
      <c r="L1850">
        <f>IF(A1850="","",IFERROR(MINIFS(Tickets[Trip Start Time],Tickets[TripKey],A1850),""))</f>
        <v/>
      </c>
    </row>
    <row r="1851">
      <c r="B1851" s="8">
        <f>IF(A1851="","",IFERROR(DATEVALUE(TEXTBEFORE(A1851,"|")),--LEFT(A1851,10)))</f>
        <v/>
      </c>
      <c r="C1851">
        <f>IF(A1851="","",TEXTBEFORE(TEXTAFTER(A1851,"|"),"|"))</f>
        <v/>
      </c>
      <c r="D1851">
        <f>IF(A1851="","",TEXTAFTER(A1851,"|",2))</f>
        <v/>
      </c>
      <c r="E1851">
        <f>IF(A1851="","",SUMIF(Tickets[TripKey],A1851,Tickets[TP]))</f>
        <v/>
      </c>
      <c r="F1851">
        <f>IF(A1851="","",SUMIF(Tickets[TripKey],A1851,Tickets[Revenue]))</f>
        <v/>
      </c>
      <c r="G1851">
        <f>IF(A1851="","",SUMIF(Tickets[TripKey],A1851,Tickets[PK]))</f>
        <v/>
      </c>
      <c r="H1851">
        <f>IF(A1851="","",IFERROR(XLOOKUP(A1851,Tickets[TripKey],Tickets[VehClean]),""))</f>
        <v/>
      </c>
      <c r="I1851">
        <f>IF(A1851="","",IFERROR(XLOOKUP(A1851,Tickets[TripKey],Tickets[RouteLen]),0))</f>
        <v/>
      </c>
      <c r="J1851">
        <f>IF(A1851="","",IFERROR(XLOOKUP(A1851,Tickets[TripKey],Tickets[Capacity]),0))</f>
        <v/>
      </c>
      <c r="K1851">
        <f>IF(A1851="","",I1851*J1851)</f>
        <v/>
      </c>
      <c r="L1851">
        <f>IF(A1851="","",IFERROR(MINIFS(Tickets[Trip Start Time],Tickets[TripKey],A1851),""))</f>
        <v/>
      </c>
    </row>
    <row r="1852">
      <c r="B1852" s="8">
        <f>IF(A1852="","",IFERROR(DATEVALUE(TEXTBEFORE(A1852,"|")),--LEFT(A1852,10)))</f>
        <v/>
      </c>
      <c r="C1852">
        <f>IF(A1852="","",TEXTBEFORE(TEXTAFTER(A1852,"|"),"|"))</f>
        <v/>
      </c>
      <c r="D1852">
        <f>IF(A1852="","",TEXTAFTER(A1852,"|",2))</f>
        <v/>
      </c>
      <c r="E1852">
        <f>IF(A1852="","",SUMIF(Tickets[TripKey],A1852,Tickets[TP]))</f>
        <v/>
      </c>
      <c r="F1852">
        <f>IF(A1852="","",SUMIF(Tickets[TripKey],A1852,Tickets[Revenue]))</f>
        <v/>
      </c>
      <c r="G1852">
        <f>IF(A1852="","",SUMIF(Tickets[TripKey],A1852,Tickets[PK]))</f>
        <v/>
      </c>
      <c r="H1852">
        <f>IF(A1852="","",IFERROR(XLOOKUP(A1852,Tickets[TripKey],Tickets[VehClean]),""))</f>
        <v/>
      </c>
      <c r="I1852">
        <f>IF(A1852="","",IFERROR(XLOOKUP(A1852,Tickets[TripKey],Tickets[RouteLen]),0))</f>
        <v/>
      </c>
      <c r="J1852">
        <f>IF(A1852="","",IFERROR(XLOOKUP(A1852,Tickets[TripKey],Tickets[Capacity]),0))</f>
        <v/>
      </c>
      <c r="K1852">
        <f>IF(A1852="","",I1852*J1852)</f>
        <v/>
      </c>
      <c r="L1852">
        <f>IF(A1852="","",IFERROR(MINIFS(Tickets[Trip Start Time],Tickets[TripKey],A1852),""))</f>
        <v/>
      </c>
    </row>
    <row r="1853">
      <c r="B1853" s="8">
        <f>IF(A1853="","",IFERROR(DATEVALUE(TEXTBEFORE(A1853,"|")),--LEFT(A1853,10)))</f>
        <v/>
      </c>
      <c r="C1853">
        <f>IF(A1853="","",TEXTBEFORE(TEXTAFTER(A1853,"|"),"|"))</f>
        <v/>
      </c>
      <c r="D1853">
        <f>IF(A1853="","",TEXTAFTER(A1853,"|",2))</f>
        <v/>
      </c>
      <c r="E1853">
        <f>IF(A1853="","",SUMIF(Tickets[TripKey],A1853,Tickets[TP]))</f>
        <v/>
      </c>
      <c r="F1853">
        <f>IF(A1853="","",SUMIF(Tickets[TripKey],A1853,Tickets[Revenue]))</f>
        <v/>
      </c>
      <c r="G1853">
        <f>IF(A1853="","",SUMIF(Tickets[TripKey],A1853,Tickets[PK]))</f>
        <v/>
      </c>
      <c r="H1853">
        <f>IF(A1853="","",IFERROR(XLOOKUP(A1853,Tickets[TripKey],Tickets[VehClean]),""))</f>
        <v/>
      </c>
      <c r="I1853">
        <f>IF(A1853="","",IFERROR(XLOOKUP(A1853,Tickets[TripKey],Tickets[RouteLen]),0))</f>
        <v/>
      </c>
      <c r="J1853">
        <f>IF(A1853="","",IFERROR(XLOOKUP(A1853,Tickets[TripKey],Tickets[Capacity]),0))</f>
        <v/>
      </c>
      <c r="K1853">
        <f>IF(A1853="","",I1853*J1853)</f>
        <v/>
      </c>
      <c r="L1853">
        <f>IF(A1853="","",IFERROR(MINIFS(Tickets[Trip Start Time],Tickets[TripKey],A1853),""))</f>
        <v/>
      </c>
    </row>
    <row r="1854">
      <c r="B1854" s="8">
        <f>IF(A1854="","",IFERROR(DATEVALUE(TEXTBEFORE(A1854,"|")),--LEFT(A1854,10)))</f>
        <v/>
      </c>
      <c r="C1854">
        <f>IF(A1854="","",TEXTBEFORE(TEXTAFTER(A1854,"|"),"|"))</f>
        <v/>
      </c>
      <c r="D1854">
        <f>IF(A1854="","",TEXTAFTER(A1854,"|",2))</f>
        <v/>
      </c>
      <c r="E1854">
        <f>IF(A1854="","",SUMIF(Tickets[TripKey],A1854,Tickets[TP]))</f>
        <v/>
      </c>
      <c r="F1854">
        <f>IF(A1854="","",SUMIF(Tickets[TripKey],A1854,Tickets[Revenue]))</f>
        <v/>
      </c>
      <c r="G1854">
        <f>IF(A1854="","",SUMIF(Tickets[TripKey],A1854,Tickets[PK]))</f>
        <v/>
      </c>
      <c r="H1854">
        <f>IF(A1854="","",IFERROR(XLOOKUP(A1854,Tickets[TripKey],Tickets[VehClean]),""))</f>
        <v/>
      </c>
      <c r="I1854">
        <f>IF(A1854="","",IFERROR(XLOOKUP(A1854,Tickets[TripKey],Tickets[RouteLen]),0))</f>
        <v/>
      </c>
      <c r="J1854">
        <f>IF(A1854="","",IFERROR(XLOOKUP(A1854,Tickets[TripKey],Tickets[Capacity]),0))</f>
        <v/>
      </c>
      <c r="K1854">
        <f>IF(A1854="","",I1854*J1854)</f>
        <v/>
      </c>
      <c r="L1854">
        <f>IF(A1854="","",IFERROR(MINIFS(Tickets[Trip Start Time],Tickets[TripKey],A1854),""))</f>
        <v/>
      </c>
    </row>
    <row r="1855">
      <c r="B1855" s="8">
        <f>IF(A1855="","",IFERROR(DATEVALUE(TEXTBEFORE(A1855,"|")),--LEFT(A1855,10)))</f>
        <v/>
      </c>
      <c r="C1855">
        <f>IF(A1855="","",TEXTBEFORE(TEXTAFTER(A1855,"|"),"|"))</f>
        <v/>
      </c>
      <c r="D1855">
        <f>IF(A1855="","",TEXTAFTER(A1855,"|",2))</f>
        <v/>
      </c>
      <c r="E1855">
        <f>IF(A1855="","",SUMIF(Tickets[TripKey],A1855,Tickets[TP]))</f>
        <v/>
      </c>
      <c r="F1855">
        <f>IF(A1855="","",SUMIF(Tickets[TripKey],A1855,Tickets[Revenue]))</f>
        <v/>
      </c>
      <c r="G1855">
        <f>IF(A1855="","",SUMIF(Tickets[TripKey],A1855,Tickets[PK]))</f>
        <v/>
      </c>
      <c r="H1855">
        <f>IF(A1855="","",IFERROR(XLOOKUP(A1855,Tickets[TripKey],Tickets[VehClean]),""))</f>
        <v/>
      </c>
      <c r="I1855">
        <f>IF(A1855="","",IFERROR(XLOOKUP(A1855,Tickets[TripKey],Tickets[RouteLen]),0))</f>
        <v/>
      </c>
      <c r="J1855">
        <f>IF(A1855="","",IFERROR(XLOOKUP(A1855,Tickets[TripKey],Tickets[Capacity]),0))</f>
        <v/>
      </c>
      <c r="K1855">
        <f>IF(A1855="","",I1855*J1855)</f>
        <v/>
      </c>
      <c r="L1855">
        <f>IF(A1855="","",IFERROR(MINIFS(Tickets[Trip Start Time],Tickets[TripKey],A1855),""))</f>
        <v/>
      </c>
    </row>
    <row r="1856">
      <c r="B1856" s="8">
        <f>IF(A1856="","",IFERROR(DATEVALUE(TEXTBEFORE(A1856,"|")),--LEFT(A1856,10)))</f>
        <v/>
      </c>
      <c r="C1856">
        <f>IF(A1856="","",TEXTBEFORE(TEXTAFTER(A1856,"|"),"|"))</f>
        <v/>
      </c>
      <c r="D1856">
        <f>IF(A1856="","",TEXTAFTER(A1856,"|",2))</f>
        <v/>
      </c>
      <c r="E1856">
        <f>IF(A1856="","",SUMIF(Tickets[TripKey],A1856,Tickets[TP]))</f>
        <v/>
      </c>
      <c r="F1856">
        <f>IF(A1856="","",SUMIF(Tickets[TripKey],A1856,Tickets[Revenue]))</f>
        <v/>
      </c>
      <c r="G1856">
        <f>IF(A1856="","",SUMIF(Tickets[TripKey],A1856,Tickets[PK]))</f>
        <v/>
      </c>
      <c r="H1856">
        <f>IF(A1856="","",IFERROR(XLOOKUP(A1856,Tickets[TripKey],Tickets[VehClean]),""))</f>
        <v/>
      </c>
      <c r="I1856">
        <f>IF(A1856="","",IFERROR(XLOOKUP(A1856,Tickets[TripKey],Tickets[RouteLen]),0))</f>
        <v/>
      </c>
      <c r="J1856">
        <f>IF(A1856="","",IFERROR(XLOOKUP(A1856,Tickets[TripKey],Tickets[Capacity]),0))</f>
        <v/>
      </c>
      <c r="K1856">
        <f>IF(A1856="","",I1856*J1856)</f>
        <v/>
      </c>
      <c r="L1856">
        <f>IF(A1856="","",IFERROR(MINIFS(Tickets[Trip Start Time],Tickets[TripKey],A1856),""))</f>
        <v/>
      </c>
    </row>
    <row r="1857">
      <c r="B1857" s="8">
        <f>IF(A1857="","",IFERROR(DATEVALUE(TEXTBEFORE(A1857,"|")),--LEFT(A1857,10)))</f>
        <v/>
      </c>
      <c r="C1857">
        <f>IF(A1857="","",TEXTBEFORE(TEXTAFTER(A1857,"|"),"|"))</f>
        <v/>
      </c>
      <c r="D1857">
        <f>IF(A1857="","",TEXTAFTER(A1857,"|",2))</f>
        <v/>
      </c>
      <c r="E1857">
        <f>IF(A1857="","",SUMIF(Tickets[TripKey],A1857,Tickets[TP]))</f>
        <v/>
      </c>
      <c r="F1857">
        <f>IF(A1857="","",SUMIF(Tickets[TripKey],A1857,Tickets[Revenue]))</f>
        <v/>
      </c>
      <c r="G1857">
        <f>IF(A1857="","",SUMIF(Tickets[TripKey],A1857,Tickets[PK]))</f>
        <v/>
      </c>
      <c r="H1857">
        <f>IF(A1857="","",IFERROR(XLOOKUP(A1857,Tickets[TripKey],Tickets[VehClean]),""))</f>
        <v/>
      </c>
      <c r="I1857">
        <f>IF(A1857="","",IFERROR(XLOOKUP(A1857,Tickets[TripKey],Tickets[RouteLen]),0))</f>
        <v/>
      </c>
      <c r="J1857">
        <f>IF(A1857="","",IFERROR(XLOOKUP(A1857,Tickets[TripKey],Tickets[Capacity]),0))</f>
        <v/>
      </c>
      <c r="K1857">
        <f>IF(A1857="","",I1857*J1857)</f>
        <v/>
      </c>
      <c r="L1857">
        <f>IF(A1857="","",IFERROR(MINIFS(Tickets[Trip Start Time],Tickets[TripKey],A1857),""))</f>
        <v/>
      </c>
    </row>
    <row r="1858">
      <c r="B1858" s="8">
        <f>IF(A1858="","",IFERROR(DATEVALUE(TEXTBEFORE(A1858,"|")),--LEFT(A1858,10)))</f>
        <v/>
      </c>
      <c r="C1858">
        <f>IF(A1858="","",TEXTBEFORE(TEXTAFTER(A1858,"|"),"|"))</f>
        <v/>
      </c>
      <c r="D1858">
        <f>IF(A1858="","",TEXTAFTER(A1858,"|",2))</f>
        <v/>
      </c>
      <c r="E1858">
        <f>IF(A1858="","",SUMIF(Tickets[TripKey],A1858,Tickets[TP]))</f>
        <v/>
      </c>
      <c r="F1858">
        <f>IF(A1858="","",SUMIF(Tickets[TripKey],A1858,Tickets[Revenue]))</f>
        <v/>
      </c>
      <c r="G1858">
        <f>IF(A1858="","",SUMIF(Tickets[TripKey],A1858,Tickets[PK]))</f>
        <v/>
      </c>
      <c r="H1858">
        <f>IF(A1858="","",IFERROR(XLOOKUP(A1858,Tickets[TripKey],Tickets[VehClean]),""))</f>
        <v/>
      </c>
      <c r="I1858">
        <f>IF(A1858="","",IFERROR(XLOOKUP(A1858,Tickets[TripKey],Tickets[RouteLen]),0))</f>
        <v/>
      </c>
      <c r="J1858">
        <f>IF(A1858="","",IFERROR(XLOOKUP(A1858,Tickets[TripKey],Tickets[Capacity]),0))</f>
        <v/>
      </c>
      <c r="K1858">
        <f>IF(A1858="","",I1858*J1858)</f>
        <v/>
      </c>
      <c r="L1858">
        <f>IF(A1858="","",IFERROR(MINIFS(Tickets[Trip Start Time],Tickets[TripKey],A1858),""))</f>
        <v/>
      </c>
    </row>
    <row r="1859">
      <c r="B1859" s="8">
        <f>IF(A1859="","",IFERROR(DATEVALUE(TEXTBEFORE(A1859,"|")),--LEFT(A1859,10)))</f>
        <v/>
      </c>
      <c r="C1859">
        <f>IF(A1859="","",TEXTBEFORE(TEXTAFTER(A1859,"|"),"|"))</f>
        <v/>
      </c>
      <c r="D1859">
        <f>IF(A1859="","",TEXTAFTER(A1859,"|",2))</f>
        <v/>
      </c>
      <c r="E1859">
        <f>IF(A1859="","",SUMIF(Tickets[TripKey],A1859,Tickets[TP]))</f>
        <v/>
      </c>
      <c r="F1859">
        <f>IF(A1859="","",SUMIF(Tickets[TripKey],A1859,Tickets[Revenue]))</f>
        <v/>
      </c>
      <c r="G1859">
        <f>IF(A1859="","",SUMIF(Tickets[TripKey],A1859,Tickets[PK]))</f>
        <v/>
      </c>
      <c r="H1859">
        <f>IF(A1859="","",IFERROR(XLOOKUP(A1859,Tickets[TripKey],Tickets[VehClean]),""))</f>
        <v/>
      </c>
      <c r="I1859">
        <f>IF(A1859="","",IFERROR(XLOOKUP(A1859,Tickets[TripKey],Tickets[RouteLen]),0))</f>
        <v/>
      </c>
      <c r="J1859">
        <f>IF(A1859="","",IFERROR(XLOOKUP(A1859,Tickets[TripKey],Tickets[Capacity]),0))</f>
        <v/>
      </c>
      <c r="K1859">
        <f>IF(A1859="","",I1859*J1859)</f>
        <v/>
      </c>
      <c r="L1859">
        <f>IF(A1859="","",IFERROR(MINIFS(Tickets[Trip Start Time],Tickets[TripKey],A1859),""))</f>
        <v/>
      </c>
    </row>
    <row r="1860">
      <c r="B1860" s="8">
        <f>IF(A1860="","",IFERROR(DATEVALUE(TEXTBEFORE(A1860,"|")),--LEFT(A1860,10)))</f>
        <v/>
      </c>
      <c r="C1860">
        <f>IF(A1860="","",TEXTBEFORE(TEXTAFTER(A1860,"|"),"|"))</f>
        <v/>
      </c>
      <c r="D1860">
        <f>IF(A1860="","",TEXTAFTER(A1860,"|",2))</f>
        <v/>
      </c>
      <c r="E1860">
        <f>IF(A1860="","",SUMIF(Tickets[TripKey],A1860,Tickets[TP]))</f>
        <v/>
      </c>
      <c r="F1860">
        <f>IF(A1860="","",SUMIF(Tickets[TripKey],A1860,Tickets[Revenue]))</f>
        <v/>
      </c>
      <c r="G1860">
        <f>IF(A1860="","",SUMIF(Tickets[TripKey],A1860,Tickets[PK]))</f>
        <v/>
      </c>
      <c r="H1860">
        <f>IF(A1860="","",IFERROR(XLOOKUP(A1860,Tickets[TripKey],Tickets[VehClean]),""))</f>
        <v/>
      </c>
      <c r="I1860">
        <f>IF(A1860="","",IFERROR(XLOOKUP(A1860,Tickets[TripKey],Tickets[RouteLen]),0))</f>
        <v/>
      </c>
      <c r="J1860">
        <f>IF(A1860="","",IFERROR(XLOOKUP(A1860,Tickets[TripKey],Tickets[Capacity]),0))</f>
        <v/>
      </c>
      <c r="K1860">
        <f>IF(A1860="","",I1860*J1860)</f>
        <v/>
      </c>
      <c r="L1860">
        <f>IF(A1860="","",IFERROR(MINIFS(Tickets[Trip Start Time],Tickets[TripKey],A1860),""))</f>
        <v/>
      </c>
    </row>
    <row r="1861">
      <c r="B1861" s="8">
        <f>IF(A1861="","",IFERROR(DATEVALUE(TEXTBEFORE(A1861,"|")),--LEFT(A1861,10)))</f>
        <v/>
      </c>
      <c r="C1861">
        <f>IF(A1861="","",TEXTBEFORE(TEXTAFTER(A1861,"|"),"|"))</f>
        <v/>
      </c>
      <c r="D1861">
        <f>IF(A1861="","",TEXTAFTER(A1861,"|",2))</f>
        <v/>
      </c>
      <c r="E1861">
        <f>IF(A1861="","",SUMIF(Tickets[TripKey],A1861,Tickets[TP]))</f>
        <v/>
      </c>
      <c r="F1861">
        <f>IF(A1861="","",SUMIF(Tickets[TripKey],A1861,Tickets[Revenue]))</f>
        <v/>
      </c>
      <c r="G1861">
        <f>IF(A1861="","",SUMIF(Tickets[TripKey],A1861,Tickets[PK]))</f>
        <v/>
      </c>
      <c r="H1861">
        <f>IF(A1861="","",IFERROR(XLOOKUP(A1861,Tickets[TripKey],Tickets[VehClean]),""))</f>
        <v/>
      </c>
      <c r="I1861">
        <f>IF(A1861="","",IFERROR(XLOOKUP(A1861,Tickets[TripKey],Tickets[RouteLen]),0))</f>
        <v/>
      </c>
      <c r="J1861">
        <f>IF(A1861="","",IFERROR(XLOOKUP(A1861,Tickets[TripKey],Tickets[Capacity]),0))</f>
        <v/>
      </c>
      <c r="K1861">
        <f>IF(A1861="","",I1861*J1861)</f>
        <v/>
      </c>
      <c r="L1861">
        <f>IF(A1861="","",IFERROR(MINIFS(Tickets[Trip Start Time],Tickets[TripKey],A1861),""))</f>
        <v/>
      </c>
    </row>
    <row r="1862">
      <c r="B1862" s="8">
        <f>IF(A1862="","",IFERROR(DATEVALUE(TEXTBEFORE(A1862,"|")),--LEFT(A1862,10)))</f>
        <v/>
      </c>
      <c r="C1862">
        <f>IF(A1862="","",TEXTBEFORE(TEXTAFTER(A1862,"|"),"|"))</f>
        <v/>
      </c>
      <c r="D1862">
        <f>IF(A1862="","",TEXTAFTER(A1862,"|",2))</f>
        <v/>
      </c>
      <c r="E1862">
        <f>IF(A1862="","",SUMIF(Tickets[TripKey],A1862,Tickets[TP]))</f>
        <v/>
      </c>
      <c r="F1862">
        <f>IF(A1862="","",SUMIF(Tickets[TripKey],A1862,Tickets[Revenue]))</f>
        <v/>
      </c>
      <c r="G1862">
        <f>IF(A1862="","",SUMIF(Tickets[TripKey],A1862,Tickets[PK]))</f>
        <v/>
      </c>
      <c r="H1862">
        <f>IF(A1862="","",IFERROR(XLOOKUP(A1862,Tickets[TripKey],Tickets[VehClean]),""))</f>
        <v/>
      </c>
      <c r="I1862">
        <f>IF(A1862="","",IFERROR(XLOOKUP(A1862,Tickets[TripKey],Tickets[RouteLen]),0))</f>
        <v/>
      </c>
      <c r="J1862">
        <f>IF(A1862="","",IFERROR(XLOOKUP(A1862,Tickets[TripKey],Tickets[Capacity]),0))</f>
        <v/>
      </c>
      <c r="K1862">
        <f>IF(A1862="","",I1862*J1862)</f>
        <v/>
      </c>
      <c r="L1862">
        <f>IF(A1862="","",IFERROR(MINIFS(Tickets[Trip Start Time],Tickets[TripKey],A1862),""))</f>
        <v/>
      </c>
    </row>
    <row r="1863">
      <c r="B1863" s="8">
        <f>IF(A1863="","",IFERROR(DATEVALUE(TEXTBEFORE(A1863,"|")),--LEFT(A1863,10)))</f>
        <v/>
      </c>
      <c r="C1863">
        <f>IF(A1863="","",TEXTBEFORE(TEXTAFTER(A1863,"|"),"|"))</f>
        <v/>
      </c>
      <c r="D1863">
        <f>IF(A1863="","",TEXTAFTER(A1863,"|",2))</f>
        <v/>
      </c>
      <c r="E1863">
        <f>IF(A1863="","",SUMIF(Tickets[TripKey],A1863,Tickets[TP]))</f>
        <v/>
      </c>
      <c r="F1863">
        <f>IF(A1863="","",SUMIF(Tickets[TripKey],A1863,Tickets[Revenue]))</f>
        <v/>
      </c>
      <c r="G1863">
        <f>IF(A1863="","",SUMIF(Tickets[TripKey],A1863,Tickets[PK]))</f>
        <v/>
      </c>
      <c r="H1863">
        <f>IF(A1863="","",IFERROR(XLOOKUP(A1863,Tickets[TripKey],Tickets[VehClean]),""))</f>
        <v/>
      </c>
      <c r="I1863">
        <f>IF(A1863="","",IFERROR(XLOOKUP(A1863,Tickets[TripKey],Tickets[RouteLen]),0))</f>
        <v/>
      </c>
      <c r="J1863">
        <f>IF(A1863="","",IFERROR(XLOOKUP(A1863,Tickets[TripKey],Tickets[Capacity]),0))</f>
        <v/>
      </c>
      <c r="K1863">
        <f>IF(A1863="","",I1863*J1863)</f>
        <v/>
      </c>
      <c r="L1863">
        <f>IF(A1863="","",IFERROR(MINIFS(Tickets[Trip Start Time],Tickets[TripKey],A1863),""))</f>
        <v/>
      </c>
    </row>
    <row r="1864">
      <c r="B1864" s="8">
        <f>IF(A1864="","",IFERROR(DATEVALUE(TEXTBEFORE(A1864,"|")),--LEFT(A1864,10)))</f>
        <v/>
      </c>
      <c r="C1864">
        <f>IF(A1864="","",TEXTBEFORE(TEXTAFTER(A1864,"|"),"|"))</f>
        <v/>
      </c>
      <c r="D1864">
        <f>IF(A1864="","",TEXTAFTER(A1864,"|",2))</f>
        <v/>
      </c>
      <c r="E1864">
        <f>IF(A1864="","",SUMIF(Tickets[TripKey],A1864,Tickets[TP]))</f>
        <v/>
      </c>
      <c r="F1864">
        <f>IF(A1864="","",SUMIF(Tickets[TripKey],A1864,Tickets[Revenue]))</f>
        <v/>
      </c>
      <c r="G1864">
        <f>IF(A1864="","",SUMIF(Tickets[TripKey],A1864,Tickets[PK]))</f>
        <v/>
      </c>
      <c r="H1864">
        <f>IF(A1864="","",IFERROR(XLOOKUP(A1864,Tickets[TripKey],Tickets[VehClean]),""))</f>
        <v/>
      </c>
      <c r="I1864">
        <f>IF(A1864="","",IFERROR(XLOOKUP(A1864,Tickets[TripKey],Tickets[RouteLen]),0))</f>
        <v/>
      </c>
      <c r="J1864">
        <f>IF(A1864="","",IFERROR(XLOOKUP(A1864,Tickets[TripKey],Tickets[Capacity]),0))</f>
        <v/>
      </c>
      <c r="K1864">
        <f>IF(A1864="","",I1864*J1864)</f>
        <v/>
      </c>
      <c r="L1864">
        <f>IF(A1864="","",IFERROR(MINIFS(Tickets[Trip Start Time],Tickets[TripKey],A1864),""))</f>
        <v/>
      </c>
    </row>
    <row r="1865">
      <c r="B1865" s="8">
        <f>IF(A1865="","",IFERROR(DATEVALUE(TEXTBEFORE(A1865,"|")),--LEFT(A1865,10)))</f>
        <v/>
      </c>
      <c r="C1865">
        <f>IF(A1865="","",TEXTBEFORE(TEXTAFTER(A1865,"|"),"|"))</f>
        <v/>
      </c>
      <c r="D1865">
        <f>IF(A1865="","",TEXTAFTER(A1865,"|",2))</f>
        <v/>
      </c>
      <c r="E1865">
        <f>IF(A1865="","",SUMIF(Tickets[TripKey],A1865,Tickets[TP]))</f>
        <v/>
      </c>
      <c r="F1865">
        <f>IF(A1865="","",SUMIF(Tickets[TripKey],A1865,Tickets[Revenue]))</f>
        <v/>
      </c>
      <c r="G1865">
        <f>IF(A1865="","",SUMIF(Tickets[TripKey],A1865,Tickets[PK]))</f>
        <v/>
      </c>
      <c r="H1865">
        <f>IF(A1865="","",IFERROR(XLOOKUP(A1865,Tickets[TripKey],Tickets[VehClean]),""))</f>
        <v/>
      </c>
      <c r="I1865">
        <f>IF(A1865="","",IFERROR(XLOOKUP(A1865,Tickets[TripKey],Tickets[RouteLen]),0))</f>
        <v/>
      </c>
      <c r="J1865">
        <f>IF(A1865="","",IFERROR(XLOOKUP(A1865,Tickets[TripKey],Tickets[Capacity]),0))</f>
        <v/>
      </c>
      <c r="K1865">
        <f>IF(A1865="","",I1865*J1865)</f>
        <v/>
      </c>
      <c r="L1865">
        <f>IF(A1865="","",IFERROR(MINIFS(Tickets[Trip Start Time],Tickets[TripKey],A1865),""))</f>
        <v/>
      </c>
    </row>
    <row r="1866">
      <c r="B1866" s="8">
        <f>IF(A1866="","",IFERROR(DATEVALUE(TEXTBEFORE(A1866,"|")),--LEFT(A1866,10)))</f>
        <v/>
      </c>
      <c r="C1866">
        <f>IF(A1866="","",TEXTBEFORE(TEXTAFTER(A1866,"|"),"|"))</f>
        <v/>
      </c>
      <c r="D1866">
        <f>IF(A1866="","",TEXTAFTER(A1866,"|",2))</f>
        <v/>
      </c>
      <c r="E1866">
        <f>IF(A1866="","",SUMIF(Tickets[TripKey],A1866,Tickets[TP]))</f>
        <v/>
      </c>
      <c r="F1866">
        <f>IF(A1866="","",SUMIF(Tickets[TripKey],A1866,Tickets[Revenue]))</f>
        <v/>
      </c>
      <c r="G1866">
        <f>IF(A1866="","",SUMIF(Tickets[TripKey],A1866,Tickets[PK]))</f>
        <v/>
      </c>
      <c r="H1866">
        <f>IF(A1866="","",IFERROR(XLOOKUP(A1866,Tickets[TripKey],Tickets[VehClean]),""))</f>
        <v/>
      </c>
      <c r="I1866">
        <f>IF(A1866="","",IFERROR(XLOOKUP(A1866,Tickets[TripKey],Tickets[RouteLen]),0))</f>
        <v/>
      </c>
      <c r="J1866">
        <f>IF(A1866="","",IFERROR(XLOOKUP(A1866,Tickets[TripKey],Tickets[Capacity]),0))</f>
        <v/>
      </c>
      <c r="K1866">
        <f>IF(A1866="","",I1866*J1866)</f>
        <v/>
      </c>
      <c r="L1866">
        <f>IF(A1866="","",IFERROR(MINIFS(Tickets[Trip Start Time],Tickets[TripKey],A1866),""))</f>
        <v/>
      </c>
    </row>
    <row r="1867">
      <c r="B1867" s="8">
        <f>IF(A1867="","",IFERROR(DATEVALUE(TEXTBEFORE(A1867,"|")),--LEFT(A1867,10)))</f>
        <v/>
      </c>
      <c r="C1867">
        <f>IF(A1867="","",TEXTBEFORE(TEXTAFTER(A1867,"|"),"|"))</f>
        <v/>
      </c>
      <c r="D1867">
        <f>IF(A1867="","",TEXTAFTER(A1867,"|",2))</f>
        <v/>
      </c>
      <c r="E1867">
        <f>IF(A1867="","",SUMIF(Tickets[TripKey],A1867,Tickets[TP]))</f>
        <v/>
      </c>
      <c r="F1867">
        <f>IF(A1867="","",SUMIF(Tickets[TripKey],A1867,Tickets[Revenue]))</f>
        <v/>
      </c>
      <c r="G1867">
        <f>IF(A1867="","",SUMIF(Tickets[TripKey],A1867,Tickets[PK]))</f>
        <v/>
      </c>
      <c r="H1867">
        <f>IF(A1867="","",IFERROR(XLOOKUP(A1867,Tickets[TripKey],Tickets[VehClean]),""))</f>
        <v/>
      </c>
      <c r="I1867">
        <f>IF(A1867="","",IFERROR(XLOOKUP(A1867,Tickets[TripKey],Tickets[RouteLen]),0))</f>
        <v/>
      </c>
      <c r="J1867">
        <f>IF(A1867="","",IFERROR(XLOOKUP(A1867,Tickets[TripKey],Tickets[Capacity]),0))</f>
        <v/>
      </c>
      <c r="K1867">
        <f>IF(A1867="","",I1867*J1867)</f>
        <v/>
      </c>
      <c r="L1867">
        <f>IF(A1867="","",IFERROR(MINIFS(Tickets[Trip Start Time],Tickets[TripKey],A1867),""))</f>
        <v/>
      </c>
    </row>
    <row r="1868">
      <c r="B1868" s="8">
        <f>IF(A1868="","",IFERROR(DATEVALUE(TEXTBEFORE(A1868,"|")),--LEFT(A1868,10)))</f>
        <v/>
      </c>
      <c r="C1868">
        <f>IF(A1868="","",TEXTBEFORE(TEXTAFTER(A1868,"|"),"|"))</f>
        <v/>
      </c>
      <c r="D1868">
        <f>IF(A1868="","",TEXTAFTER(A1868,"|",2))</f>
        <v/>
      </c>
      <c r="E1868">
        <f>IF(A1868="","",SUMIF(Tickets[TripKey],A1868,Tickets[TP]))</f>
        <v/>
      </c>
      <c r="F1868">
        <f>IF(A1868="","",SUMIF(Tickets[TripKey],A1868,Tickets[Revenue]))</f>
        <v/>
      </c>
      <c r="G1868">
        <f>IF(A1868="","",SUMIF(Tickets[TripKey],A1868,Tickets[PK]))</f>
        <v/>
      </c>
      <c r="H1868">
        <f>IF(A1868="","",IFERROR(XLOOKUP(A1868,Tickets[TripKey],Tickets[VehClean]),""))</f>
        <v/>
      </c>
      <c r="I1868">
        <f>IF(A1868="","",IFERROR(XLOOKUP(A1868,Tickets[TripKey],Tickets[RouteLen]),0))</f>
        <v/>
      </c>
      <c r="J1868">
        <f>IF(A1868="","",IFERROR(XLOOKUP(A1868,Tickets[TripKey],Tickets[Capacity]),0))</f>
        <v/>
      </c>
      <c r="K1868">
        <f>IF(A1868="","",I1868*J1868)</f>
        <v/>
      </c>
      <c r="L1868">
        <f>IF(A1868="","",IFERROR(MINIFS(Tickets[Trip Start Time],Tickets[TripKey],A1868),""))</f>
        <v/>
      </c>
    </row>
    <row r="1869">
      <c r="B1869" s="8">
        <f>IF(A1869="","",IFERROR(DATEVALUE(TEXTBEFORE(A1869,"|")),--LEFT(A1869,10)))</f>
        <v/>
      </c>
      <c r="C1869">
        <f>IF(A1869="","",TEXTBEFORE(TEXTAFTER(A1869,"|"),"|"))</f>
        <v/>
      </c>
      <c r="D1869">
        <f>IF(A1869="","",TEXTAFTER(A1869,"|",2))</f>
        <v/>
      </c>
      <c r="E1869">
        <f>IF(A1869="","",SUMIF(Tickets[TripKey],A1869,Tickets[TP]))</f>
        <v/>
      </c>
      <c r="F1869">
        <f>IF(A1869="","",SUMIF(Tickets[TripKey],A1869,Tickets[Revenue]))</f>
        <v/>
      </c>
      <c r="G1869">
        <f>IF(A1869="","",SUMIF(Tickets[TripKey],A1869,Tickets[PK]))</f>
        <v/>
      </c>
      <c r="H1869">
        <f>IF(A1869="","",IFERROR(XLOOKUP(A1869,Tickets[TripKey],Tickets[VehClean]),""))</f>
        <v/>
      </c>
      <c r="I1869">
        <f>IF(A1869="","",IFERROR(XLOOKUP(A1869,Tickets[TripKey],Tickets[RouteLen]),0))</f>
        <v/>
      </c>
      <c r="J1869">
        <f>IF(A1869="","",IFERROR(XLOOKUP(A1869,Tickets[TripKey],Tickets[Capacity]),0))</f>
        <v/>
      </c>
      <c r="K1869">
        <f>IF(A1869="","",I1869*J1869)</f>
        <v/>
      </c>
      <c r="L1869">
        <f>IF(A1869="","",IFERROR(MINIFS(Tickets[Trip Start Time],Tickets[TripKey],A1869),""))</f>
        <v/>
      </c>
    </row>
    <row r="1870">
      <c r="B1870" s="8">
        <f>IF(A1870="","",IFERROR(DATEVALUE(TEXTBEFORE(A1870,"|")),--LEFT(A1870,10)))</f>
        <v/>
      </c>
      <c r="C1870">
        <f>IF(A1870="","",TEXTBEFORE(TEXTAFTER(A1870,"|"),"|"))</f>
        <v/>
      </c>
      <c r="D1870">
        <f>IF(A1870="","",TEXTAFTER(A1870,"|",2))</f>
        <v/>
      </c>
      <c r="E1870">
        <f>IF(A1870="","",SUMIF(Tickets[TripKey],A1870,Tickets[TP]))</f>
        <v/>
      </c>
      <c r="F1870">
        <f>IF(A1870="","",SUMIF(Tickets[TripKey],A1870,Tickets[Revenue]))</f>
        <v/>
      </c>
      <c r="G1870">
        <f>IF(A1870="","",SUMIF(Tickets[TripKey],A1870,Tickets[PK]))</f>
        <v/>
      </c>
      <c r="H1870">
        <f>IF(A1870="","",IFERROR(XLOOKUP(A1870,Tickets[TripKey],Tickets[VehClean]),""))</f>
        <v/>
      </c>
      <c r="I1870">
        <f>IF(A1870="","",IFERROR(XLOOKUP(A1870,Tickets[TripKey],Tickets[RouteLen]),0))</f>
        <v/>
      </c>
      <c r="J1870">
        <f>IF(A1870="","",IFERROR(XLOOKUP(A1870,Tickets[TripKey],Tickets[Capacity]),0))</f>
        <v/>
      </c>
      <c r="K1870">
        <f>IF(A1870="","",I1870*J1870)</f>
        <v/>
      </c>
      <c r="L1870">
        <f>IF(A1870="","",IFERROR(MINIFS(Tickets[Trip Start Time],Tickets[TripKey],A1870),""))</f>
        <v/>
      </c>
    </row>
    <row r="1871">
      <c r="B1871" s="8">
        <f>IF(A1871="","",IFERROR(DATEVALUE(TEXTBEFORE(A1871,"|")),--LEFT(A1871,10)))</f>
        <v/>
      </c>
      <c r="C1871">
        <f>IF(A1871="","",TEXTBEFORE(TEXTAFTER(A1871,"|"),"|"))</f>
        <v/>
      </c>
      <c r="D1871">
        <f>IF(A1871="","",TEXTAFTER(A1871,"|",2))</f>
        <v/>
      </c>
      <c r="E1871">
        <f>IF(A1871="","",SUMIF(Tickets[TripKey],A1871,Tickets[TP]))</f>
        <v/>
      </c>
      <c r="F1871">
        <f>IF(A1871="","",SUMIF(Tickets[TripKey],A1871,Tickets[Revenue]))</f>
        <v/>
      </c>
      <c r="G1871">
        <f>IF(A1871="","",SUMIF(Tickets[TripKey],A1871,Tickets[PK]))</f>
        <v/>
      </c>
      <c r="H1871">
        <f>IF(A1871="","",IFERROR(XLOOKUP(A1871,Tickets[TripKey],Tickets[VehClean]),""))</f>
        <v/>
      </c>
      <c r="I1871">
        <f>IF(A1871="","",IFERROR(XLOOKUP(A1871,Tickets[TripKey],Tickets[RouteLen]),0))</f>
        <v/>
      </c>
      <c r="J1871">
        <f>IF(A1871="","",IFERROR(XLOOKUP(A1871,Tickets[TripKey],Tickets[Capacity]),0))</f>
        <v/>
      </c>
      <c r="K1871">
        <f>IF(A1871="","",I1871*J1871)</f>
        <v/>
      </c>
      <c r="L1871">
        <f>IF(A1871="","",IFERROR(MINIFS(Tickets[Trip Start Time],Tickets[TripKey],A1871),""))</f>
        <v/>
      </c>
    </row>
    <row r="1872">
      <c r="B1872" s="8">
        <f>IF(A1872="","",IFERROR(DATEVALUE(TEXTBEFORE(A1872,"|")),--LEFT(A1872,10)))</f>
        <v/>
      </c>
      <c r="C1872">
        <f>IF(A1872="","",TEXTBEFORE(TEXTAFTER(A1872,"|"),"|"))</f>
        <v/>
      </c>
      <c r="D1872">
        <f>IF(A1872="","",TEXTAFTER(A1872,"|",2))</f>
        <v/>
      </c>
      <c r="E1872">
        <f>IF(A1872="","",SUMIF(Tickets[TripKey],A1872,Tickets[TP]))</f>
        <v/>
      </c>
      <c r="F1872">
        <f>IF(A1872="","",SUMIF(Tickets[TripKey],A1872,Tickets[Revenue]))</f>
        <v/>
      </c>
      <c r="G1872">
        <f>IF(A1872="","",SUMIF(Tickets[TripKey],A1872,Tickets[PK]))</f>
        <v/>
      </c>
      <c r="H1872">
        <f>IF(A1872="","",IFERROR(XLOOKUP(A1872,Tickets[TripKey],Tickets[VehClean]),""))</f>
        <v/>
      </c>
      <c r="I1872">
        <f>IF(A1872="","",IFERROR(XLOOKUP(A1872,Tickets[TripKey],Tickets[RouteLen]),0))</f>
        <v/>
      </c>
      <c r="J1872">
        <f>IF(A1872="","",IFERROR(XLOOKUP(A1872,Tickets[TripKey],Tickets[Capacity]),0))</f>
        <v/>
      </c>
      <c r="K1872">
        <f>IF(A1872="","",I1872*J1872)</f>
        <v/>
      </c>
      <c r="L1872">
        <f>IF(A1872="","",IFERROR(MINIFS(Tickets[Trip Start Time],Tickets[TripKey],A1872),""))</f>
        <v/>
      </c>
    </row>
    <row r="1873">
      <c r="B1873" s="8">
        <f>IF(A1873="","",IFERROR(DATEVALUE(TEXTBEFORE(A1873,"|")),--LEFT(A1873,10)))</f>
        <v/>
      </c>
      <c r="C1873">
        <f>IF(A1873="","",TEXTBEFORE(TEXTAFTER(A1873,"|"),"|"))</f>
        <v/>
      </c>
      <c r="D1873">
        <f>IF(A1873="","",TEXTAFTER(A1873,"|",2))</f>
        <v/>
      </c>
      <c r="E1873">
        <f>IF(A1873="","",SUMIF(Tickets[TripKey],A1873,Tickets[TP]))</f>
        <v/>
      </c>
      <c r="F1873">
        <f>IF(A1873="","",SUMIF(Tickets[TripKey],A1873,Tickets[Revenue]))</f>
        <v/>
      </c>
      <c r="G1873">
        <f>IF(A1873="","",SUMIF(Tickets[TripKey],A1873,Tickets[PK]))</f>
        <v/>
      </c>
      <c r="H1873">
        <f>IF(A1873="","",IFERROR(XLOOKUP(A1873,Tickets[TripKey],Tickets[VehClean]),""))</f>
        <v/>
      </c>
      <c r="I1873">
        <f>IF(A1873="","",IFERROR(XLOOKUP(A1873,Tickets[TripKey],Tickets[RouteLen]),0))</f>
        <v/>
      </c>
      <c r="J1873">
        <f>IF(A1873="","",IFERROR(XLOOKUP(A1873,Tickets[TripKey],Tickets[Capacity]),0))</f>
        <v/>
      </c>
      <c r="K1873">
        <f>IF(A1873="","",I1873*J1873)</f>
        <v/>
      </c>
      <c r="L1873">
        <f>IF(A1873="","",IFERROR(MINIFS(Tickets[Trip Start Time],Tickets[TripKey],A1873),""))</f>
        <v/>
      </c>
    </row>
    <row r="1874">
      <c r="B1874" s="8">
        <f>IF(A1874="","",IFERROR(DATEVALUE(TEXTBEFORE(A1874,"|")),--LEFT(A1874,10)))</f>
        <v/>
      </c>
      <c r="C1874">
        <f>IF(A1874="","",TEXTBEFORE(TEXTAFTER(A1874,"|"),"|"))</f>
        <v/>
      </c>
      <c r="D1874">
        <f>IF(A1874="","",TEXTAFTER(A1874,"|",2))</f>
        <v/>
      </c>
      <c r="E1874">
        <f>IF(A1874="","",SUMIF(Tickets[TripKey],A1874,Tickets[TP]))</f>
        <v/>
      </c>
      <c r="F1874">
        <f>IF(A1874="","",SUMIF(Tickets[TripKey],A1874,Tickets[Revenue]))</f>
        <v/>
      </c>
      <c r="G1874">
        <f>IF(A1874="","",SUMIF(Tickets[TripKey],A1874,Tickets[PK]))</f>
        <v/>
      </c>
      <c r="H1874">
        <f>IF(A1874="","",IFERROR(XLOOKUP(A1874,Tickets[TripKey],Tickets[VehClean]),""))</f>
        <v/>
      </c>
      <c r="I1874">
        <f>IF(A1874="","",IFERROR(XLOOKUP(A1874,Tickets[TripKey],Tickets[RouteLen]),0))</f>
        <v/>
      </c>
      <c r="J1874">
        <f>IF(A1874="","",IFERROR(XLOOKUP(A1874,Tickets[TripKey],Tickets[Capacity]),0))</f>
        <v/>
      </c>
      <c r="K1874">
        <f>IF(A1874="","",I1874*J1874)</f>
        <v/>
      </c>
      <c r="L1874">
        <f>IF(A1874="","",IFERROR(MINIFS(Tickets[Trip Start Time],Tickets[TripKey],A1874),""))</f>
        <v/>
      </c>
    </row>
    <row r="1875">
      <c r="B1875" s="8">
        <f>IF(A1875="","",IFERROR(DATEVALUE(TEXTBEFORE(A1875,"|")),--LEFT(A1875,10)))</f>
        <v/>
      </c>
      <c r="C1875">
        <f>IF(A1875="","",TEXTBEFORE(TEXTAFTER(A1875,"|"),"|"))</f>
        <v/>
      </c>
      <c r="D1875">
        <f>IF(A1875="","",TEXTAFTER(A1875,"|",2))</f>
        <v/>
      </c>
      <c r="E1875">
        <f>IF(A1875="","",SUMIF(Tickets[TripKey],A1875,Tickets[TP]))</f>
        <v/>
      </c>
      <c r="F1875">
        <f>IF(A1875="","",SUMIF(Tickets[TripKey],A1875,Tickets[Revenue]))</f>
        <v/>
      </c>
      <c r="G1875">
        <f>IF(A1875="","",SUMIF(Tickets[TripKey],A1875,Tickets[PK]))</f>
        <v/>
      </c>
      <c r="H1875">
        <f>IF(A1875="","",IFERROR(XLOOKUP(A1875,Tickets[TripKey],Tickets[VehClean]),""))</f>
        <v/>
      </c>
      <c r="I1875">
        <f>IF(A1875="","",IFERROR(XLOOKUP(A1875,Tickets[TripKey],Tickets[RouteLen]),0))</f>
        <v/>
      </c>
      <c r="J1875">
        <f>IF(A1875="","",IFERROR(XLOOKUP(A1875,Tickets[TripKey],Tickets[Capacity]),0))</f>
        <v/>
      </c>
      <c r="K1875">
        <f>IF(A1875="","",I1875*J1875)</f>
        <v/>
      </c>
      <c r="L1875">
        <f>IF(A1875="","",IFERROR(MINIFS(Tickets[Trip Start Time],Tickets[TripKey],A1875),""))</f>
        <v/>
      </c>
    </row>
    <row r="1876">
      <c r="B1876" s="8">
        <f>IF(A1876="","",IFERROR(DATEVALUE(TEXTBEFORE(A1876,"|")),--LEFT(A1876,10)))</f>
        <v/>
      </c>
      <c r="C1876">
        <f>IF(A1876="","",TEXTBEFORE(TEXTAFTER(A1876,"|"),"|"))</f>
        <v/>
      </c>
      <c r="D1876">
        <f>IF(A1876="","",TEXTAFTER(A1876,"|",2))</f>
        <v/>
      </c>
      <c r="E1876">
        <f>IF(A1876="","",SUMIF(Tickets[TripKey],A1876,Tickets[TP]))</f>
        <v/>
      </c>
      <c r="F1876">
        <f>IF(A1876="","",SUMIF(Tickets[TripKey],A1876,Tickets[Revenue]))</f>
        <v/>
      </c>
      <c r="G1876">
        <f>IF(A1876="","",SUMIF(Tickets[TripKey],A1876,Tickets[PK]))</f>
        <v/>
      </c>
      <c r="H1876">
        <f>IF(A1876="","",IFERROR(XLOOKUP(A1876,Tickets[TripKey],Tickets[VehClean]),""))</f>
        <v/>
      </c>
      <c r="I1876">
        <f>IF(A1876="","",IFERROR(XLOOKUP(A1876,Tickets[TripKey],Tickets[RouteLen]),0))</f>
        <v/>
      </c>
      <c r="J1876">
        <f>IF(A1876="","",IFERROR(XLOOKUP(A1876,Tickets[TripKey],Tickets[Capacity]),0))</f>
        <v/>
      </c>
      <c r="K1876">
        <f>IF(A1876="","",I1876*J1876)</f>
        <v/>
      </c>
      <c r="L1876">
        <f>IF(A1876="","",IFERROR(MINIFS(Tickets[Trip Start Time],Tickets[TripKey],A1876),""))</f>
        <v/>
      </c>
    </row>
    <row r="1877">
      <c r="B1877" s="8">
        <f>IF(A1877="","",IFERROR(DATEVALUE(TEXTBEFORE(A1877,"|")),--LEFT(A1877,10)))</f>
        <v/>
      </c>
      <c r="C1877">
        <f>IF(A1877="","",TEXTBEFORE(TEXTAFTER(A1877,"|"),"|"))</f>
        <v/>
      </c>
      <c r="D1877">
        <f>IF(A1877="","",TEXTAFTER(A1877,"|",2))</f>
        <v/>
      </c>
      <c r="E1877">
        <f>IF(A1877="","",SUMIF(Tickets[TripKey],A1877,Tickets[TP]))</f>
        <v/>
      </c>
      <c r="F1877">
        <f>IF(A1877="","",SUMIF(Tickets[TripKey],A1877,Tickets[Revenue]))</f>
        <v/>
      </c>
      <c r="G1877">
        <f>IF(A1877="","",SUMIF(Tickets[TripKey],A1877,Tickets[PK]))</f>
        <v/>
      </c>
      <c r="H1877">
        <f>IF(A1877="","",IFERROR(XLOOKUP(A1877,Tickets[TripKey],Tickets[VehClean]),""))</f>
        <v/>
      </c>
      <c r="I1877">
        <f>IF(A1877="","",IFERROR(XLOOKUP(A1877,Tickets[TripKey],Tickets[RouteLen]),0))</f>
        <v/>
      </c>
      <c r="J1877">
        <f>IF(A1877="","",IFERROR(XLOOKUP(A1877,Tickets[TripKey],Tickets[Capacity]),0))</f>
        <v/>
      </c>
      <c r="K1877">
        <f>IF(A1877="","",I1877*J1877)</f>
        <v/>
      </c>
      <c r="L1877">
        <f>IF(A1877="","",IFERROR(MINIFS(Tickets[Trip Start Time],Tickets[TripKey],A1877),""))</f>
        <v/>
      </c>
    </row>
    <row r="1878">
      <c r="B1878" s="8">
        <f>IF(A1878="","",IFERROR(DATEVALUE(TEXTBEFORE(A1878,"|")),--LEFT(A1878,10)))</f>
        <v/>
      </c>
      <c r="C1878">
        <f>IF(A1878="","",TEXTBEFORE(TEXTAFTER(A1878,"|"),"|"))</f>
        <v/>
      </c>
      <c r="D1878">
        <f>IF(A1878="","",TEXTAFTER(A1878,"|",2))</f>
        <v/>
      </c>
      <c r="E1878">
        <f>IF(A1878="","",SUMIF(Tickets[TripKey],A1878,Tickets[TP]))</f>
        <v/>
      </c>
      <c r="F1878">
        <f>IF(A1878="","",SUMIF(Tickets[TripKey],A1878,Tickets[Revenue]))</f>
        <v/>
      </c>
      <c r="G1878">
        <f>IF(A1878="","",SUMIF(Tickets[TripKey],A1878,Tickets[PK]))</f>
        <v/>
      </c>
      <c r="H1878">
        <f>IF(A1878="","",IFERROR(XLOOKUP(A1878,Tickets[TripKey],Tickets[VehClean]),""))</f>
        <v/>
      </c>
      <c r="I1878">
        <f>IF(A1878="","",IFERROR(XLOOKUP(A1878,Tickets[TripKey],Tickets[RouteLen]),0))</f>
        <v/>
      </c>
      <c r="J1878">
        <f>IF(A1878="","",IFERROR(XLOOKUP(A1878,Tickets[TripKey],Tickets[Capacity]),0))</f>
        <v/>
      </c>
      <c r="K1878">
        <f>IF(A1878="","",I1878*J1878)</f>
        <v/>
      </c>
      <c r="L1878">
        <f>IF(A1878="","",IFERROR(MINIFS(Tickets[Trip Start Time],Tickets[TripKey],A1878),""))</f>
        <v/>
      </c>
    </row>
    <row r="1879">
      <c r="B1879" s="8">
        <f>IF(A1879="","",IFERROR(DATEVALUE(TEXTBEFORE(A1879,"|")),--LEFT(A1879,10)))</f>
        <v/>
      </c>
      <c r="C1879">
        <f>IF(A1879="","",TEXTBEFORE(TEXTAFTER(A1879,"|"),"|"))</f>
        <v/>
      </c>
      <c r="D1879">
        <f>IF(A1879="","",TEXTAFTER(A1879,"|",2))</f>
        <v/>
      </c>
      <c r="E1879">
        <f>IF(A1879="","",SUMIF(Tickets[TripKey],A1879,Tickets[TP]))</f>
        <v/>
      </c>
      <c r="F1879">
        <f>IF(A1879="","",SUMIF(Tickets[TripKey],A1879,Tickets[Revenue]))</f>
        <v/>
      </c>
      <c r="G1879">
        <f>IF(A1879="","",SUMIF(Tickets[TripKey],A1879,Tickets[PK]))</f>
        <v/>
      </c>
      <c r="H1879">
        <f>IF(A1879="","",IFERROR(XLOOKUP(A1879,Tickets[TripKey],Tickets[VehClean]),""))</f>
        <v/>
      </c>
      <c r="I1879">
        <f>IF(A1879="","",IFERROR(XLOOKUP(A1879,Tickets[TripKey],Tickets[RouteLen]),0))</f>
        <v/>
      </c>
      <c r="J1879">
        <f>IF(A1879="","",IFERROR(XLOOKUP(A1879,Tickets[TripKey],Tickets[Capacity]),0))</f>
        <v/>
      </c>
      <c r="K1879">
        <f>IF(A1879="","",I1879*J1879)</f>
        <v/>
      </c>
      <c r="L1879">
        <f>IF(A1879="","",IFERROR(MINIFS(Tickets[Trip Start Time],Tickets[TripKey],A1879),""))</f>
        <v/>
      </c>
    </row>
    <row r="1880">
      <c r="B1880" s="8">
        <f>IF(A1880="","",IFERROR(DATEVALUE(TEXTBEFORE(A1880,"|")),--LEFT(A1880,10)))</f>
        <v/>
      </c>
      <c r="C1880">
        <f>IF(A1880="","",TEXTBEFORE(TEXTAFTER(A1880,"|"),"|"))</f>
        <v/>
      </c>
      <c r="D1880">
        <f>IF(A1880="","",TEXTAFTER(A1880,"|",2))</f>
        <v/>
      </c>
      <c r="E1880">
        <f>IF(A1880="","",SUMIF(Tickets[TripKey],A1880,Tickets[TP]))</f>
        <v/>
      </c>
      <c r="F1880">
        <f>IF(A1880="","",SUMIF(Tickets[TripKey],A1880,Tickets[Revenue]))</f>
        <v/>
      </c>
      <c r="G1880">
        <f>IF(A1880="","",SUMIF(Tickets[TripKey],A1880,Tickets[PK]))</f>
        <v/>
      </c>
      <c r="H1880">
        <f>IF(A1880="","",IFERROR(XLOOKUP(A1880,Tickets[TripKey],Tickets[VehClean]),""))</f>
        <v/>
      </c>
      <c r="I1880">
        <f>IF(A1880="","",IFERROR(XLOOKUP(A1880,Tickets[TripKey],Tickets[RouteLen]),0))</f>
        <v/>
      </c>
      <c r="J1880">
        <f>IF(A1880="","",IFERROR(XLOOKUP(A1880,Tickets[TripKey],Tickets[Capacity]),0))</f>
        <v/>
      </c>
      <c r="K1880">
        <f>IF(A1880="","",I1880*J1880)</f>
        <v/>
      </c>
      <c r="L1880">
        <f>IF(A1880="","",IFERROR(MINIFS(Tickets[Trip Start Time],Tickets[TripKey],A1880),""))</f>
        <v/>
      </c>
    </row>
    <row r="1881">
      <c r="B1881" s="8">
        <f>IF(A1881="","",IFERROR(DATEVALUE(TEXTBEFORE(A1881,"|")),--LEFT(A1881,10)))</f>
        <v/>
      </c>
      <c r="C1881">
        <f>IF(A1881="","",TEXTBEFORE(TEXTAFTER(A1881,"|"),"|"))</f>
        <v/>
      </c>
      <c r="D1881">
        <f>IF(A1881="","",TEXTAFTER(A1881,"|",2))</f>
        <v/>
      </c>
      <c r="E1881">
        <f>IF(A1881="","",SUMIF(Tickets[TripKey],A1881,Tickets[TP]))</f>
        <v/>
      </c>
      <c r="F1881">
        <f>IF(A1881="","",SUMIF(Tickets[TripKey],A1881,Tickets[Revenue]))</f>
        <v/>
      </c>
      <c r="G1881">
        <f>IF(A1881="","",SUMIF(Tickets[TripKey],A1881,Tickets[PK]))</f>
        <v/>
      </c>
      <c r="H1881">
        <f>IF(A1881="","",IFERROR(XLOOKUP(A1881,Tickets[TripKey],Tickets[VehClean]),""))</f>
        <v/>
      </c>
      <c r="I1881">
        <f>IF(A1881="","",IFERROR(XLOOKUP(A1881,Tickets[TripKey],Tickets[RouteLen]),0))</f>
        <v/>
      </c>
      <c r="J1881">
        <f>IF(A1881="","",IFERROR(XLOOKUP(A1881,Tickets[TripKey],Tickets[Capacity]),0))</f>
        <v/>
      </c>
      <c r="K1881">
        <f>IF(A1881="","",I1881*J1881)</f>
        <v/>
      </c>
      <c r="L1881">
        <f>IF(A1881="","",IFERROR(MINIFS(Tickets[Trip Start Time],Tickets[TripKey],A1881),""))</f>
        <v/>
      </c>
    </row>
    <row r="1882">
      <c r="B1882" s="8">
        <f>IF(A1882="","",IFERROR(DATEVALUE(TEXTBEFORE(A1882,"|")),--LEFT(A1882,10)))</f>
        <v/>
      </c>
      <c r="C1882">
        <f>IF(A1882="","",TEXTBEFORE(TEXTAFTER(A1882,"|"),"|"))</f>
        <v/>
      </c>
      <c r="D1882">
        <f>IF(A1882="","",TEXTAFTER(A1882,"|",2))</f>
        <v/>
      </c>
      <c r="E1882">
        <f>IF(A1882="","",SUMIF(Tickets[TripKey],A1882,Tickets[TP]))</f>
        <v/>
      </c>
      <c r="F1882">
        <f>IF(A1882="","",SUMIF(Tickets[TripKey],A1882,Tickets[Revenue]))</f>
        <v/>
      </c>
      <c r="G1882">
        <f>IF(A1882="","",SUMIF(Tickets[TripKey],A1882,Tickets[PK]))</f>
        <v/>
      </c>
      <c r="H1882">
        <f>IF(A1882="","",IFERROR(XLOOKUP(A1882,Tickets[TripKey],Tickets[VehClean]),""))</f>
        <v/>
      </c>
      <c r="I1882">
        <f>IF(A1882="","",IFERROR(XLOOKUP(A1882,Tickets[TripKey],Tickets[RouteLen]),0))</f>
        <v/>
      </c>
      <c r="J1882">
        <f>IF(A1882="","",IFERROR(XLOOKUP(A1882,Tickets[TripKey],Tickets[Capacity]),0))</f>
        <v/>
      </c>
      <c r="K1882">
        <f>IF(A1882="","",I1882*J1882)</f>
        <v/>
      </c>
      <c r="L1882">
        <f>IF(A1882="","",IFERROR(MINIFS(Tickets[Trip Start Time],Tickets[TripKey],A1882),""))</f>
        <v/>
      </c>
    </row>
    <row r="1883">
      <c r="B1883" s="8">
        <f>IF(A1883="","",IFERROR(DATEVALUE(TEXTBEFORE(A1883,"|")),--LEFT(A1883,10)))</f>
        <v/>
      </c>
      <c r="C1883">
        <f>IF(A1883="","",TEXTBEFORE(TEXTAFTER(A1883,"|"),"|"))</f>
        <v/>
      </c>
      <c r="D1883">
        <f>IF(A1883="","",TEXTAFTER(A1883,"|",2))</f>
        <v/>
      </c>
      <c r="E1883">
        <f>IF(A1883="","",SUMIF(Tickets[TripKey],A1883,Tickets[TP]))</f>
        <v/>
      </c>
      <c r="F1883">
        <f>IF(A1883="","",SUMIF(Tickets[TripKey],A1883,Tickets[Revenue]))</f>
        <v/>
      </c>
      <c r="G1883">
        <f>IF(A1883="","",SUMIF(Tickets[TripKey],A1883,Tickets[PK]))</f>
        <v/>
      </c>
      <c r="H1883">
        <f>IF(A1883="","",IFERROR(XLOOKUP(A1883,Tickets[TripKey],Tickets[VehClean]),""))</f>
        <v/>
      </c>
      <c r="I1883">
        <f>IF(A1883="","",IFERROR(XLOOKUP(A1883,Tickets[TripKey],Tickets[RouteLen]),0))</f>
        <v/>
      </c>
      <c r="J1883">
        <f>IF(A1883="","",IFERROR(XLOOKUP(A1883,Tickets[TripKey],Tickets[Capacity]),0))</f>
        <v/>
      </c>
      <c r="K1883">
        <f>IF(A1883="","",I1883*J1883)</f>
        <v/>
      </c>
      <c r="L1883">
        <f>IF(A1883="","",IFERROR(MINIFS(Tickets[Trip Start Time],Tickets[TripKey],A1883),""))</f>
        <v/>
      </c>
    </row>
    <row r="1884">
      <c r="B1884" s="8">
        <f>IF(A1884="","",IFERROR(DATEVALUE(TEXTBEFORE(A1884,"|")),--LEFT(A1884,10)))</f>
        <v/>
      </c>
      <c r="C1884">
        <f>IF(A1884="","",TEXTBEFORE(TEXTAFTER(A1884,"|"),"|"))</f>
        <v/>
      </c>
      <c r="D1884">
        <f>IF(A1884="","",TEXTAFTER(A1884,"|",2))</f>
        <v/>
      </c>
      <c r="E1884">
        <f>IF(A1884="","",SUMIF(Tickets[TripKey],A1884,Tickets[TP]))</f>
        <v/>
      </c>
      <c r="F1884">
        <f>IF(A1884="","",SUMIF(Tickets[TripKey],A1884,Tickets[Revenue]))</f>
        <v/>
      </c>
      <c r="G1884">
        <f>IF(A1884="","",SUMIF(Tickets[TripKey],A1884,Tickets[PK]))</f>
        <v/>
      </c>
      <c r="H1884">
        <f>IF(A1884="","",IFERROR(XLOOKUP(A1884,Tickets[TripKey],Tickets[VehClean]),""))</f>
        <v/>
      </c>
      <c r="I1884">
        <f>IF(A1884="","",IFERROR(XLOOKUP(A1884,Tickets[TripKey],Tickets[RouteLen]),0))</f>
        <v/>
      </c>
      <c r="J1884">
        <f>IF(A1884="","",IFERROR(XLOOKUP(A1884,Tickets[TripKey],Tickets[Capacity]),0))</f>
        <v/>
      </c>
      <c r="K1884">
        <f>IF(A1884="","",I1884*J1884)</f>
        <v/>
      </c>
      <c r="L1884">
        <f>IF(A1884="","",IFERROR(MINIFS(Tickets[Trip Start Time],Tickets[TripKey],A1884),""))</f>
        <v/>
      </c>
    </row>
    <row r="1885">
      <c r="B1885" s="8">
        <f>IF(A1885="","",IFERROR(DATEVALUE(TEXTBEFORE(A1885,"|")),--LEFT(A1885,10)))</f>
        <v/>
      </c>
      <c r="C1885">
        <f>IF(A1885="","",TEXTBEFORE(TEXTAFTER(A1885,"|"),"|"))</f>
        <v/>
      </c>
      <c r="D1885">
        <f>IF(A1885="","",TEXTAFTER(A1885,"|",2))</f>
        <v/>
      </c>
      <c r="E1885">
        <f>IF(A1885="","",SUMIF(Tickets[TripKey],A1885,Tickets[TP]))</f>
        <v/>
      </c>
      <c r="F1885">
        <f>IF(A1885="","",SUMIF(Tickets[TripKey],A1885,Tickets[Revenue]))</f>
        <v/>
      </c>
      <c r="G1885">
        <f>IF(A1885="","",SUMIF(Tickets[TripKey],A1885,Tickets[PK]))</f>
        <v/>
      </c>
      <c r="H1885">
        <f>IF(A1885="","",IFERROR(XLOOKUP(A1885,Tickets[TripKey],Tickets[VehClean]),""))</f>
        <v/>
      </c>
      <c r="I1885">
        <f>IF(A1885="","",IFERROR(XLOOKUP(A1885,Tickets[TripKey],Tickets[RouteLen]),0))</f>
        <v/>
      </c>
      <c r="J1885">
        <f>IF(A1885="","",IFERROR(XLOOKUP(A1885,Tickets[TripKey],Tickets[Capacity]),0))</f>
        <v/>
      </c>
      <c r="K1885">
        <f>IF(A1885="","",I1885*J1885)</f>
        <v/>
      </c>
      <c r="L1885">
        <f>IF(A1885="","",IFERROR(MINIFS(Tickets[Trip Start Time],Tickets[TripKey],A1885),""))</f>
        <v/>
      </c>
    </row>
    <row r="1886">
      <c r="B1886" s="8">
        <f>IF(A1886="","",IFERROR(DATEVALUE(TEXTBEFORE(A1886,"|")),--LEFT(A1886,10)))</f>
        <v/>
      </c>
      <c r="C1886">
        <f>IF(A1886="","",TEXTBEFORE(TEXTAFTER(A1886,"|"),"|"))</f>
        <v/>
      </c>
      <c r="D1886">
        <f>IF(A1886="","",TEXTAFTER(A1886,"|",2))</f>
        <v/>
      </c>
      <c r="E1886">
        <f>IF(A1886="","",SUMIF(Tickets[TripKey],A1886,Tickets[TP]))</f>
        <v/>
      </c>
      <c r="F1886">
        <f>IF(A1886="","",SUMIF(Tickets[TripKey],A1886,Tickets[Revenue]))</f>
        <v/>
      </c>
      <c r="G1886">
        <f>IF(A1886="","",SUMIF(Tickets[TripKey],A1886,Tickets[PK]))</f>
        <v/>
      </c>
      <c r="H1886">
        <f>IF(A1886="","",IFERROR(XLOOKUP(A1886,Tickets[TripKey],Tickets[VehClean]),""))</f>
        <v/>
      </c>
      <c r="I1886">
        <f>IF(A1886="","",IFERROR(XLOOKUP(A1886,Tickets[TripKey],Tickets[RouteLen]),0))</f>
        <v/>
      </c>
      <c r="J1886">
        <f>IF(A1886="","",IFERROR(XLOOKUP(A1886,Tickets[TripKey],Tickets[Capacity]),0))</f>
        <v/>
      </c>
      <c r="K1886">
        <f>IF(A1886="","",I1886*J1886)</f>
        <v/>
      </c>
      <c r="L1886">
        <f>IF(A1886="","",IFERROR(MINIFS(Tickets[Trip Start Time],Tickets[TripKey],A1886),""))</f>
        <v/>
      </c>
    </row>
    <row r="1887">
      <c r="B1887" s="8">
        <f>IF(A1887="","",IFERROR(DATEVALUE(TEXTBEFORE(A1887,"|")),--LEFT(A1887,10)))</f>
        <v/>
      </c>
      <c r="C1887">
        <f>IF(A1887="","",TEXTBEFORE(TEXTAFTER(A1887,"|"),"|"))</f>
        <v/>
      </c>
      <c r="D1887">
        <f>IF(A1887="","",TEXTAFTER(A1887,"|",2))</f>
        <v/>
      </c>
      <c r="E1887">
        <f>IF(A1887="","",SUMIF(Tickets[TripKey],A1887,Tickets[TP]))</f>
        <v/>
      </c>
      <c r="F1887">
        <f>IF(A1887="","",SUMIF(Tickets[TripKey],A1887,Tickets[Revenue]))</f>
        <v/>
      </c>
      <c r="G1887">
        <f>IF(A1887="","",SUMIF(Tickets[TripKey],A1887,Tickets[PK]))</f>
        <v/>
      </c>
      <c r="H1887">
        <f>IF(A1887="","",IFERROR(XLOOKUP(A1887,Tickets[TripKey],Tickets[VehClean]),""))</f>
        <v/>
      </c>
      <c r="I1887">
        <f>IF(A1887="","",IFERROR(XLOOKUP(A1887,Tickets[TripKey],Tickets[RouteLen]),0))</f>
        <v/>
      </c>
      <c r="J1887">
        <f>IF(A1887="","",IFERROR(XLOOKUP(A1887,Tickets[TripKey],Tickets[Capacity]),0))</f>
        <v/>
      </c>
      <c r="K1887">
        <f>IF(A1887="","",I1887*J1887)</f>
        <v/>
      </c>
      <c r="L1887">
        <f>IF(A1887="","",IFERROR(MINIFS(Tickets[Trip Start Time],Tickets[TripKey],A1887),""))</f>
        <v/>
      </c>
    </row>
    <row r="1888">
      <c r="B1888" s="8">
        <f>IF(A1888="","",IFERROR(DATEVALUE(TEXTBEFORE(A1888,"|")),--LEFT(A1888,10)))</f>
        <v/>
      </c>
      <c r="C1888">
        <f>IF(A1888="","",TEXTBEFORE(TEXTAFTER(A1888,"|"),"|"))</f>
        <v/>
      </c>
      <c r="D1888">
        <f>IF(A1888="","",TEXTAFTER(A1888,"|",2))</f>
        <v/>
      </c>
      <c r="E1888">
        <f>IF(A1888="","",SUMIF(Tickets[TripKey],A1888,Tickets[TP]))</f>
        <v/>
      </c>
      <c r="F1888">
        <f>IF(A1888="","",SUMIF(Tickets[TripKey],A1888,Tickets[Revenue]))</f>
        <v/>
      </c>
      <c r="G1888">
        <f>IF(A1888="","",SUMIF(Tickets[TripKey],A1888,Tickets[PK]))</f>
        <v/>
      </c>
      <c r="H1888">
        <f>IF(A1888="","",IFERROR(XLOOKUP(A1888,Tickets[TripKey],Tickets[VehClean]),""))</f>
        <v/>
      </c>
      <c r="I1888">
        <f>IF(A1888="","",IFERROR(XLOOKUP(A1888,Tickets[TripKey],Tickets[RouteLen]),0))</f>
        <v/>
      </c>
      <c r="J1888">
        <f>IF(A1888="","",IFERROR(XLOOKUP(A1888,Tickets[TripKey],Tickets[Capacity]),0))</f>
        <v/>
      </c>
      <c r="K1888">
        <f>IF(A1888="","",I1888*J1888)</f>
        <v/>
      </c>
      <c r="L1888">
        <f>IF(A1888="","",IFERROR(MINIFS(Tickets[Trip Start Time],Tickets[TripKey],A1888),""))</f>
        <v/>
      </c>
    </row>
    <row r="1889">
      <c r="B1889" s="8">
        <f>IF(A1889="","",IFERROR(DATEVALUE(TEXTBEFORE(A1889,"|")),--LEFT(A1889,10)))</f>
        <v/>
      </c>
      <c r="C1889">
        <f>IF(A1889="","",TEXTBEFORE(TEXTAFTER(A1889,"|"),"|"))</f>
        <v/>
      </c>
      <c r="D1889">
        <f>IF(A1889="","",TEXTAFTER(A1889,"|",2))</f>
        <v/>
      </c>
      <c r="E1889">
        <f>IF(A1889="","",SUMIF(Tickets[TripKey],A1889,Tickets[TP]))</f>
        <v/>
      </c>
      <c r="F1889">
        <f>IF(A1889="","",SUMIF(Tickets[TripKey],A1889,Tickets[Revenue]))</f>
        <v/>
      </c>
      <c r="G1889">
        <f>IF(A1889="","",SUMIF(Tickets[TripKey],A1889,Tickets[PK]))</f>
        <v/>
      </c>
      <c r="H1889">
        <f>IF(A1889="","",IFERROR(XLOOKUP(A1889,Tickets[TripKey],Tickets[VehClean]),""))</f>
        <v/>
      </c>
      <c r="I1889">
        <f>IF(A1889="","",IFERROR(XLOOKUP(A1889,Tickets[TripKey],Tickets[RouteLen]),0))</f>
        <v/>
      </c>
      <c r="J1889">
        <f>IF(A1889="","",IFERROR(XLOOKUP(A1889,Tickets[TripKey],Tickets[Capacity]),0))</f>
        <v/>
      </c>
      <c r="K1889">
        <f>IF(A1889="","",I1889*J1889)</f>
        <v/>
      </c>
      <c r="L1889">
        <f>IF(A1889="","",IFERROR(MINIFS(Tickets[Trip Start Time],Tickets[TripKey],A1889),""))</f>
        <v/>
      </c>
    </row>
    <row r="1890">
      <c r="B1890" s="8">
        <f>IF(A1890="","",IFERROR(DATEVALUE(TEXTBEFORE(A1890,"|")),--LEFT(A1890,10)))</f>
        <v/>
      </c>
      <c r="C1890">
        <f>IF(A1890="","",TEXTBEFORE(TEXTAFTER(A1890,"|"),"|"))</f>
        <v/>
      </c>
      <c r="D1890">
        <f>IF(A1890="","",TEXTAFTER(A1890,"|",2))</f>
        <v/>
      </c>
      <c r="E1890">
        <f>IF(A1890="","",SUMIF(Tickets[TripKey],A1890,Tickets[TP]))</f>
        <v/>
      </c>
      <c r="F1890">
        <f>IF(A1890="","",SUMIF(Tickets[TripKey],A1890,Tickets[Revenue]))</f>
        <v/>
      </c>
      <c r="G1890">
        <f>IF(A1890="","",SUMIF(Tickets[TripKey],A1890,Tickets[PK]))</f>
        <v/>
      </c>
      <c r="H1890">
        <f>IF(A1890="","",IFERROR(XLOOKUP(A1890,Tickets[TripKey],Tickets[VehClean]),""))</f>
        <v/>
      </c>
      <c r="I1890">
        <f>IF(A1890="","",IFERROR(XLOOKUP(A1890,Tickets[TripKey],Tickets[RouteLen]),0))</f>
        <v/>
      </c>
      <c r="J1890">
        <f>IF(A1890="","",IFERROR(XLOOKUP(A1890,Tickets[TripKey],Tickets[Capacity]),0))</f>
        <v/>
      </c>
      <c r="K1890">
        <f>IF(A1890="","",I1890*J1890)</f>
        <v/>
      </c>
      <c r="L1890">
        <f>IF(A1890="","",IFERROR(MINIFS(Tickets[Trip Start Time],Tickets[TripKey],A1890),""))</f>
        <v/>
      </c>
    </row>
    <row r="1891">
      <c r="B1891" s="8">
        <f>IF(A1891="","",IFERROR(DATEVALUE(TEXTBEFORE(A1891,"|")),--LEFT(A1891,10)))</f>
        <v/>
      </c>
      <c r="C1891">
        <f>IF(A1891="","",TEXTBEFORE(TEXTAFTER(A1891,"|"),"|"))</f>
        <v/>
      </c>
      <c r="D1891">
        <f>IF(A1891="","",TEXTAFTER(A1891,"|",2))</f>
        <v/>
      </c>
      <c r="E1891">
        <f>IF(A1891="","",SUMIF(Tickets[TripKey],A1891,Tickets[TP]))</f>
        <v/>
      </c>
      <c r="F1891">
        <f>IF(A1891="","",SUMIF(Tickets[TripKey],A1891,Tickets[Revenue]))</f>
        <v/>
      </c>
      <c r="G1891">
        <f>IF(A1891="","",SUMIF(Tickets[TripKey],A1891,Tickets[PK]))</f>
        <v/>
      </c>
      <c r="H1891">
        <f>IF(A1891="","",IFERROR(XLOOKUP(A1891,Tickets[TripKey],Tickets[VehClean]),""))</f>
        <v/>
      </c>
      <c r="I1891">
        <f>IF(A1891="","",IFERROR(XLOOKUP(A1891,Tickets[TripKey],Tickets[RouteLen]),0))</f>
        <v/>
      </c>
      <c r="J1891">
        <f>IF(A1891="","",IFERROR(XLOOKUP(A1891,Tickets[TripKey],Tickets[Capacity]),0))</f>
        <v/>
      </c>
      <c r="K1891">
        <f>IF(A1891="","",I1891*J1891)</f>
        <v/>
      </c>
      <c r="L1891">
        <f>IF(A1891="","",IFERROR(MINIFS(Tickets[Trip Start Time],Tickets[TripKey],A1891),""))</f>
        <v/>
      </c>
    </row>
    <row r="1892">
      <c r="B1892" s="8">
        <f>IF(A1892="","",IFERROR(DATEVALUE(TEXTBEFORE(A1892,"|")),--LEFT(A1892,10)))</f>
        <v/>
      </c>
      <c r="C1892">
        <f>IF(A1892="","",TEXTBEFORE(TEXTAFTER(A1892,"|"),"|"))</f>
        <v/>
      </c>
      <c r="D1892">
        <f>IF(A1892="","",TEXTAFTER(A1892,"|",2))</f>
        <v/>
      </c>
      <c r="E1892">
        <f>IF(A1892="","",SUMIF(Tickets[TripKey],A1892,Tickets[TP]))</f>
        <v/>
      </c>
      <c r="F1892">
        <f>IF(A1892="","",SUMIF(Tickets[TripKey],A1892,Tickets[Revenue]))</f>
        <v/>
      </c>
      <c r="G1892">
        <f>IF(A1892="","",SUMIF(Tickets[TripKey],A1892,Tickets[PK]))</f>
        <v/>
      </c>
      <c r="H1892">
        <f>IF(A1892="","",IFERROR(XLOOKUP(A1892,Tickets[TripKey],Tickets[VehClean]),""))</f>
        <v/>
      </c>
      <c r="I1892">
        <f>IF(A1892="","",IFERROR(XLOOKUP(A1892,Tickets[TripKey],Tickets[RouteLen]),0))</f>
        <v/>
      </c>
      <c r="J1892">
        <f>IF(A1892="","",IFERROR(XLOOKUP(A1892,Tickets[TripKey],Tickets[Capacity]),0))</f>
        <v/>
      </c>
      <c r="K1892">
        <f>IF(A1892="","",I1892*J1892)</f>
        <v/>
      </c>
      <c r="L1892">
        <f>IF(A1892="","",IFERROR(MINIFS(Tickets[Trip Start Time],Tickets[TripKey],A1892),""))</f>
        <v/>
      </c>
    </row>
    <row r="1893">
      <c r="B1893" s="8">
        <f>IF(A1893="","",IFERROR(DATEVALUE(TEXTBEFORE(A1893,"|")),--LEFT(A1893,10)))</f>
        <v/>
      </c>
      <c r="C1893">
        <f>IF(A1893="","",TEXTBEFORE(TEXTAFTER(A1893,"|"),"|"))</f>
        <v/>
      </c>
      <c r="D1893">
        <f>IF(A1893="","",TEXTAFTER(A1893,"|",2))</f>
        <v/>
      </c>
      <c r="E1893">
        <f>IF(A1893="","",SUMIF(Tickets[TripKey],A1893,Tickets[TP]))</f>
        <v/>
      </c>
      <c r="F1893">
        <f>IF(A1893="","",SUMIF(Tickets[TripKey],A1893,Tickets[Revenue]))</f>
        <v/>
      </c>
      <c r="G1893">
        <f>IF(A1893="","",SUMIF(Tickets[TripKey],A1893,Tickets[PK]))</f>
        <v/>
      </c>
      <c r="H1893">
        <f>IF(A1893="","",IFERROR(XLOOKUP(A1893,Tickets[TripKey],Tickets[VehClean]),""))</f>
        <v/>
      </c>
      <c r="I1893">
        <f>IF(A1893="","",IFERROR(XLOOKUP(A1893,Tickets[TripKey],Tickets[RouteLen]),0))</f>
        <v/>
      </c>
      <c r="J1893">
        <f>IF(A1893="","",IFERROR(XLOOKUP(A1893,Tickets[TripKey],Tickets[Capacity]),0))</f>
        <v/>
      </c>
      <c r="K1893">
        <f>IF(A1893="","",I1893*J1893)</f>
        <v/>
      </c>
      <c r="L1893">
        <f>IF(A1893="","",IFERROR(MINIFS(Tickets[Trip Start Time],Tickets[TripKey],A1893),""))</f>
        <v/>
      </c>
    </row>
    <row r="1894">
      <c r="B1894" s="8">
        <f>IF(A1894="","",IFERROR(DATEVALUE(TEXTBEFORE(A1894,"|")),--LEFT(A1894,10)))</f>
        <v/>
      </c>
      <c r="C1894">
        <f>IF(A1894="","",TEXTBEFORE(TEXTAFTER(A1894,"|"),"|"))</f>
        <v/>
      </c>
      <c r="D1894">
        <f>IF(A1894="","",TEXTAFTER(A1894,"|",2))</f>
        <v/>
      </c>
      <c r="E1894">
        <f>IF(A1894="","",SUMIF(Tickets[TripKey],A1894,Tickets[TP]))</f>
        <v/>
      </c>
      <c r="F1894">
        <f>IF(A1894="","",SUMIF(Tickets[TripKey],A1894,Tickets[Revenue]))</f>
        <v/>
      </c>
      <c r="G1894">
        <f>IF(A1894="","",SUMIF(Tickets[TripKey],A1894,Tickets[PK]))</f>
        <v/>
      </c>
      <c r="H1894">
        <f>IF(A1894="","",IFERROR(XLOOKUP(A1894,Tickets[TripKey],Tickets[VehClean]),""))</f>
        <v/>
      </c>
      <c r="I1894">
        <f>IF(A1894="","",IFERROR(XLOOKUP(A1894,Tickets[TripKey],Tickets[RouteLen]),0))</f>
        <v/>
      </c>
      <c r="J1894">
        <f>IF(A1894="","",IFERROR(XLOOKUP(A1894,Tickets[TripKey],Tickets[Capacity]),0))</f>
        <v/>
      </c>
      <c r="K1894">
        <f>IF(A1894="","",I1894*J1894)</f>
        <v/>
      </c>
      <c r="L1894">
        <f>IF(A1894="","",IFERROR(MINIFS(Tickets[Trip Start Time],Tickets[TripKey],A1894),""))</f>
        <v/>
      </c>
    </row>
    <row r="1895">
      <c r="B1895" s="8">
        <f>IF(A1895="","",IFERROR(DATEVALUE(TEXTBEFORE(A1895,"|")),--LEFT(A1895,10)))</f>
        <v/>
      </c>
      <c r="C1895">
        <f>IF(A1895="","",TEXTBEFORE(TEXTAFTER(A1895,"|"),"|"))</f>
        <v/>
      </c>
      <c r="D1895">
        <f>IF(A1895="","",TEXTAFTER(A1895,"|",2))</f>
        <v/>
      </c>
      <c r="E1895">
        <f>IF(A1895="","",SUMIF(Tickets[TripKey],A1895,Tickets[TP]))</f>
        <v/>
      </c>
      <c r="F1895">
        <f>IF(A1895="","",SUMIF(Tickets[TripKey],A1895,Tickets[Revenue]))</f>
        <v/>
      </c>
      <c r="G1895">
        <f>IF(A1895="","",SUMIF(Tickets[TripKey],A1895,Tickets[PK]))</f>
        <v/>
      </c>
      <c r="H1895">
        <f>IF(A1895="","",IFERROR(XLOOKUP(A1895,Tickets[TripKey],Tickets[VehClean]),""))</f>
        <v/>
      </c>
      <c r="I1895">
        <f>IF(A1895="","",IFERROR(XLOOKUP(A1895,Tickets[TripKey],Tickets[RouteLen]),0))</f>
        <v/>
      </c>
      <c r="J1895">
        <f>IF(A1895="","",IFERROR(XLOOKUP(A1895,Tickets[TripKey],Tickets[Capacity]),0))</f>
        <v/>
      </c>
      <c r="K1895">
        <f>IF(A1895="","",I1895*J1895)</f>
        <v/>
      </c>
      <c r="L1895">
        <f>IF(A1895="","",IFERROR(MINIFS(Tickets[Trip Start Time],Tickets[TripKey],A1895),""))</f>
        <v/>
      </c>
    </row>
    <row r="1896">
      <c r="B1896" s="8">
        <f>IF(A1896="","",IFERROR(DATEVALUE(TEXTBEFORE(A1896,"|")),--LEFT(A1896,10)))</f>
        <v/>
      </c>
      <c r="C1896">
        <f>IF(A1896="","",TEXTBEFORE(TEXTAFTER(A1896,"|"),"|"))</f>
        <v/>
      </c>
      <c r="D1896">
        <f>IF(A1896="","",TEXTAFTER(A1896,"|",2))</f>
        <v/>
      </c>
      <c r="E1896">
        <f>IF(A1896="","",SUMIF(Tickets[TripKey],A1896,Tickets[TP]))</f>
        <v/>
      </c>
      <c r="F1896">
        <f>IF(A1896="","",SUMIF(Tickets[TripKey],A1896,Tickets[Revenue]))</f>
        <v/>
      </c>
      <c r="G1896">
        <f>IF(A1896="","",SUMIF(Tickets[TripKey],A1896,Tickets[PK]))</f>
        <v/>
      </c>
      <c r="H1896">
        <f>IF(A1896="","",IFERROR(XLOOKUP(A1896,Tickets[TripKey],Tickets[VehClean]),""))</f>
        <v/>
      </c>
      <c r="I1896">
        <f>IF(A1896="","",IFERROR(XLOOKUP(A1896,Tickets[TripKey],Tickets[RouteLen]),0))</f>
        <v/>
      </c>
      <c r="J1896">
        <f>IF(A1896="","",IFERROR(XLOOKUP(A1896,Tickets[TripKey],Tickets[Capacity]),0))</f>
        <v/>
      </c>
      <c r="K1896">
        <f>IF(A1896="","",I1896*J1896)</f>
        <v/>
      </c>
      <c r="L1896">
        <f>IF(A1896="","",IFERROR(MINIFS(Tickets[Trip Start Time],Tickets[TripKey],A1896),""))</f>
        <v/>
      </c>
    </row>
    <row r="1897">
      <c r="B1897" s="8">
        <f>IF(A1897="","",IFERROR(DATEVALUE(TEXTBEFORE(A1897,"|")),--LEFT(A1897,10)))</f>
        <v/>
      </c>
      <c r="C1897">
        <f>IF(A1897="","",TEXTBEFORE(TEXTAFTER(A1897,"|"),"|"))</f>
        <v/>
      </c>
      <c r="D1897">
        <f>IF(A1897="","",TEXTAFTER(A1897,"|",2))</f>
        <v/>
      </c>
      <c r="E1897">
        <f>IF(A1897="","",SUMIF(Tickets[TripKey],A1897,Tickets[TP]))</f>
        <v/>
      </c>
      <c r="F1897">
        <f>IF(A1897="","",SUMIF(Tickets[TripKey],A1897,Tickets[Revenue]))</f>
        <v/>
      </c>
      <c r="G1897">
        <f>IF(A1897="","",SUMIF(Tickets[TripKey],A1897,Tickets[PK]))</f>
        <v/>
      </c>
      <c r="H1897">
        <f>IF(A1897="","",IFERROR(XLOOKUP(A1897,Tickets[TripKey],Tickets[VehClean]),""))</f>
        <v/>
      </c>
      <c r="I1897">
        <f>IF(A1897="","",IFERROR(XLOOKUP(A1897,Tickets[TripKey],Tickets[RouteLen]),0))</f>
        <v/>
      </c>
      <c r="J1897">
        <f>IF(A1897="","",IFERROR(XLOOKUP(A1897,Tickets[TripKey],Tickets[Capacity]),0))</f>
        <v/>
      </c>
      <c r="K1897">
        <f>IF(A1897="","",I1897*J1897)</f>
        <v/>
      </c>
      <c r="L1897">
        <f>IF(A1897="","",IFERROR(MINIFS(Tickets[Trip Start Time],Tickets[TripKey],A1897),""))</f>
        <v/>
      </c>
    </row>
    <row r="1898">
      <c r="B1898" s="8">
        <f>IF(A1898="","",IFERROR(DATEVALUE(TEXTBEFORE(A1898,"|")),--LEFT(A1898,10)))</f>
        <v/>
      </c>
      <c r="C1898">
        <f>IF(A1898="","",TEXTBEFORE(TEXTAFTER(A1898,"|"),"|"))</f>
        <v/>
      </c>
      <c r="D1898">
        <f>IF(A1898="","",TEXTAFTER(A1898,"|",2))</f>
        <v/>
      </c>
      <c r="E1898">
        <f>IF(A1898="","",SUMIF(Tickets[TripKey],A1898,Tickets[TP]))</f>
        <v/>
      </c>
      <c r="F1898">
        <f>IF(A1898="","",SUMIF(Tickets[TripKey],A1898,Tickets[Revenue]))</f>
        <v/>
      </c>
      <c r="G1898">
        <f>IF(A1898="","",SUMIF(Tickets[TripKey],A1898,Tickets[PK]))</f>
        <v/>
      </c>
      <c r="H1898">
        <f>IF(A1898="","",IFERROR(XLOOKUP(A1898,Tickets[TripKey],Tickets[VehClean]),""))</f>
        <v/>
      </c>
      <c r="I1898">
        <f>IF(A1898="","",IFERROR(XLOOKUP(A1898,Tickets[TripKey],Tickets[RouteLen]),0))</f>
        <v/>
      </c>
      <c r="J1898">
        <f>IF(A1898="","",IFERROR(XLOOKUP(A1898,Tickets[TripKey],Tickets[Capacity]),0))</f>
        <v/>
      </c>
      <c r="K1898">
        <f>IF(A1898="","",I1898*J1898)</f>
        <v/>
      </c>
      <c r="L1898">
        <f>IF(A1898="","",IFERROR(MINIFS(Tickets[Trip Start Time],Tickets[TripKey],A1898),""))</f>
        <v/>
      </c>
    </row>
    <row r="1899">
      <c r="B1899" s="8">
        <f>IF(A1899="","",IFERROR(DATEVALUE(TEXTBEFORE(A1899,"|")),--LEFT(A1899,10)))</f>
        <v/>
      </c>
      <c r="C1899">
        <f>IF(A1899="","",TEXTBEFORE(TEXTAFTER(A1899,"|"),"|"))</f>
        <v/>
      </c>
      <c r="D1899">
        <f>IF(A1899="","",TEXTAFTER(A1899,"|",2))</f>
        <v/>
      </c>
      <c r="E1899">
        <f>IF(A1899="","",SUMIF(Tickets[TripKey],A1899,Tickets[TP]))</f>
        <v/>
      </c>
      <c r="F1899">
        <f>IF(A1899="","",SUMIF(Tickets[TripKey],A1899,Tickets[Revenue]))</f>
        <v/>
      </c>
      <c r="G1899">
        <f>IF(A1899="","",SUMIF(Tickets[TripKey],A1899,Tickets[PK]))</f>
        <v/>
      </c>
      <c r="H1899">
        <f>IF(A1899="","",IFERROR(XLOOKUP(A1899,Tickets[TripKey],Tickets[VehClean]),""))</f>
        <v/>
      </c>
      <c r="I1899">
        <f>IF(A1899="","",IFERROR(XLOOKUP(A1899,Tickets[TripKey],Tickets[RouteLen]),0))</f>
        <v/>
      </c>
      <c r="J1899">
        <f>IF(A1899="","",IFERROR(XLOOKUP(A1899,Tickets[TripKey],Tickets[Capacity]),0))</f>
        <v/>
      </c>
      <c r="K1899">
        <f>IF(A1899="","",I1899*J1899)</f>
        <v/>
      </c>
      <c r="L1899">
        <f>IF(A1899="","",IFERROR(MINIFS(Tickets[Trip Start Time],Tickets[TripKey],A1899),""))</f>
        <v/>
      </c>
    </row>
    <row r="1900">
      <c r="B1900" s="8">
        <f>IF(A1900="","",IFERROR(DATEVALUE(TEXTBEFORE(A1900,"|")),--LEFT(A1900,10)))</f>
        <v/>
      </c>
      <c r="C1900">
        <f>IF(A1900="","",TEXTBEFORE(TEXTAFTER(A1900,"|"),"|"))</f>
        <v/>
      </c>
      <c r="D1900">
        <f>IF(A1900="","",TEXTAFTER(A1900,"|",2))</f>
        <v/>
      </c>
      <c r="E1900">
        <f>IF(A1900="","",SUMIF(Tickets[TripKey],A1900,Tickets[TP]))</f>
        <v/>
      </c>
      <c r="F1900">
        <f>IF(A1900="","",SUMIF(Tickets[TripKey],A1900,Tickets[Revenue]))</f>
        <v/>
      </c>
      <c r="G1900">
        <f>IF(A1900="","",SUMIF(Tickets[TripKey],A1900,Tickets[PK]))</f>
        <v/>
      </c>
      <c r="H1900">
        <f>IF(A1900="","",IFERROR(XLOOKUP(A1900,Tickets[TripKey],Tickets[VehClean]),""))</f>
        <v/>
      </c>
      <c r="I1900">
        <f>IF(A1900="","",IFERROR(XLOOKUP(A1900,Tickets[TripKey],Tickets[RouteLen]),0))</f>
        <v/>
      </c>
      <c r="J1900">
        <f>IF(A1900="","",IFERROR(XLOOKUP(A1900,Tickets[TripKey],Tickets[Capacity]),0))</f>
        <v/>
      </c>
      <c r="K1900">
        <f>IF(A1900="","",I1900*J1900)</f>
        <v/>
      </c>
      <c r="L1900">
        <f>IF(A1900="","",IFERROR(MINIFS(Tickets[Trip Start Time],Tickets[TripKey],A1900),""))</f>
        <v/>
      </c>
    </row>
    <row r="1901">
      <c r="B1901" s="8">
        <f>IF(A1901="","",IFERROR(DATEVALUE(TEXTBEFORE(A1901,"|")),--LEFT(A1901,10)))</f>
        <v/>
      </c>
      <c r="C1901">
        <f>IF(A1901="","",TEXTBEFORE(TEXTAFTER(A1901,"|"),"|"))</f>
        <v/>
      </c>
      <c r="D1901">
        <f>IF(A1901="","",TEXTAFTER(A1901,"|",2))</f>
        <v/>
      </c>
      <c r="E1901">
        <f>IF(A1901="","",SUMIF(Tickets[TripKey],A1901,Tickets[TP]))</f>
        <v/>
      </c>
      <c r="F1901">
        <f>IF(A1901="","",SUMIF(Tickets[TripKey],A1901,Tickets[Revenue]))</f>
        <v/>
      </c>
      <c r="G1901">
        <f>IF(A1901="","",SUMIF(Tickets[TripKey],A1901,Tickets[PK]))</f>
        <v/>
      </c>
      <c r="H1901">
        <f>IF(A1901="","",IFERROR(XLOOKUP(A1901,Tickets[TripKey],Tickets[VehClean]),""))</f>
        <v/>
      </c>
      <c r="I1901">
        <f>IF(A1901="","",IFERROR(XLOOKUP(A1901,Tickets[TripKey],Tickets[RouteLen]),0))</f>
        <v/>
      </c>
      <c r="J1901">
        <f>IF(A1901="","",IFERROR(XLOOKUP(A1901,Tickets[TripKey],Tickets[Capacity]),0))</f>
        <v/>
      </c>
      <c r="K1901">
        <f>IF(A1901="","",I1901*J1901)</f>
        <v/>
      </c>
      <c r="L1901">
        <f>IF(A1901="","",IFERROR(MINIFS(Tickets[Trip Start Time],Tickets[TripKey],A1901),""))</f>
        <v/>
      </c>
    </row>
    <row r="1902">
      <c r="B1902" s="8">
        <f>IF(A1902="","",IFERROR(DATEVALUE(TEXTBEFORE(A1902,"|")),--LEFT(A1902,10)))</f>
        <v/>
      </c>
      <c r="C1902">
        <f>IF(A1902="","",TEXTBEFORE(TEXTAFTER(A1902,"|"),"|"))</f>
        <v/>
      </c>
      <c r="D1902">
        <f>IF(A1902="","",TEXTAFTER(A1902,"|",2))</f>
        <v/>
      </c>
      <c r="E1902">
        <f>IF(A1902="","",SUMIF(Tickets[TripKey],A1902,Tickets[TP]))</f>
        <v/>
      </c>
      <c r="F1902">
        <f>IF(A1902="","",SUMIF(Tickets[TripKey],A1902,Tickets[Revenue]))</f>
        <v/>
      </c>
      <c r="G1902">
        <f>IF(A1902="","",SUMIF(Tickets[TripKey],A1902,Tickets[PK]))</f>
        <v/>
      </c>
      <c r="H1902">
        <f>IF(A1902="","",IFERROR(XLOOKUP(A1902,Tickets[TripKey],Tickets[VehClean]),""))</f>
        <v/>
      </c>
      <c r="I1902">
        <f>IF(A1902="","",IFERROR(XLOOKUP(A1902,Tickets[TripKey],Tickets[RouteLen]),0))</f>
        <v/>
      </c>
      <c r="J1902">
        <f>IF(A1902="","",IFERROR(XLOOKUP(A1902,Tickets[TripKey],Tickets[Capacity]),0))</f>
        <v/>
      </c>
      <c r="K1902">
        <f>IF(A1902="","",I1902*J1902)</f>
        <v/>
      </c>
      <c r="L1902">
        <f>IF(A1902="","",IFERROR(MINIFS(Tickets[Trip Start Time],Tickets[TripKey],A1902),""))</f>
        <v/>
      </c>
    </row>
    <row r="1903">
      <c r="B1903" s="8">
        <f>IF(A1903="","",IFERROR(DATEVALUE(TEXTBEFORE(A1903,"|")),--LEFT(A1903,10)))</f>
        <v/>
      </c>
      <c r="C1903">
        <f>IF(A1903="","",TEXTBEFORE(TEXTAFTER(A1903,"|"),"|"))</f>
        <v/>
      </c>
      <c r="D1903">
        <f>IF(A1903="","",TEXTAFTER(A1903,"|",2))</f>
        <v/>
      </c>
      <c r="E1903">
        <f>IF(A1903="","",SUMIF(Tickets[TripKey],A1903,Tickets[TP]))</f>
        <v/>
      </c>
      <c r="F1903">
        <f>IF(A1903="","",SUMIF(Tickets[TripKey],A1903,Tickets[Revenue]))</f>
        <v/>
      </c>
      <c r="G1903">
        <f>IF(A1903="","",SUMIF(Tickets[TripKey],A1903,Tickets[PK]))</f>
        <v/>
      </c>
      <c r="H1903">
        <f>IF(A1903="","",IFERROR(XLOOKUP(A1903,Tickets[TripKey],Tickets[VehClean]),""))</f>
        <v/>
      </c>
      <c r="I1903">
        <f>IF(A1903="","",IFERROR(XLOOKUP(A1903,Tickets[TripKey],Tickets[RouteLen]),0))</f>
        <v/>
      </c>
      <c r="J1903">
        <f>IF(A1903="","",IFERROR(XLOOKUP(A1903,Tickets[TripKey],Tickets[Capacity]),0))</f>
        <v/>
      </c>
      <c r="K1903">
        <f>IF(A1903="","",I1903*J1903)</f>
        <v/>
      </c>
      <c r="L1903">
        <f>IF(A1903="","",IFERROR(MINIFS(Tickets[Trip Start Time],Tickets[TripKey],A1903),""))</f>
        <v/>
      </c>
    </row>
    <row r="1904">
      <c r="B1904" s="8">
        <f>IF(A1904="","",IFERROR(DATEVALUE(TEXTBEFORE(A1904,"|")),--LEFT(A1904,10)))</f>
        <v/>
      </c>
      <c r="C1904">
        <f>IF(A1904="","",TEXTBEFORE(TEXTAFTER(A1904,"|"),"|"))</f>
        <v/>
      </c>
      <c r="D1904">
        <f>IF(A1904="","",TEXTAFTER(A1904,"|",2))</f>
        <v/>
      </c>
      <c r="E1904">
        <f>IF(A1904="","",SUMIF(Tickets[TripKey],A1904,Tickets[TP]))</f>
        <v/>
      </c>
      <c r="F1904">
        <f>IF(A1904="","",SUMIF(Tickets[TripKey],A1904,Tickets[Revenue]))</f>
        <v/>
      </c>
      <c r="G1904">
        <f>IF(A1904="","",SUMIF(Tickets[TripKey],A1904,Tickets[PK]))</f>
        <v/>
      </c>
      <c r="H1904">
        <f>IF(A1904="","",IFERROR(XLOOKUP(A1904,Tickets[TripKey],Tickets[VehClean]),""))</f>
        <v/>
      </c>
      <c r="I1904">
        <f>IF(A1904="","",IFERROR(XLOOKUP(A1904,Tickets[TripKey],Tickets[RouteLen]),0))</f>
        <v/>
      </c>
      <c r="J1904">
        <f>IF(A1904="","",IFERROR(XLOOKUP(A1904,Tickets[TripKey],Tickets[Capacity]),0))</f>
        <v/>
      </c>
      <c r="K1904">
        <f>IF(A1904="","",I1904*J1904)</f>
        <v/>
      </c>
      <c r="L1904">
        <f>IF(A1904="","",IFERROR(MINIFS(Tickets[Trip Start Time],Tickets[TripKey],A1904),""))</f>
        <v/>
      </c>
    </row>
    <row r="1905">
      <c r="B1905" s="8">
        <f>IF(A1905="","",IFERROR(DATEVALUE(TEXTBEFORE(A1905,"|")),--LEFT(A1905,10)))</f>
        <v/>
      </c>
      <c r="C1905">
        <f>IF(A1905="","",TEXTBEFORE(TEXTAFTER(A1905,"|"),"|"))</f>
        <v/>
      </c>
      <c r="D1905">
        <f>IF(A1905="","",TEXTAFTER(A1905,"|",2))</f>
        <v/>
      </c>
      <c r="E1905">
        <f>IF(A1905="","",SUMIF(Tickets[TripKey],A1905,Tickets[TP]))</f>
        <v/>
      </c>
      <c r="F1905">
        <f>IF(A1905="","",SUMIF(Tickets[TripKey],A1905,Tickets[Revenue]))</f>
        <v/>
      </c>
      <c r="G1905">
        <f>IF(A1905="","",SUMIF(Tickets[TripKey],A1905,Tickets[PK]))</f>
        <v/>
      </c>
      <c r="H1905">
        <f>IF(A1905="","",IFERROR(XLOOKUP(A1905,Tickets[TripKey],Tickets[VehClean]),""))</f>
        <v/>
      </c>
      <c r="I1905">
        <f>IF(A1905="","",IFERROR(XLOOKUP(A1905,Tickets[TripKey],Tickets[RouteLen]),0))</f>
        <v/>
      </c>
      <c r="J1905">
        <f>IF(A1905="","",IFERROR(XLOOKUP(A1905,Tickets[TripKey],Tickets[Capacity]),0))</f>
        <v/>
      </c>
      <c r="K1905">
        <f>IF(A1905="","",I1905*J1905)</f>
        <v/>
      </c>
      <c r="L1905">
        <f>IF(A1905="","",IFERROR(MINIFS(Tickets[Trip Start Time],Tickets[TripKey],A1905),""))</f>
        <v/>
      </c>
    </row>
    <row r="1906">
      <c r="B1906" s="8">
        <f>IF(A1906="","",IFERROR(DATEVALUE(TEXTBEFORE(A1906,"|")),--LEFT(A1906,10)))</f>
        <v/>
      </c>
      <c r="C1906">
        <f>IF(A1906="","",TEXTBEFORE(TEXTAFTER(A1906,"|"),"|"))</f>
        <v/>
      </c>
      <c r="D1906">
        <f>IF(A1906="","",TEXTAFTER(A1906,"|",2))</f>
        <v/>
      </c>
      <c r="E1906">
        <f>IF(A1906="","",SUMIF(Tickets[TripKey],A1906,Tickets[TP]))</f>
        <v/>
      </c>
      <c r="F1906">
        <f>IF(A1906="","",SUMIF(Tickets[TripKey],A1906,Tickets[Revenue]))</f>
        <v/>
      </c>
      <c r="G1906">
        <f>IF(A1906="","",SUMIF(Tickets[TripKey],A1906,Tickets[PK]))</f>
        <v/>
      </c>
      <c r="H1906">
        <f>IF(A1906="","",IFERROR(XLOOKUP(A1906,Tickets[TripKey],Tickets[VehClean]),""))</f>
        <v/>
      </c>
      <c r="I1906">
        <f>IF(A1906="","",IFERROR(XLOOKUP(A1906,Tickets[TripKey],Tickets[RouteLen]),0))</f>
        <v/>
      </c>
      <c r="J1906">
        <f>IF(A1906="","",IFERROR(XLOOKUP(A1906,Tickets[TripKey],Tickets[Capacity]),0))</f>
        <v/>
      </c>
      <c r="K1906">
        <f>IF(A1906="","",I1906*J1906)</f>
        <v/>
      </c>
      <c r="L1906">
        <f>IF(A1906="","",IFERROR(MINIFS(Tickets[Trip Start Time],Tickets[TripKey],A1906),""))</f>
        <v/>
      </c>
    </row>
    <row r="1907">
      <c r="B1907" s="8">
        <f>IF(A1907="","",IFERROR(DATEVALUE(TEXTBEFORE(A1907,"|")),--LEFT(A1907,10)))</f>
        <v/>
      </c>
      <c r="C1907">
        <f>IF(A1907="","",TEXTBEFORE(TEXTAFTER(A1907,"|"),"|"))</f>
        <v/>
      </c>
      <c r="D1907">
        <f>IF(A1907="","",TEXTAFTER(A1907,"|",2))</f>
        <v/>
      </c>
      <c r="E1907">
        <f>IF(A1907="","",SUMIF(Tickets[TripKey],A1907,Tickets[TP]))</f>
        <v/>
      </c>
      <c r="F1907">
        <f>IF(A1907="","",SUMIF(Tickets[TripKey],A1907,Tickets[Revenue]))</f>
        <v/>
      </c>
      <c r="G1907">
        <f>IF(A1907="","",SUMIF(Tickets[TripKey],A1907,Tickets[PK]))</f>
        <v/>
      </c>
      <c r="H1907">
        <f>IF(A1907="","",IFERROR(XLOOKUP(A1907,Tickets[TripKey],Tickets[VehClean]),""))</f>
        <v/>
      </c>
      <c r="I1907">
        <f>IF(A1907="","",IFERROR(XLOOKUP(A1907,Tickets[TripKey],Tickets[RouteLen]),0))</f>
        <v/>
      </c>
      <c r="J1907">
        <f>IF(A1907="","",IFERROR(XLOOKUP(A1907,Tickets[TripKey],Tickets[Capacity]),0))</f>
        <v/>
      </c>
      <c r="K1907">
        <f>IF(A1907="","",I1907*J1907)</f>
        <v/>
      </c>
      <c r="L1907">
        <f>IF(A1907="","",IFERROR(MINIFS(Tickets[Trip Start Time],Tickets[TripKey],A1907),""))</f>
        <v/>
      </c>
    </row>
    <row r="1908">
      <c r="B1908" s="8">
        <f>IF(A1908="","",IFERROR(DATEVALUE(TEXTBEFORE(A1908,"|")),--LEFT(A1908,10)))</f>
        <v/>
      </c>
      <c r="C1908">
        <f>IF(A1908="","",TEXTBEFORE(TEXTAFTER(A1908,"|"),"|"))</f>
        <v/>
      </c>
      <c r="D1908">
        <f>IF(A1908="","",TEXTAFTER(A1908,"|",2))</f>
        <v/>
      </c>
      <c r="E1908">
        <f>IF(A1908="","",SUMIF(Tickets[TripKey],A1908,Tickets[TP]))</f>
        <v/>
      </c>
      <c r="F1908">
        <f>IF(A1908="","",SUMIF(Tickets[TripKey],A1908,Tickets[Revenue]))</f>
        <v/>
      </c>
      <c r="G1908">
        <f>IF(A1908="","",SUMIF(Tickets[TripKey],A1908,Tickets[PK]))</f>
        <v/>
      </c>
      <c r="H1908">
        <f>IF(A1908="","",IFERROR(XLOOKUP(A1908,Tickets[TripKey],Tickets[VehClean]),""))</f>
        <v/>
      </c>
      <c r="I1908">
        <f>IF(A1908="","",IFERROR(XLOOKUP(A1908,Tickets[TripKey],Tickets[RouteLen]),0))</f>
        <v/>
      </c>
      <c r="J1908">
        <f>IF(A1908="","",IFERROR(XLOOKUP(A1908,Tickets[TripKey],Tickets[Capacity]),0))</f>
        <v/>
      </c>
      <c r="K1908">
        <f>IF(A1908="","",I1908*J1908)</f>
        <v/>
      </c>
      <c r="L1908">
        <f>IF(A1908="","",IFERROR(MINIFS(Tickets[Trip Start Time],Tickets[TripKey],A1908),""))</f>
        <v/>
      </c>
    </row>
    <row r="1909">
      <c r="B1909" s="8">
        <f>IF(A1909="","",IFERROR(DATEVALUE(TEXTBEFORE(A1909,"|")),--LEFT(A1909,10)))</f>
        <v/>
      </c>
      <c r="C1909">
        <f>IF(A1909="","",TEXTBEFORE(TEXTAFTER(A1909,"|"),"|"))</f>
        <v/>
      </c>
      <c r="D1909">
        <f>IF(A1909="","",TEXTAFTER(A1909,"|",2))</f>
        <v/>
      </c>
      <c r="E1909">
        <f>IF(A1909="","",SUMIF(Tickets[TripKey],A1909,Tickets[TP]))</f>
        <v/>
      </c>
      <c r="F1909">
        <f>IF(A1909="","",SUMIF(Tickets[TripKey],A1909,Tickets[Revenue]))</f>
        <v/>
      </c>
      <c r="G1909">
        <f>IF(A1909="","",SUMIF(Tickets[TripKey],A1909,Tickets[PK]))</f>
        <v/>
      </c>
      <c r="H1909">
        <f>IF(A1909="","",IFERROR(XLOOKUP(A1909,Tickets[TripKey],Tickets[VehClean]),""))</f>
        <v/>
      </c>
      <c r="I1909">
        <f>IF(A1909="","",IFERROR(XLOOKUP(A1909,Tickets[TripKey],Tickets[RouteLen]),0))</f>
        <v/>
      </c>
      <c r="J1909">
        <f>IF(A1909="","",IFERROR(XLOOKUP(A1909,Tickets[TripKey],Tickets[Capacity]),0))</f>
        <v/>
      </c>
      <c r="K1909">
        <f>IF(A1909="","",I1909*J1909)</f>
        <v/>
      </c>
      <c r="L1909">
        <f>IF(A1909="","",IFERROR(MINIFS(Tickets[Trip Start Time],Tickets[TripKey],A1909),""))</f>
        <v/>
      </c>
    </row>
    <row r="1910">
      <c r="B1910" s="8">
        <f>IF(A1910="","",IFERROR(DATEVALUE(TEXTBEFORE(A1910,"|")),--LEFT(A1910,10)))</f>
        <v/>
      </c>
      <c r="C1910">
        <f>IF(A1910="","",TEXTBEFORE(TEXTAFTER(A1910,"|"),"|"))</f>
        <v/>
      </c>
      <c r="D1910">
        <f>IF(A1910="","",TEXTAFTER(A1910,"|",2))</f>
        <v/>
      </c>
      <c r="E1910">
        <f>IF(A1910="","",SUMIF(Tickets[TripKey],A1910,Tickets[TP]))</f>
        <v/>
      </c>
      <c r="F1910">
        <f>IF(A1910="","",SUMIF(Tickets[TripKey],A1910,Tickets[Revenue]))</f>
        <v/>
      </c>
      <c r="G1910">
        <f>IF(A1910="","",SUMIF(Tickets[TripKey],A1910,Tickets[PK]))</f>
        <v/>
      </c>
      <c r="H1910">
        <f>IF(A1910="","",IFERROR(XLOOKUP(A1910,Tickets[TripKey],Tickets[VehClean]),""))</f>
        <v/>
      </c>
      <c r="I1910">
        <f>IF(A1910="","",IFERROR(XLOOKUP(A1910,Tickets[TripKey],Tickets[RouteLen]),0))</f>
        <v/>
      </c>
      <c r="J1910">
        <f>IF(A1910="","",IFERROR(XLOOKUP(A1910,Tickets[TripKey],Tickets[Capacity]),0))</f>
        <v/>
      </c>
      <c r="K1910">
        <f>IF(A1910="","",I1910*J1910)</f>
        <v/>
      </c>
      <c r="L1910">
        <f>IF(A1910="","",IFERROR(MINIFS(Tickets[Trip Start Time],Tickets[TripKey],A1910),""))</f>
        <v/>
      </c>
    </row>
    <row r="1911">
      <c r="B1911" s="8">
        <f>IF(A1911="","",IFERROR(DATEVALUE(TEXTBEFORE(A1911,"|")),--LEFT(A1911,10)))</f>
        <v/>
      </c>
      <c r="C1911">
        <f>IF(A1911="","",TEXTBEFORE(TEXTAFTER(A1911,"|"),"|"))</f>
        <v/>
      </c>
      <c r="D1911">
        <f>IF(A1911="","",TEXTAFTER(A1911,"|",2))</f>
        <v/>
      </c>
      <c r="E1911">
        <f>IF(A1911="","",SUMIF(Tickets[TripKey],A1911,Tickets[TP]))</f>
        <v/>
      </c>
      <c r="F1911">
        <f>IF(A1911="","",SUMIF(Tickets[TripKey],A1911,Tickets[Revenue]))</f>
        <v/>
      </c>
      <c r="G1911">
        <f>IF(A1911="","",SUMIF(Tickets[TripKey],A1911,Tickets[PK]))</f>
        <v/>
      </c>
      <c r="H1911">
        <f>IF(A1911="","",IFERROR(XLOOKUP(A1911,Tickets[TripKey],Tickets[VehClean]),""))</f>
        <v/>
      </c>
      <c r="I1911">
        <f>IF(A1911="","",IFERROR(XLOOKUP(A1911,Tickets[TripKey],Tickets[RouteLen]),0))</f>
        <v/>
      </c>
      <c r="J1911">
        <f>IF(A1911="","",IFERROR(XLOOKUP(A1911,Tickets[TripKey],Tickets[Capacity]),0))</f>
        <v/>
      </c>
      <c r="K1911">
        <f>IF(A1911="","",I1911*J1911)</f>
        <v/>
      </c>
      <c r="L1911">
        <f>IF(A1911="","",IFERROR(MINIFS(Tickets[Trip Start Time],Tickets[TripKey],A1911),""))</f>
        <v/>
      </c>
    </row>
    <row r="1912">
      <c r="B1912" s="8">
        <f>IF(A1912="","",IFERROR(DATEVALUE(TEXTBEFORE(A1912,"|")),--LEFT(A1912,10)))</f>
        <v/>
      </c>
      <c r="C1912">
        <f>IF(A1912="","",TEXTBEFORE(TEXTAFTER(A1912,"|"),"|"))</f>
        <v/>
      </c>
      <c r="D1912">
        <f>IF(A1912="","",TEXTAFTER(A1912,"|",2))</f>
        <v/>
      </c>
      <c r="E1912">
        <f>IF(A1912="","",SUMIF(Tickets[TripKey],A1912,Tickets[TP]))</f>
        <v/>
      </c>
      <c r="F1912">
        <f>IF(A1912="","",SUMIF(Tickets[TripKey],A1912,Tickets[Revenue]))</f>
        <v/>
      </c>
      <c r="G1912">
        <f>IF(A1912="","",SUMIF(Tickets[TripKey],A1912,Tickets[PK]))</f>
        <v/>
      </c>
      <c r="H1912">
        <f>IF(A1912="","",IFERROR(XLOOKUP(A1912,Tickets[TripKey],Tickets[VehClean]),""))</f>
        <v/>
      </c>
      <c r="I1912">
        <f>IF(A1912="","",IFERROR(XLOOKUP(A1912,Tickets[TripKey],Tickets[RouteLen]),0))</f>
        <v/>
      </c>
      <c r="J1912">
        <f>IF(A1912="","",IFERROR(XLOOKUP(A1912,Tickets[TripKey],Tickets[Capacity]),0))</f>
        <v/>
      </c>
      <c r="K1912">
        <f>IF(A1912="","",I1912*J1912)</f>
        <v/>
      </c>
      <c r="L1912">
        <f>IF(A1912="","",IFERROR(MINIFS(Tickets[Trip Start Time],Tickets[TripKey],A1912),""))</f>
        <v/>
      </c>
    </row>
    <row r="1913">
      <c r="B1913" s="8">
        <f>IF(A1913="","",IFERROR(DATEVALUE(TEXTBEFORE(A1913,"|")),--LEFT(A1913,10)))</f>
        <v/>
      </c>
      <c r="C1913">
        <f>IF(A1913="","",TEXTBEFORE(TEXTAFTER(A1913,"|"),"|"))</f>
        <v/>
      </c>
      <c r="D1913">
        <f>IF(A1913="","",TEXTAFTER(A1913,"|",2))</f>
        <v/>
      </c>
      <c r="E1913">
        <f>IF(A1913="","",SUMIF(Tickets[TripKey],A1913,Tickets[TP]))</f>
        <v/>
      </c>
      <c r="F1913">
        <f>IF(A1913="","",SUMIF(Tickets[TripKey],A1913,Tickets[Revenue]))</f>
        <v/>
      </c>
      <c r="G1913">
        <f>IF(A1913="","",SUMIF(Tickets[TripKey],A1913,Tickets[PK]))</f>
        <v/>
      </c>
      <c r="H1913">
        <f>IF(A1913="","",IFERROR(XLOOKUP(A1913,Tickets[TripKey],Tickets[VehClean]),""))</f>
        <v/>
      </c>
      <c r="I1913">
        <f>IF(A1913="","",IFERROR(XLOOKUP(A1913,Tickets[TripKey],Tickets[RouteLen]),0))</f>
        <v/>
      </c>
      <c r="J1913">
        <f>IF(A1913="","",IFERROR(XLOOKUP(A1913,Tickets[TripKey],Tickets[Capacity]),0))</f>
        <v/>
      </c>
      <c r="K1913">
        <f>IF(A1913="","",I1913*J1913)</f>
        <v/>
      </c>
      <c r="L1913">
        <f>IF(A1913="","",IFERROR(MINIFS(Tickets[Trip Start Time],Tickets[TripKey],A1913),""))</f>
        <v/>
      </c>
    </row>
    <row r="1914">
      <c r="B1914" s="8">
        <f>IF(A1914="","",IFERROR(DATEVALUE(TEXTBEFORE(A1914,"|")),--LEFT(A1914,10)))</f>
        <v/>
      </c>
      <c r="C1914">
        <f>IF(A1914="","",TEXTBEFORE(TEXTAFTER(A1914,"|"),"|"))</f>
        <v/>
      </c>
      <c r="D1914">
        <f>IF(A1914="","",TEXTAFTER(A1914,"|",2))</f>
        <v/>
      </c>
      <c r="E1914">
        <f>IF(A1914="","",SUMIF(Tickets[TripKey],A1914,Tickets[TP]))</f>
        <v/>
      </c>
      <c r="F1914">
        <f>IF(A1914="","",SUMIF(Tickets[TripKey],A1914,Tickets[Revenue]))</f>
        <v/>
      </c>
      <c r="G1914">
        <f>IF(A1914="","",SUMIF(Tickets[TripKey],A1914,Tickets[PK]))</f>
        <v/>
      </c>
      <c r="H1914">
        <f>IF(A1914="","",IFERROR(XLOOKUP(A1914,Tickets[TripKey],Tickets[VehClean]),""))</f>
        <v/>
      </c>
      <c r="I1914">
        <f>IF(A1914="","",IFERROR(XLOOKUP(A1914,Tickets[TripKey],Tickets[RouteLen]),0))</f>
        <v/>
      </c>
      <c r="J1914">
        <f>IF(A1914="","",IFERROR(XLOOKUP(A1914,Tickets[TripKey],Tickets[Capacity]),0))</f>
        <v/>
      </c>
      <c r="K1914">
        <f>IF(A1914="","",I1914*J1914)</f>
        <v/>
      </c>
      <c r="L1914">
        <f>IF(A1914="","",IFERROR(MINIFS(Tickets[Trip Start Time],Tickets[TripKey],A1914),""))</f>
        <v/>
      </c>
    </row>
    <row r="1915">
      <c r="B1915" s="8">
        <f>IF(A1915="","",IFERROR(DATEVALUE(TEXTBEFORE(A1915,"|")),--LEFT(A1915,10)))</f>
        <v/>
      </c>
      <c r="C1915">
        <f>IF(A1915="","",TEXTBEFORE(TEXTAFTER(A1915,"|"),"|"))</f>
        <v/>
      </c>
      <c r="D1915">
        <f>IF(A1915="","",TEXTAFTER(A1915,"|",2))</f>
        <v/>
      </c>
      <c r="E1915">
        <f>IF(A1915="","",SUMIF(Tickets[TripKey],A1915,Tickets[TP]))</f>
        <v/>
      </c>
      <c r="F1915">
        <f>IF(A1915="","",SUMIF(Tickets[TripKey],A1915,Tickets[Revenue]))</f>
        <v/>
      </c>
      <c r="G1915">
        <f>IF(A1915="","",SUMIF(Tickets[TripKey],A1915,Tickets[PK]))</f>
        <v/>
      </c>
      <c r="H1915">
        <f>IF(A1915="","",IFERROR(XLOOKUP(A1915,Tickets[TripKey],Tickets[VehClean]),""))</f>
        <v/>
      </c>
      <c r="I1915">
        <f>IF(A1915="","",IFERROR(XLOOKUP(A1915,Tickets[TripKey],Tickets[RouteLen]),0))</f>
        <v/>
      </c>
      <c r="J1915">
        <f>IF(A1915="","",IFERROR(XLOOKUP(A1915,Tickets[TripKey],Tickets[Capacity]),0))</f>
        <v/>
      </c>
      <c r="K1915">
        <f>IF(A1915="","",I1915*J1915)</f>
        <v/>
      </c>
      <c r="L1915">
        <f>IF(A1915="","",IFERROR(MINIFS(Tickets[Trip Start Time],Tickets[TripKey],A1915),""))</f>
        <v/>
      </c>
    </row>
    <row r="1916">
      <c r="B1916" s="8">
        <f>IF(A1916="","",IFERROR(DATEVALUE(TEXTBEFORE(A1916,"|")),--LEFT(A1916,10)))</f>
        <v/>
      </c>
      <c r="C1916">
        <f>IF(A1916="","",TEXTBEFORE(TEXTAFTER(A1916,"|"),"|"))</f>
        <v/>
      </c>
      <c r="D1916">
        <f>IF(A1916="","",TEXTAFTER(A1916,"|",2))</f>
        <v/>
      </c>
      <c r="E1916">
        <f>IF(A1916="","",SUMIF(Tickets[TripKey],A1916,Tickets[TP]))</f>
        <v/>
      </c>
      <c r="F1916">
        <f>IF(A1916="","",SUMIF(Tickets[TripKey],A1916,Tickets[Revenue]))</f>
        <v/>
      </c>
      <c r="G1916">
        <f>IF(A1916="","",SUMIF(Tickets[TripKey],A1916,Tickets[PK]))</f>
        <v/>
      </c>
      <c r="H1916">
        <f>IF(A1916="","",IFERROR(XLOOKUP(A1916,Tickets[TripKey],Tickets[VehClean]),""))</f>
        <v/>
      </c>
      <c r="I1916">
        <f>IF(A1916="","",IFERROR(XLOOKUP(A1916,Tickets[TripKey],Tickets[RouteLen]),0))</f>
        <v/>
      </c>
      <c r="J1916">
        <f>IF(A1916="","",IFERROR(XLOOKUP(A1916,Tickets[TripKey],Tickets[Capacity]),0))</f>
        <v/>
      </c>
      <c r="K1916">
        <f>IF(A1916="","",I1916*J1916)</f>
        <v/>
      </c>
      <c r="L1916">
        <f>IF(A1916="","",IFERROR(MINIFS(Tickets[Trip Start Time],Tickets[TripKey],A1916),""))</f>
        <v/>
      </c>
    </row>
    <row r="1917">
      <c r="B1917" s="8">
        <f>IF(A1917="","",IFERROR(DATEVALUE(TEXTBEFORE(A1917,"|")),--LEFT(A1917,10)))</f>
        <v/>
      </c>
      <c r="C1917">
        <f>IF(A1917="","",TEXTBEFORE(TEXTAFTER(A1917,"|"),"|"))</f>
        <v/>
      </c>
      <c r="D1917">
        <f>IF(A1917="","",TEXTAFTER(A1917,"|",2))</f>
        <v/>
      </c>
      <c r="E1917">
        <f>IF(A1917="","",SUMIF(Tickets[TripKey],A1917,Tickets[TP]))</f>
        <v/>
      </c>
      <c r="F1917">
        <f>IF(A1917="","",SUMIF(Tickets[TripKey],A1917,Tickets[Revenue]))</f>
        <v/>
      </c>
      <c r="G1917">
        <f>IF(A1917="","",SUMIF(Tickets[TripKey],A1917,Tickets[PK]))</f>
        <v/>
      </c>
      <c r="H1917">
        <f>IF(A1917="","",IFERROR(XLOOKUP(A1917,Tickets[TripKey],Tickets[VehClean]),""))</f>
        <v/>
      </c>
      <c r="I1917">
        <f>IF(A1917="","",IFERROR(XLOOKUP(A1917,Tickets[TripKey],Tickets[RouteLen]),0))</f>
        <v/>
      </c>
      <c r="J1917">
        <f>IF(A1917="","",IFERROR(XLOOKUP(A1917,Tickets[TripKey],Tickets[Capacity]),0))</f>
        <v/>
      </c>
      <c r="K1917">
        <f>IF(A1917="","",I1917*J1917)</f>
        <v/>
      </c>
      <c r="L1917">
        <f>IF(A1917="","",IFERROR(MINIFS(Tickets[Trip Start Time],Tickets[TripKey],A1917),""))</f>
        <v/>
      </c>
    </row>
    <row r="1918">
      <c r="B1918" s="8">
        <f>IF(A1918="","",IFERROR(DATEVALUE(TEXTBEFORE(A1918,"|")),--LEFT(A1918,10)))</f>
        <v/>
      </c>
      <c r="C1918">
        <f>IF(A1918="","",TEXTBEFORE(TEXTAFTER(A1918,"|"),"|"))</f>
        <v/>
      </c>
      <c r="D1918">
        <f>IF(A1918="","",TEXTAFTER(A1918,"|",2))</f>
        <v/>
      </c>
      <c r="E1918">
        <f>IF(A1918="","",SUMIF(Tickets[TripKey],A1918,Tickets[TP]))</f>
        <v/>
      </c>
      <c r="F1918">
        <f>IF(A1918="","",SUMIF(Tickets[TripKey],A1918,Tickets[Revenue]))</f>
        <v/>
      </c>
      <c r="G1918">
        <f>IF(A1918="","",SUMIF(Tickets[TripKey],A1918,Tickets[PK]))</f>
        <v/>
      </c>
      <c r="H1918">
        <f>IF(A1918="","",IFERROR(XLOOKUP(A1918,Tickets[TripKey],Tickets[VehClean]),""))</f>
        <v/>
      </c>
      <c r="I1918">
        <f>IF(A1918="","",IFERROR(XLOOKUP(A1918,Tickets[TripKey],Tickets[RouteLen]),0))</f>
        <v/>
      </c>
      <c r="J1918">
        <f>IF(A1918="","",IFERROR(XLOOKUP(A1918,Tickets[TripKey],Tickets[Capacity]),0))</f>
        <v/>
      </c>
      <c r="K1918">
        <f>IF(A1918="","",I1918*J1918)</f>
        <v/>
      </c>
      <c r="L1918">
        <f>IF(A1918="","",IFERROR(MINIFS(Tickets[Trip Start Time],Tickets[TripKey],A1918),""))</f>
        <v/>
      </c>
    </row>
    <row r="1919">
      <c r="B1919" s="8">
        <f>IF(A1919="","",IFERROR(DATEVALUE(TEXTBEFORE(A1919,"|")),--LEFT(A1919,10)))</f>
        <v/>
      </c>
      <c r="C1919">
        <f>IF(A1919="","",TEXTBEFORE(TEXTAFTER(A1919,"|"),"|"))</f>
        <v/>
      </c>
      <c r="D1919">
        <f>IF(A1919="","",TEXTAFTER(A1919,"|",2))</f>
        <v/>
      </c>
      <c r="E1919">
        <f>IF(A1919="","",SUMIF(Tickets[TripKey],A1919,Tickets[TP]))</f>
        <v/>
      </c>
      <c r="F1919">
        <f>IF(A1919="","",SUMIF(Tickets[TripKey],A1919,Tickets[Revenue]))</f>
        <v/>
      </c>
      <c r="G1919">
        <f>IF(A1919="","",SUMIF(Tickets[TripKey],A1919,Tickets[PK]))</f>
        <v/>
      </c>
      <c r="H1919">
        <f>IF(A1919="","",IFERROR(XLOOKUP(A1919,Tickets[TripKey],Tickets[VehClean]),""))</f>
        <v/>
      </c>
      <c r="I1919">
        <f>IF(A1919="","",IFERROR(XLOOKUP(A1919,Tickets[TripKey],Tickets[RouteLen]),0))</f>
        <v/>
      </c>
      <c r="J1919">
        <f>IF(A1919="","",IFERROR(XLOOKUP(A1919,Tickets[TripKey],Tickets[Capacity]),0))</f>
        <v/>
      </c>
      <c r="K1919">
        <f>IF(A1919="","",I1919*J1919)</f>
        <v/>
      </c>
      <c r="L1919">
        <f>IF(A1919="","",IFERROR(MINIFS(Tickets[Trip Start Time],Tickets[TripKey],A1919),""))</f>
        <v/>
      </c>
    </row>
    <row r="1920">
      <c r="B1920" s="8">
        <f>IF(A1920="","",IFERROR(DATEVALUE(TEXTBEFORE(A1920,"|")),--LEFT(A1920,10)))</f>
        <v/>
      </c>
      <c r="C1920">
        <f>IF(A1920="","",TEXTBEFORE(TEXTAFTER(A1920,"|"),"|"))</f>
        <v/>
      </c>
      <c r="D1920">
        <f>IF(A1920="","",TEXTAFTER(A1920,"|",2))</f>
        <v/>
      </c>
      <c r="E1920">
        <f>IF(A1920="","",SUMIF(Tickets[TripKey],A1920,Tickets[TP]))</f>
        <v/>
      </c>
      <c r="F1920">
        <f>IF(A1920="","",SUMIF(Tickets[TripKey],A1920,Tickets[Revenue]))</f>
        <v/>
      </c>
      <c r="G1920">
        <f>IF(A1920="","",SUMIF(Tickets[TripKey],A1920,Tickets[PK]))</f>
        <v/>
      </c>
      <c r="H1920">
        <f>IF(A1920="","",IFERROR(XLOOKUP(A1920,Tickets[TripKey],Tickets[VehClean]),""))</f>
        <v/>
      </c>
      <c r="I1920">
        <f>IF(A1920="","",IFERROR(XLOOKUP(A1920,Tickets[TripKey],Tickets[RouteLen]),0))</f>
        <v/>
      </c>
      <c r="J1920">
        <f>IF(A1920="","",IFERROR(XLOOKUP(A1920,Tickets[TripKey],Tickets[Capacity]),0))</f>
        <v/>
      </c>
      <c r="K1920">
        <f>IF(A1920="","",I1920*J1920)</f>
        <v/>
      </c>
      <c r="L1920">
        <f>IF(A1920="","",IFERROR(MINIFS(Tickets[Trip Start Time],Tickets[TripKey],A1920),""))</f>
        <v/>
      </c>
    </row>
    <row r="1921">
      <c r="B1921" s="8">
        <f>IF(A1921="","",IFERROR(DATEVALUE(TEXTBEFORE(A1921,"|")),--LEFT(A1921,10)))</f>
        <v/>
      </c>
      <c r="C1921">
        <f>IF(A1921="","",TEXTBEFORE(TEXTAFTER(A1921,"|"),"|"))</f>
        <v/>
      </c>
      <c r="D1921">
        <f>IF(A1921="","",TEXTAFTER(A1921,"|",2))</f>
        <v/>
      </c>
      <c r="E1921">
        <f>IF(A1921="","",SUMIF(Tickets[TripKey],A1921,Tickets[TP]))</f>
        <v/>
      </c>
      <c r="F1921">
        <f>IF(A1921="","",SUMIF(Tickets[TripKey],A1921,Tickets[Revenue]))</f>
        <v/>
      </c>
      <c r="G1921">
        <f>IF(A1921="","",SUMIF(Tickets[TripKey],A1921,Tickets[PK]))</f>
        <v/>
      </c>
      <c r="H1921">
        <f>IF(A1921="","",IFERROR(XLOOKUP(A1921,Tickets[TripKey],Tickets[VehClean]),""))</f>
        <v/>
      </c>
      <c r="I1921">
        <f>IF(A1921="","",IFERROR(XLOOKUP(A1921,Tickets[TripKey],Tickets[RouteLen]),0))</f>
        <v/>
      </c>
      <c r="J1921">
        <f>IF(A1921="","",IFERROR(XLOOKUP(A1921,Tickets[TripKey],Tickets[Capacity]),0))</f>
        <v/>
      </c>
      <c r="K1921">
        <f>IF(A1921="","",I1921*J1921)</f>
        <v/>
      </c>
      <c r="L1921">
        <f>IF(A1921="","",IFERROR(MINIFS(Tickets[Trip Start Time],Tickets[TripKey],A1921),""))</f>
        <v/>
      </c>
    </row>
    <row r="1922">
      <c r="B1922" s="8">
        <f>IF(A1922="","",IFERROR(DATEVALUE(TEXTBEFORE(A1922,"|")),--LEFT(A1922,10)))</f>
        <v/>
      </c>
      <c r="C1922">
        <f>IF(A1922="","",TEXTBEFORE(TEXTAFTER(A1922,"|"),"|"))</f>
        <v/>
      </c>
      <c r="D1922">
        <f>IF(A1922="","",TEXTAFTER(A1922,"|",2))</f>
        <v/>
      </c>
      <c r="E1922">
        <f>IF(A1922="","",SUMIF(Tickets[TripKey],A1922,Tickets[TP]))</f>
        <v/>
      </c>
      <c r="F1922">
        <f>IF(A1922="","",SUMIF(Tickets[TripKey],A1922,Tickets[Revenue]))</f>
        <v/>
      </c>
      <c r="G1922">
        <f>IF(A1922="","",SUMIF(Tickets[TripKey],A1922,Tickets[PK]))</f>
        <v/>
      </c>
      <c r="H1922">
        <f>IF(A1922="","",IFERROR(XLOOKUP(A1922,Tickets[TripKey],Tickets[VehClean]),""))</f>
        <v/>
      </c>
      <c r="I1922">
        <f>IF(A1922="","",IFERROR(XLOOKUP(A1922,Tickets[TripKey],Tickets[RouteLen]),0))</f>
        <v/>
      </c>
      <c r="J1922">
        <f>IF(A1922="","",IFERROR(XLOOKUP(A1922,Tickets[TripKey],Tickets[Capacity]),0))</f>
        <v/>
      </c>
      <c r="K1922">
        <f>IF(A1922="","",I1922*J1922)</f>
        <v/>
      </c>
      <c r="L1922">
        <f>IF(A1922="","",IFERROR(MINIFS(Tickets[Trip Start Time],Tickets[TripKey],A1922),""))</f>
        <v/>
      </c>
    </row>
    <row r="1923">
      <c r="B1923" s="8">
        <f>IF(A1923="","",IFERROR(DATEVALUE(TEXTBEFORE(A1923,"|")),--LEFT(A1923,10)))</f>
        <v/>
      </c>
      <c r="C1923">
        <f>IF(A1923="","",TEXTBEFORE(TEXTAFTER(A1923,"|"),"|"))</f>
        <v/>
      </c>
      <c r="D1923">
        <f>IF(A1923="","",TEXTAFTER(A1923,"|",2))</f>
        <v/>
      </c>
      <c r="E1923">
        <f>IF(A1923="","",SUMIF(Tickets[TripKey],A1923,Tickets[TP]))</f>
        <v/>
      </c>
      <c r="F1923">
        <f>IF(A1923="","",SUMIF(Tickets[TripKey],A1923,Tickets[Revenue]))</f>
        <v/>
      </c>
      <c r="G1923">
        <f>IF(A1923="","",SUMIF(Tickets[TripKey],A1923,Tickets[PK]))</f>
        <v/>
      </c>
      <c r="H1923">
        <f>IF(A1923="","",IFERROR(XLOOKUP(A1923,Tickets[TripKey],Tickets[VehClean]),""))</f>
        <v/>
      </c>
      <c r="I1923">
        <f>IF(A1923="","",IFERROR(XLOOKUP(A1923,Tickets[TripKey],Tickets[RouteLen]),0))</f>
        <v/>
      </c>
      <c r="J1923">
        <f>IF(A1923="","",IFERROR(XLOOKUP(A1923,Tickets[TripKey],Tickets[Capacity]),0))</f>
        <v/>
      </c>
      <c r="K1923">
        <f>IF(A1923="","",I1923*J1923)</f>
        <v/>
      </c>
      <c r="L1923">
        <f>IF(A1923="","",IFERROR(MINIFS(Tickets[Trip Start Time],Tickets[TripKey],A1923),""))</f>
        <v/>
      </c>
    </row>
    <row r="1924">
      <c r="B1924" s="8">
        <f>IF(A1924="","",IFERROR(DATEVALUE(TEXTBEFORE(A1924,"|")),--LEFT(A1924,10)))</f>
        <v/>
      </c>
      <c r="C1924">
        <f>IF(A1924="","",TEXTBEFORE(TEXTAFTER(A1924,"|"),"|"))</f>
        <v/>
      </c>
      <c r="D1924">
        <f>IF(A1924="","",TEXTAFTER(A1924,"|",2))</f>
        <v/>
      </c>
      <c r="E1924">
        <f>IF(A1924="","",SUMIF(Tickets[TripKey],A1924,Tickets[TP]))</f>
        <v/>
      </c>
      <c r="F1924">
        <f>IF(A1924="","",SUMIF(Tickets[TripKey],A1924,Tickets[Revenue]))</f>
        <v/>
      </c>
      <c r="G1924">
        <f>IF(A1924="","",SUMIF(Tickets[TripKey],A1924,Tickets[PK]))</f>
        <v/>
      </c>
      <c r="H1924">
        <f>IF(A1924="","",IFERROR(XLOOKUP(A1924,Tickets[TripKey],Tickets[VehClean]),""))</f>
        <v/>
      </c>
      <c r="I1924">
        <f>IF(A1924="","",IFERROR(XLOOKUP(A1924,Tickets[TripKey],Tickets[RouteLen]),0))</f>
        <v/>
      </c>
      <c r="J1924">
        <f>IF(A1924="","",IFERROR(XLOOKUP(A1924,Tickets[TripKey],Tickets[Capacity]),0))</f>
        <v/>
      </c>
      <c r="K1924">
        <f>IF(A1924="","",I1924*J1924)</f>
        <v/>
      </c>
      <c r="L1924">
        <f>IF(A1924="","",IFERROR(MINIFS(Tickets[Trip Start Time],Tickets[TripKey],A1924),""))</f>
        <v/>
      </c>
    </row>
    <row r="1925">
      <c r="B1925" s="8">
        <f>IF(A1925="","",IFERROR(DATEVALUE(TEXTBEFORE(A1925,"|")),--LEFT(A1925,10)))</f>
        <v/>
      </c>
      <c r="C1925">
        <f>IF(A1925="","",TEXTBEFORE(TEXTAFTER(A1925,"|"),"|"))</f>
        <v/>
      </c>
      <c r="D1925">
        <f>IF(A1925="","",TEXTAFTER(A1925,"|",2))</f>
        <v/>
      </c>
      <c r="E1925">
        <f>IF(A1925="","",SUMIF(Tickets[TripKey],A1925,Tickets[TP]))</f>
        <v/>
      </c>
      <c r="F1925">
        <f>IF(A1925="","",SUMIF(Tickets[TripKey],A1925,Tickets[Revenue]))</f>
        <v/>
      </c>
      <c r="G1925">
        <f>IF(A1925="","",SUMIF(Tickets[TripKey],A1925,Tickets[PK]))</f>
        <v/>
      </c>
      <c r="H1925">
        <f>IF(A1925="","",IFERROR(XLOOKUP(A1925,Tickets[TripKey],Tickets[VehClean]),""))</f>
        <v/>
      </c>
      <c r="I1925">
        <f>IF(A1925="","",IFERROR(XLOOKUP(A1925,Tickets[TripKey],Tickets[RouteLen]),0))</f>
        <v/>
      </c>
      <c r="J1925">
        <f>IF(A1925="","",IFERROR(XLOOKUP(A1925,Tickets[TripKey],Tickets[Capacity]),0))</f>
        <v/>
      </c>
      <c r="K1925">
        <f>IF(A1925="","",I1925*J1925)</f>
        <v/>
      </c>
      <c r="L1925">
        <f>IF(A1925="","",IFERROR(MINIFS(Tickets[Trip Start Time],Tickets[TripKey],A1925),""))</f>
        <v/>
      </c>
    </row>
    <row r="1926">
      <c r="B1926" s="8">
        <f>IF(A1926="","",IFERROR(DATEVALUE(TEXTBEFORE(A1926,"|")),--LEFT(A1926,10)))</f>
        <v/>
      </c>
      <c r="C1926">
        <f>IF(A1926="","",TEXTBEFORE(TEXTAFTER(A1926,"|"),"|"))</f>
        <v/>
      </c>
      <c r="D1926">
        <f>IF(A1926="","",TEXTAFTER(A1926,"|",2))</f>
        <v/>
      </c>
      <c r="E1926">
        <f>IF(A1926="","",SUMIF(Tickets[TripKey],A1926,Tickets[TP]))</f>
        <v/>
      </c>
      <c r="F1926">
        <f>IF(A1926="","",SUMIF(Tickets[TripKey],A1926,Tickets[Revenue]))</f>
        <v/>
      </c>
      <c r="G1926">
        <f>IF(A1926="","",SUMIF(Tickets[TripKey],A1926,Tickets[PK]))</f>
        <v/>
      </c>
      <c r="H1926">
        <f>IF(A1926="","",IFERROR(XLOOKUP(A1926,Tickets[TripKey],Tickets[VehClean]),""))</f>
        <v/>
      </c>
      <c r="I1926">
        <f>IF(A1926="","",IFERROR(XLOOKUP(A1926,Tickets[TripKey],Tickets[RouteLen]),0))</f>
        <v/>
      </c>
      <c r="J1926">
        <f>IF(A1926="","",IFERROR(XLOOKUP(A1926,Tickets[TripKey],Tickets[Capacity]),0))</f>
        <v/>
      </c>
      <c r="K1926">
        <f>IF(A1926="","",I1926*J1926)</f>
        <v/>
      </c>
      <c r="L1926">
        <f>IF(A1926="","",IFERROR(MINIFS(Tickets[Trip Start Time],Tickets[TripKey],A1926),""))</f>
        <v/>
      </c>
    </row>
    <row r="1927">
      <c r="B1927" s="8">
        <f>IF(A1927="","",IFERROR(DATEVALUE(TEXTBEFORE(A1927,"|")),--LEFT(A1927,10)))</f>
        <v/>
      </c>
      <c r="C1927">
        <f>IF(A1927="","",TEXTBEFORE(TEXTAFTER(A1927,"|"),"|"))</f>
        <v/>
      </c>
      <c r="D1927">
        <f>IF(A1927="","",TEXTAFTER(A1927,"|",2))</f>
        <v/>
      </c>
      <c r="E1927">
        <f>IF(A1927="","",SUMIF(Tickets[TripKey],A1927,Tickets[TP]))</f>
        <v/>
      </c>
      <c r="F1927">
        <f>IF(A1927="","",SUMIF(Tickets[TripKey],A1927,Tickets[Revenue]))</f>
        <v/>
      </c>
      <c r="G1927">
        <f>IF(A1927="","",SUMIF(Tickets[TripKey],A1927,Tickets[PK]))</f>
        <v/>
      </c>
      <c r="H1927">
        <f>IF(A1927="","",IFERROR(XLOOKUP(A1927,Tickets[TripKey],Tickets[VehClean]),""))</f>
        <v/>
      </c>
      <c r="I1927">
        <f>IF(A1927="","",IFERROR(XLOOKUP(A1927,Tickets[TripKey],Tickets[RouteLen]),0))</f>
        <v/>
      </c>
      <c r="J1927">
        <f>IF(A1927="","",IFERROR(XLOOKUP(A1927,Tickets[TripKey],Tickets[Capacity]),0))</f>
        <v/>
      </c>
      <c r="K1927">
        <f>IF(A1927="","",I1927*J1927)</f>
        <v/>
      </c>
      <c r="L1927">
        <f>IF(A1927="","",IFERROR(MINIFS(Tickets[Trip Start Time],Tickets[TripKey],A1927),""))</f>
        <v/>
      </c>
    </row>
    <row r="1928">
      <c r="B1928" s="8">
        <f>IF(A1928="","",IFERROR(DATEVALUE(TEXTBEFORE(A1928,"|")),--LEFT(A1928,10)))</f>
        <v/>
      </c>
      <c r="C1928">
        <f>IF(A1928="","",TEXTBEFORE(TEXTAFTER(A1928,"|"),"|"))</f>
        <v/>
      </c>
      <c r="D1928">
        <f>IF(A1928="","",TEXTAFTER(A1928,"|",2))</f>
        <v/>
      </c>
      <c r="E1928">
        <f>IF(A1928="","",SUMIF(Tickets[TripKey],A1928,Tickets[TP]))</f>
        <v/>
      </c>
      <c r="F1928">
        <f>IF(A1928="","",SUMIF(Tickets[TripKey],A1928,Tickets[Revenue]))</f>
        <v/>
      </c>
      <c r="G1928">
        <f>IF(A1928="","",SUMIF(Tickets[TripKey],A1928,Tickets[PK]))</f>
        <v/>
      </c>
      <c r="H1928">
        <f>IF(A1928="","",IFERROR(XLOOKUP(A1928,Tickets[TripKey],Tickets[VehClean]),""))</f>
        <v/>
      </c>
      <c r="I1928">
        <f>IF(A1928="","",IFERROR(XLOOKUP(A1928,Tickets[TripKey],Tickets[RouteLen]),0))</f>
        <v/>
      </c>
      <c r="J1928">
        <f>IF(A1928="","",IFERROR(XLOOKUP(A1928,Tickets[TripKey],Tickets[Capacity]),0))</f>
        <v/>
      </c>
      <c r="K1928">
        <f>IF(A1928="","",I1928*J1928)</f>
        <v/>
      </c>
      <c r="L1928">
        <f>IF(A1928="","",IFERROR(MINIFS(Tickets[Trip Start Time],Tickets[TripKey],A1928),""))</f>
        <v/>
      </c>
    </row>
    <row r="1929">
      <c r="B1929" s="8">
        <f>IF(A1929="","",IFERROR(DATEVALUE(TEXTBEFORE(A1929,"|")),--LEFT(A1929,10)))</f>
        <v/>
      </c>
      <c r="C1929">
        <f>IF(A1929="","",TEXTBEFORE(TEXTAFTER(A1929,"|"),"|"))</f>
        <v/>
      </c>
      <c r="D1929">
        <f>IF(A1929="","",TEXTAFTER(A1929,"|",2))</f>
        <v/>
      </c>
      <c r="E1929">
        <f>IF(A1929="","",SUMIF(Tickets[TripKey],A1929,Tickets[TP]))</f>
        <v/>
      </c>
      <c r="F1929">
        <f>IF(A1929="","",SUMIF(Tickets[TripKey],A1929,Tickets[Revenue]))</f>
        <v/>
      </c>
      <c r="G1929">
        <f>IF(A1929="","",SUMIF(Tickets[TripKey],A1929,Tickets[PK]))</f>
        <v/>
      </c>
      <c r="H1929">
        <f>IF(A1929="","",IFERROR(XLOOKUP(A1929,Tickets[TripKey],Tickets[VehClean]),""))</f>
        <v/>
      </c>
      <c r="I1929">
        <f>IF(A1929="","",IFERROR(XLOOKUP(A1929,Tickets[TripKey],Tickets[RouteLen]),0))</f>
        <v/>
      </c>
      <c r="J1929">
        <f>IF(A1929="","",IFERROR(XLOOKUP(A1929,Tickets[TripKey],Tickets[Capacity]),0))</f>
        <v/>
      </c>
      <c r="K1929">
        <f>IF(A1929="","",I1929*J1929)</f>
        <v/>
      </c>
      <c r="L1929">
        <f>IF(A1929="","",IFERROR(MINIFS(Tickets[Trip Start Time],Tickets[TripKey],A1929),""))</f>
        <v/>
      </c>
    </row>
    <row r="1930">
      <c r="B1930" s="8">
        <f>IF(A1930="","",IFERROR(DATEVALUE(TEXTBEFORE(A1930,"|")),--LEFT(A1930,10)))</f>
        <v/>
      </c>
      <c r="C1930">
        <f>IF(A1930="","",TEXTBEFORE(TEXTAFTER(A1930,"|"),"|"))</f>
        <v/>
      </c>
      <c r="D1930">
        <f>IF(A1930="","",TEXTAFTER(A1930,"|",2))</f>
        <v/>
      </c>
      <c r="E1930">
        <f>IF(A1930="","",SUMIF(Tickets[TripKey],A1930,Tickets[TP]))</f>
        <v/>
      </c>
      <c r="F1930">
        <f>IF(A1930="","",SUMIF(Tickets[TripKey],A1930,Tickets[Revenue]))</f>
        <v/>
      </c>
      <c r="G1930">
        <f>IF(A1930="","",SUMIF(Tickets[TripKey],A1930,Tickets[PK]))</f>
        <v/>
      </c>
      <c r="H1930">
        <f>IF(A1930="","",IFERROR(XLOOKUP(A1930,Tickets[TripKey],Tickets[VehClean]),""))</f>
        <v/>
      </c>
      <c r="I1930">
        <f>IF(A1930="","",IFERROR(XLOOKUP(A1930,Tickets[TripKey],Tickets[RouteLen]),0))</f>
        <v/>
      </c>
      <c r="J1930">
        <f>IF(A1930="","",IFERROR(XLOOKUP(A1930,Tickets[TripKey],Tickets[Capacity]),0))</f>
        <v/>
      </c>
      <c r="K1930">
        <f>IF(A1930="","",I1930*J1930)</f>
        <v/>
      </c>
      <c r="L1930">
        <f>IF(A1930="","",IFERROR(MINIFS(Tickets[Trip Start Time],Tickets[TripKey],A1930),""))</f>
        <v/>
      </c>
    </row>
    <row r="1931">
      <c r="B1931" s="8">
        <f>IF(A1931="","",IFERROR(DATEVALUE(TEXTBEFORE(A1931,"|")),--LEFT(A1931,10)))</f>
        <v/>
      </c>
      <c r="C1931">
        <f>IF(A1931="","",TEXTBEFORE(TEXTAFTER(A1931,"|"),"|"))</f>
        <v/>
      </c>
      <c r="D1931">
        <f>IF(A1931="","",TEXTAFTER(A1931,"|",2))</f>
        <v/>
      </c>
      <c r="E1931">
        <f>IF(A1931="","",SUMIF(Tickets[TripKey],A1931,Tickets[TP]))</f>
        <v/>
      </c>
      <c r="F1931">
        <f>IF(A1931="","",SUMIF(Tickets[TripKey],A1931,Tickets[Revenue]))</f>
        <v/>
      </c>
      <c r="G1931">
        <f>IF(A1931="","",SUMIF(Tickets[TripKey],A1931,Tickets[PK]))</f>
        <v/>
      </c>
      <c r="H1931">
        <f>IF(A1931="","",IFERROR(XLOOKUP(A1931,Tickets[TripKey],Tickets[VehClean]),""))</f>
        <v/>
      </c>
      <c r="I1931">
        <f>IF(A1931="","",IFERROR(XLOOKUP(A1931,Tickets[TripKey],Tickets[RouteLen]),0))</f>
        <v/>
      </c>
      <c r="J1931">
        <f>IF(A1931="","",IFERROR(XLOOKUP(A1931,Tickets[TripKey],Tickets[Capacity]),0))</f>
        <v/>
      </c>
      <c r="K1931">
        <f>IF(A1931="","",I1931*J1931)</f>
        <v/>
      </c>
      <c r="L1931">
        <f>IF(A1931="","",IFERROR(MINIFS(Tickets[Trip Start Time],Tickets[TripKey],A1931),""))</f>
        <v/>
      </c>
    </row>
    <row r="1932">
      <c r="B1932" s="8">
        <f>IF(A1932="","",IFERROR(DATEVALUE(TEXTBEFORE(A1932,"|")),--LEFT(A1932,10)))</f>
        <v/>
      </c>
      <c r="C1932">
        <f>IF(A1932="","",TEXTBEFORE(TEXTAFTER(A1932,"|"),"|"))</f>
        <v/>
      </c>
      <c r="D1932">
        <f>IF(A1932="","",TEXTAFTER(A1932,"|",2))</f>
        <v/>
      </c>
      <c r="E1932">
        <f>IF(A1932="","",SUMIF(Tickets[TripKey],A1932,Tickets[TP]))</f>
        <v/>
      </c>
      <c r="F1932">
        <f>IF(A1932="","",SUMIF(Tickets[TripKey],A1932,Tickets[Revenue]))</f>
        <v/>
      </c>
      <c r="G1932">
        <f>IF(A1932="","",SUMIF(Tickets[TripKey],A1932,Tickets[PK]))</f>
        <v/>
      </c>
      <c r="H1932">
        <f>IF(A1932="","",IFERROR(XLOOKUP(A1932,Tickets[TripKey],Tickets[VehClean]),""))</f>
        <v/>
      </c>
      <c r="I1932">
        <f>IF(A1932="","",IFERROR(XLOOKUP(A1932,Tickets[TripKey],Tickets[RouteLen]),0))</f>
        <v/>
      </c>
      <c r="J1932">
        <f>IF(A1932="","",IFERROR(XLOOKUP(A1932,Tickets[TripKey],Tickets[Capacity]),0))</f>
        <v/>
      </c>
      <c r="K1932">
        <f>IF(A1932="","",I1932*J1932)</f>
        <v/>
      </c>
      <c r="L1932">
        <f>IF(A1932="","",IFERROR(MINIFS(Tickets[Trip Start Time],Tickets[TripKey],A1932),""))</f>
        <v/>
      </c>
    </row>
    <row r="1933">
      <c r="B1933" s="8">
        <f>IF(A1933="","",IFERROR(DATEVALUE(TEXTBEFORE(A1933,"|")),--LEFT(A1933,10)))</f>
        <v/>
      </c>
      <c r="C1933">
        <f>IF(A1933="","",TEXTBEFORE(TEXTAFTER(A1933,"|"),"|"))</f>
        <v/>
      </c>
      <c r="D1933">
        <f>IF(A1933="","",TEXTAFTER(A1933,"|",2))</f>
        <v/>
      </c>
      <c r="E1933">
        <f>IF(A1933="","",SUMIF(Tickets[TripKey],A1933,Tickets[TP]))</f>
        <v/>
      </c>
      <c r="F1933">
        <f>IF(A1933="","",SUMIF(Tickets[TripKey],A1933,Tickets[Revenue]))</f>
        <v/>
      </c>
      <c r="G1933">
        <f>IF(A1933="","",SUMIF(Tickets[TripKey],A1933,Tickets[PK]))</f>
        <v/>
      </c>
      <c r="H1933">
        <f>IF(A1933="","",IFERROR(XLOOKUP(A1933,Tickets[TripKey],Tickets[VehClean]),""))</f>
        <v/>
      </c>
      <c r="I1933">
        <f>IF(A1933="","",IFERROR(XLOOKUP(A1933,Tickets[TripKey],Tickets[RouteLen]),0))</f>
        <v/>
      </c>
      <c r="J1933">
        <f>IF(A1933="","",IFERROR(XLOOKUP(A1933,Tickets[TripKey],Tickets[Capacity]),0))</f>
        <v/>
      </c>
      <c r="K1933">
        <f>IF(A1933="","",I1933*J1933)</f>
        <v/>
      </c>
      <c r="L1933">
        <f>IF(A1933="","",IFERROR(MINIFS(Tickets[Trip Start Time],Tickets[TripKey],A1933),""))</f>
        <v/>
      </c>
    </row>
    <row r="1934">
      <c r="B1934" s="8">
        <f>IF(A1934="","",IFERROR(DATEVALUE(TEXTBEFORE(A1934,"|")),--LEFT(A1934,10)))</f>
        <v/>
      </c>
      <c r="C1934">
        <f>IF(A1934="","",TEXTBEFORE(TEXTAFTER(A1934,"|"),"|"))</f>
        <v/>
      </c>
      <c r="D1934">
        <f>IF(A1934="","",TEXTAFTER(A1934,"|",2))</f>
        <v/>
      </c>
      <c r="E1934">
        <f>IF(A1934="","",SUMIF(Tickets[TripKey],A1934,Tickets[TP]))</f>
        <v/>
      </c>
      <c r="F1934">
        <f>IF(A1934="","",SUMIF(Tickets[TripKey],A1934,Tickets[Revenue]))</f>
        <v/>
      </c>
      <c r="G1934">
        <f>IF(A1934="","",SUMIF(Tickets[TripKey],A1934,Tickets[PK]))</f>
        <v/>
      </c>
      <c r="H1934">
        <f>IF(A1934="","",IFERROR(XLOOKUP(A1934,Tickets[TripKey],Tickets[VehClean]),""))</f>
        <v/>
      </c>
      <c r="I1934">
        <f>IF(A1934="","",IFERROR(XLOOKUP(A1934,Tickets[TripKey],Tickets[RouteLen]),0))</f>
        <v/>
      </c>
      <c r="J1934">
        <f>IF(A1934="","",IFERROR(XLOOKUP(A1934,Tickets[TripKey],Tickets[Capacity]),0))</f>
        <v/>
      </c>
      <c r="K1934">
        <f>IF(A1934="","",I1934*J1934)</f>
        <v/>
      </c>
      <c r="L1934">
        <f>IF(A1934="","",IFERROR(MINIFS(Tickets[Trip Start Time],Tickets[TripKey],A1934),""))</f>
        <v/>
      </c>
    </row>
    <row r="1935">
      <c r="B1935" s="8">
        <f>IF(A1935="","",IFERROR(DATEVALUE(TEXTBEFORE(A1935,"|")),--LEFT(A1935,10)))</f>
        <v/>
      </c>
      <c r="C1935">
        <f>IF(A1935="","",TEXTBEFORE(TEXTAFTER(A1935,"|"),"|"))</f>
        <v/>
      </c>
      <c r="D1935">
        <f>IF(A1935="","",TEXTAFTER(A1935,"|",2))</f>
        <v/>
      </c>
      <c r="E1935">
        <f>IF(A1935="","",SUMIF(Tickets[TripKey],A1935,Tickets[TP]))</f>
        <v/>
      </c>
      <c r="F1935">
        <f>IF(A1935="","",SUMIF(Tickets[TripKey],A1935,Tickets[Revenue]))</f>
        <v/>
      </c>
      <c r="G1935">
        <f>IF(A1935="","",SUMIF(Tickets[TripKey],A1935,Tickets[PK]))</f>
        <v/>
      </c>
      <c r="H1935">
        <f>IF(A1935="","",IFERROR(XLOOKUP(A1935,Tickets[TripKey],Tickets[VehClean]),""))</f>
        <v/>
      </c>
      <c r="I1935">
        <f>IF(A1935="","",IFERROR(XLOOKUP(A1935,Tickets[TripKey],Tickets[RouteLen]),0))</f>
        <v/>
      </c>
      <c r="J1935">
        <f>IF(A1935="","",IFERROR(XLOOKUP(A1935,Tickets[TripKey],Tickets[Capacity]),0))</f>
        <v/>
      </c>
      <c r="K1935">
        <f>IF(A1935="","",I1935*J1935)</f>
        <v/>
      </c>
      <c r="L1935">
        <f>IF(A1935="","",IFERROR(MINIFS(Tickets[Trip Start Time],Tickets[TripKey],A1935),""))</f>
        <v/>
      </c>
    </row>
    <row r="1936">
      <c r="B1936" s="8">
        <f>IF(A1936="","",IFERROR(DATEVALUE(TEXTBEFORE(A1936,"|")),--LEFT(A1936,10)))</f>
        <v/>
      </c>
      <c r="C1936">
        <f>IF(A1936="","",TEXTBEFORE(TEXTAFTER(A1936,"|"),"|"))</f>
        <v/>
      </c>
      <c r="D1936">
        <f>IF(A1936="","",TEXTAFTER(A1936,"|",2))</f>
        <v/>
      </c>
      <c r="E1936">
        <f>IF(A1936="","",SUMIF(Tickets[TripKey],A1936,Tickets[TP]))</f>
        <v/>
      </c>
      <c r="F1936">
        <f>IF(A1936="","",SUMIF(Tickets[TripKey],A1936,Tickets[Revenue]))</f>
        <v/>
      </c>
      <c r="G1936">
        <f>IF(A1936="","",SUMIF(Tickets[TripKey],A1936,Tickets[PK]))</f>
        <v/>
      </c>
      <c r="H1936">
        <f>IF(A1936="","",IFERROR(XLOOKUP(A1936,Tickets[TripKey],Tickets[VehClean]),""))</f>
        <v/>
      </c>
      <c r="I1936">
        <f>IF(A1936="","",IFERROR(XLOOKUP(A1936,Tickets[TripKey],Tickets[RouteLen]),0))</f>
        <v/>
      </c>
      <c r="J1936">
        <f>IF(A1936="","",IFERROR(XLOOKUP(A1936,Tickets[TripKey],Tickets[Capacity]),0))</f>
        <v/>
      </c>
      <c r="K1936">
        <f>IF(A1936="","",I1936*J1936)</f>
        <v/>
      </c>
      <c r="L1936">
        <f>IF(A1936="","",IFERROR(MINIFS(Tickets[Trip Start Time],Tickets[TripKey],A1936),""))</f>
        <v/>
      </c>
    </row>
    <row r="1937">
      <c r="B1937" s="8">
        <f>IF(A1937="","",IFERROR(DATEVALUE(TEXTBEFORE(A1937,"|")),--LEFT(A1937,10)))</f>
        <v/>
      </c>
      <c r="C1937">
        <f>IF(A1937="","",TEXTBEFORE(TEXTAFTER(A1937,"|"),"|"))</f>
        <v/>
      </c>
      <c r="D1937">
        <f>IF(A1937="","",TEXTAFTER(A1937,"|",2))</f>
        <v/>
      </c>
      <c r="E1937">
        <f>IF(A1937="","",SUMIF(Tickets[TripKey],A1937,Tickets[TP]))</f>
        <v/>
      </c>
      <c r="F1937">
        <f>IF(A1937="","",SUMIF(Tickets[TripKey],A1937,Tickets[Revenue]))</f>
        <v/>
      </c>
      <c r="G1937">
        <f>IF(A1937="","",SUMIF(Tickets[TripKey],A1937,Tickets[PK]))</f>
        <v/>
      </c>
      <c r="H1937">
        <f>IF(A1937="","",IFERROR(XLOOKUP(A1937,Tickets[TripKey],Tickets[VehClean]),""))</f>
        <v/>
      </c>
      <c r="I1937">
        <f>IF(A1937="","",IFERROR(XLOOKUP(A1937,Tickets[TripKey],Tickets[RouteLen]),0))</f>
        <v/>
      </c>
      <c r="J1937">
        <f>IF(A1937="","",IFERROR(XLOOKUP(A1937,Tickets[TripKey],Tickets[Capacity]),0))</f>
        <v/>
      </c>
      <c r="K1937">
        <f>IF(A1937="","",I1937*J1937)</f>
        <v/>
      </c>
      <c r="L1937">
        <f>IF(A1937="","",IFERROR(MINIFS(Tickets[Trip Start Time],Tickets[TripKey],A1937),""))</f>
        <v/>
      </c>
    </row>
    <row r="1938">
      <c r="B1938" s="8">
        <f>IF(A1938="","",IFERROR(DATEVALUE(TEXTBEFORE(A1938,"|")),--LEFT(A1938,10)))</f>
        <v/>
      </c>
      <c r="C1938">
        <f>IF(A1938="","",TEXTBEFORE(TEXTAFTER(A1938,"|"),"|"))</f>
        <v/>
      </c>
      <c r="D1938">
        <f>IF(A1938="","",TEXTAFTER(A1938,"|",2))</f>
        <v/>
      </c>
      <c r="E1938">
        <f>IF(A1938="","",SUMIF(Tickets[TripKey],A1938,Tickets[TP]))</f>
        <v/>
      </c>
      <c r="F1938">
        <f>IF(A1938="","",SUMIF(Tickets[TripKey],A1938,Tickets[Revenue]))</f>
        <v/>
      </c>
      <c r="G1938">
        <f>IF(A1938="","",SUMIF(Tickets[TripKey],A1938,Tickets[PK]))</f>
        <v/>
      </c>
      <c r="H1938">
        <f>IF(A1938="","",IFERROR(XLOOKUP(A1938,Tickets[TripKey],Tickets[VehClean]),""))</f>
        <v/>
      </c>
      <c r="I1938">
        <f>IF(A1938="","",IFERROR(XLOOKUP(A1938,Tickets[TripKey],Tickets[RouteLen]),0))</f>
        <v/>
      </c>
      <c r="J1938">
        <f>IF(A1938="","",IFERROR(XLOOKUP(A1938,Tickets[TripKey],Tickets[Capacity]),0))</f>
        <v/>
      </c>
      <c r="K1938">
        <f>IF(A1938="","",I1938*J1938)</f>
        <v/>
      </c>
      <c r="L1938">
        <f>IF(A1938="","",IFERROR(MINIFS(Tickets[Trip Start Time],Tickets[TripKey],A1938),""))</f>
        <v/>
      </c>
    </row>
    <row r="1939">
      <c r="B1939" s="8">
        <f>IF(A1939="","",IFERROR(DATEVALUE(TEXTBEFORE(A1939,"|")),--LEFT(A1939,10)))</f>
        <v/>
      </c>
      <c r="C1939">
        <f>IF(A1939="","",TEXTBEFORE(TEXTAFTER(A1939,"|"),"|"))</f>
        <v/>
      </c>
      <c r="D1939">
        <f>IF(A1939="","",TEXTAFTER(A1939,"|",2))</f>
        <v/>
      </c>
      <c r="E1939">
        <f>IF(A1939="","",SUMIF(Tickets[TripKey],A1939,Tickets[TP]))</f>
        <v/>
      </c>
      <c r="F1939">
        <f>IF(A1939="","",SUMIF(Tickets[TripKey],A1939,Tickets[Revenue]))</f>
        <v/>
      </c>
      <c r="G1939">
        <f>IF(A1939="","",SUMIF(Tickets[TripKey],A1939,Tickets[PK]))</f>
        <v/>
      </c>
      <c r="H1939">
        <f>IF(A1939="","",IFERROR(XLOOKUP(A1939,Tickets[TripKey],Tickets[VehClean]),""))</f>
        <v/>
      </c>
      <c r="I1939">
        <f>IF(A1939="","",IFERROR(XLOOKUP(A1939,Tickets[TripKey],Tickets[RouteLen]),0))</f>
        <v/>
      </c>
      <c r="J1939">
        <f>IF(A1939="","",IFERROR(XLOOKUP(A1939,Tickets[TripKey],Tickets[Capacity]),0))</f>
        <v/>
      </c>
      <c r="K1939">
        <f>IF(A1939="","",I1939*J1939)</f>
        <v/>
      </c>
      <c r="L1939">
        <f>IF(A1939="","",IFERROR(MINIFS(Tickets[Trip Start Time],Tickets[TripKey],A1939),""))</f>
        <v/>
      </c>
    </row>
    <row r="1940">
      <c r="B1940" s="8">
        <f>IF(A1940="","",IFERROR(DATEVALUE(TEXTBEFORE(A1940,"|")),--LEFT(A1940,10)))</f>
        <v/>
      </c>
      <c r="C1940">
        <f>IF(A1940="","",TEXTBEFORE(TEXTAFTER(A1940,"|"),"|"))</f>
        <v/>
      </c>
      <c r="D1940">
        <f>IF(A1940="","",TEXTAFTER(A1940,"|",2))</f>
        <v/>
      </c>
      <c r="E1940">
        <f>IF(A1940="","",SUMIF(Tickets[TripKey],A1940,Tickets[TP]))</f>
        <v/>
      </c>
      <c r="F1940">
        <f>IF(A1940="","",SUMIF(Tickets[TripKey],A1940,Tickets[Revenue]))</f>
        <v/>
      </c>
      <c r="G1940">
        <f>IF(A1940="","",SUMIF(Tickets[TripKey],A1940,Tickets[PK]))</f>
        <v/>
      </c>
      <c r="H1940">
        <f>IF(A1940="","",IFERROR(XLOOKUP(A1940,Tickets[TripKey],Tickets[VehClean]),""))</f>
        <v/>
      </c>
      <c r="I1940">
        <f>IF(A1940="","",IFERROR(XLOOKUP(A1940,Tickets[TripKey],Tickets[RouteLen]),0))</f>
        <v/>
      </c>
      <c r="J1940">
        <f>IF(A1940="","",IFERROR(XLOOKUP(A1940,Tickets[TripKey],Tickets[Capacity]),0))</f>
        <v/>
      </c>
      <c r="K1940">
        <f>IF(A1940="","",I1940*J1940)</f>
        <v/>
      </c>
      <c r="L1940">
        <f>IF(A1940="","",IFERROR(MINIFS(Tickets[Trip Start Time],Tickets[TripKey],A1940),""))</f>
        <v/>
      </c>
    </row>
    <row r="1941">
      <c r="B1941" s="8">
        <f>IF(A1941="","",IFERROR(DATEVALUE(TEXTBEFORE(A1941,"|")),--LEFT(A1941,10)))</f>
        <v/>
      </c>
      <c r="C1941">
        <f>IF(A1941="","",TEXTBEFORE(TEXTAFTER(A1941,"|"),"|"))</f>
        <v/>
      </c>
      <c r="D1941">
        <f>IF(A1941="","",TEXTAFTER(A1941,"|",2))</f>
        <v/>
      </c>
      <c r="E1941">
        <f>IF(A1941="","",SUMIF(Tickets[TripKey],A1941,Tickets[TP]))</f>
        <v/>
      </c>
      <c r="F1941">
        <f>IF(A1941="","",SUMIF(Tickets[TripKey],A1941,Tickets[Revenue]))</f>
        <v/>
      </c>
      <c r="G1941">
        <f>IF(A1941="","",SUMIF(Tickets[TripKey],A1941,Tickets[PK]))</f>
        <v/>
      </c>
      <c r="H1941">
        <f>IF(A1941="","",IFERROR(XLOOKUP(A1941,Tickets[TripKey],Tickets[VehClean]),""))</f>
        <v/>
      </c>
      <c r="I1941">
        <f>IF(A1941="","",IFERROR(XLOOKUP(A1941,Tickets[TripKey],Tickets[RouteLen]),0))</f>
        <v/>
      </c>
      <c r="J1941">
        <f>IF(A1941="","",IFERROR(XLOOKUP(A1941,Tickets[TripKey],Tickets[Capacity]),0))</f>
        <v/>
      </c>
      <c r="K1941">
        <f>IF(A1941="","",I1941*J1941)</f>
        <v/>
      </c>
      <c r="L1941">
        <f>IF(A1941="","",IFERROR(MINIFS(Tickets[Trip Start Time],Tickets[TripKey],A1941),""))</f>
        <v/>
      </c>
    </row>
    <row r="1942">
      <c r="B1942" s="8">
        <f>IF(A1942="","",IFERROR(DATEVALUE(TEXTBEFORE(A1942,"|")),--LEFT(A1942,10)))</f>
        <v/>
      </c>
      <c r="C1942">
        <f>IF(A1942="","",TEXTBEFORE(TEXTAFTER(A1942,"|"),"|"))</f>
        <v/>
      </c>
      <c r="D1942">
        <f>IF(A1942="","",TEXTAFTER(A1942,"|",2))</f>
        <v/>
      </c>
      <c r="E1942">
        <f>IF(A1942="","",SUMIF(Tickets[TripKey],A1942,Tickets[TP]))</f>
        <v/>
      </c>
      <c r="F1942">
        <f>IF(A1942="","",SUMIF(Tickets[TripKey],A1942,Tickets[Revenue]))</f>
        <v/>
      </c>
      <c r="G1942">
        <f>IF(A1942="","",SUMIF(Tickets[TripKey],A1942,Tickets[PK]))</f>
        <v/>
      </c>
      <c r="H1942">
        <f>IF(A1942="","",IFERROR(XLOOKUP(A1942,Tickets[TripKey],Tickets[VehClean]),""))</f>
        <v/>
      </c>
      <c r="I1942">
        <f>IF(A1942="","",IFERROR(XLOOKUP(A1942,Tickets[TripKey],Tickets[RouteLen]),0))</f>
        <v/>
      </c>
      <c r="J1942">
        <f>IF(A1942="","",IFERROR(XLOOKUP(A1942,Tickets[TripKey],Tickets[Capacity]),0))</f>
        <v/>
      </c>
      <c r="K1942">
        <f>IF(A1942="","",I1942*J1942)</f>
        <v/>
      </c>
      <c r="L1942">
        <f>IF(A1942="","",IFERROR(MINIFS(Tickets[Trip Start Time],Tickets[TripKey],A1942),""))</f>
        <v/>
      </c>
    </row>
    <row r="1943">
      <c r="B1943" s="8">
        <f>IF(A1943="","",IFERROR(DATEVALUE(TEXTBEFORE(A1943,"|")),--LEFT(A1943,10)))</f>
        <v/>
      </c>
      <c r="C1943">
        <f>IF(A1943="","",TEXTBEFORE(TEXTAFTER(A1943,"|"),"|"))</f>
        <v/>
      </c>
      <c r="D1943">
        <f>IF(A1943="","",TEXTAFTER(A1943,"|",2))</f>
        <v/>
      </c>
      <c r="E1943">
        <f>IF(A1943="","",SUMIF(Tickets[TripKey],A1943,Tickets[TP]))</f>
        <v/>
      </c>
      <c r="F1943">
        <f>IF(A1943="","",SUMIF(Tickets[TripKey],A1943,Tickets[Revenue]))</f>
        <v/>
      </c>
      <c r="G1943">
        <f>IF(A1943="","",SUMIF(Tickets[TripKey],A1943,Tickets[PK]))</f>
        <v/>
      </c>
      <c r="H1943">
        <f>IF(A1943="","",IFERROR(XLOOKUP(A1943,Tickets[TripKey],Tickets[VehClean]),""))</f>
        <v/>
      </c>
      <c r="I1943">
        <f>IF(A1943="","",IFERROR(XLOOKUP(A1943,Tickets[TripKey],Tickets[RouteLen]),0))</f>
        <v/>
      </c>
      <c r="J1943">
        <f>IF(A1943="","",IFERROR(XLOOKUP(A1943,Tickets[TripKey],Tickets[Capacity]),0))</f>
        <v/>
      </c>
      <c r="K1943">
        <f>IF(A1943="","",I1943*J1943)</f>
        <v/>
      </c>
      <c r="L1943">
        <f>IF(A1943="","",IFERROR(MINIFS(Tickets[Trip Start Time],Tickets[TripKey],A1943),""))</f>
        <v/>
      </c>
    </row>
    <row r="1944">
      <c r="B1944" s="8">
        <f>IF(A1944="","",IFERROR(DATEVALUE(TEXTBEFORE(A1944,"|")),--LEFT(A1944,10)))</f>
        <v/>
      </c>
      <c r="C1944">
        <f>IF(A1944="","",TEXTBEFORE(TEXTAFTER(A1944,"|"),"|"))</f>
        <v/>
      </c>
      <c r="D1944">
        <f>IF(A1944="","",TEXTAFTER(A1944,"|",2))</f>
        <v/>
      </c>
      <c r="E1944">
        <f>IF(A1944="","",SUMIF(Tickets[TripKey],A1944,Tickets[TP]))</f>
        <v/>
      </c>
      <c r="F1944">
        <f>IF(A1944="","",SUMIF(Tickets[TripKey],A1944,Tickets[Revenue]))</f>
        <v/>
      </c>
      <c r="G1944">
        <f>IF(A1944="","",SUMIF(Tickets[TripKey],A1944,Tickets[PK]))</f>
        <v/>
      </c>
      <c r="H1944">
        <f>IF(A1944="","",IFERROR(XLOOKUP(A1944,Tickets[TripKey],Tickets[VehClean]),""))</f>
        <v/>
      </c>
      <c r="I1944">
        <f>IF(A1944="","",IFERROR(XLOOKUP(A1944,Tickets[TripKey],Tickets[RouteLen]),0))</f>
        <v/>
      </c>
      <c r="J1944">
        <f>IF(A1944="","",IFERROR(XLOOKUP(A1944,Tickets[TripKey],Tickets[Capacity]),0))</f>
        <v/>
      </c>
      <c r="K1944">
        <f>IF(A1944="","",I1944*J1944)</f>
        <v/>
      </c>
      <c r="L1944">
        <f>IF(A1944="","",IFERROR(MINIFS(Tickets[Trip Start Time],Tickets[TripKey],A1944),""))</f>
        <v/>
      </c>
    </row>
    <row r="1945">
      <c r="B1945" s="8">
        <f>IF(A1945="","",IFERROR(DATEVALUE(TEXTBEFORE(A1945,"|")),--LEFT(A1945,10)))</f>
        <v/>
      </c>
      <c r="C1945">
        <f>IF(A1945="","",TEXTBEFORE(TEXTAFTER(A1945,"|"),"|"))</f>
        <v/>
      </c>
      <c r="D1945">
        <f>IF(A1945="","",TEXTAFTER(A1945,"|",2))</f>
        <v/>
      </c>
      <c r="E1945">
        <f>IF(A1945="","",SUMIF(Tickets[TripKey],A1945,Tickets[TP]))</f>
        <v/>
      </c>
      <c r="F1945">
        <f>IF(A1945="","",SUMIF(Tickets[TripKey],A1945,Tickets[Revenue]))</f>
        <v/>
      </c>
      <c r="G1945">
        <f>IF(A1945="","",SUMIF(Tickets[TripKey],A1945,Tickets[PK]))</f>
        <v/>
      </c>
      <c r="H1945">
        <f>IF(A1945="","",IFERROR(XLOOKUP(A1945,Tickets[TripKey],Tickets[VehClean]),""))</f>
        <v/>
      </c>
      <c r="I1945">
        <f>IF(A1945="","",IFERROR(XLOOKUP(A1945,Tickets[TripKey],Tickets[RouteLen]),0))</f>
        <v/>
      </c>
      <c r="J1945">
        <f>IF(A1945="","",IFERROR(XLOOKUP(A1945,Tickets[TripKey],Tickets[Capacity]),0))</f>
        <v/>
      </c>
      <c r="K1945">
        <f>IF(A1945="","",I1945*J1945)</f>
        <v/>
      </c>
      <c r="L1945">
        <f>IF(A1945="","",IFERROR(MINIFS(Tickets[Trip Start Time],Tickets[TripKey],A1945),""))</f>
        <v/>
      </c>
    </row>
    <row r="1946">
      <c r="B1946" s="8">
        <f>IF(A1946="","",IFERROR(DATEVALUE(TEXTBEFORE(A1946,"|")),--LEFT(A1946,10)))</f>
        <v/>
      </c>
      <c r="C1946">
        <f>IF(A1946="","",TEXTBEFORE(TEXTAFTER(A1946,"|"),"|"))</f>
        <v/>
      </c>
      <c r="D1946">
        <f>IF(A1946="","",TEXTAFTER(A1946,"|",2))</f>
        <v/>
      </c>
      <c r="E1946">
        <f>IF(A1946="","",SUMIF(Tickets[TripKey],A1946,Tickets[TP]))</f>
        <v/>
      </c>
      <c r="F1946">
        <f>IF(A1946="","",SUMIF(Tickets[TripKey],A1946,Tickets[Revenue]))</f>
        <v/>
      </c>
      <c r="G1946">
        <f>IF(A1946="","",SUMIF(Tickets[TripKey],A1946,Tickets[PK]))</f>
        <v/>
      </c>
      <c r="H1946">
        <f>IF(A1946="","",IFERROR(XLOOKUP(A1946,Tickets[TripKey],Tickets[VehClean]),""))</f>
        <v/>
      </c>
      <c r="I1946">
        <f>IF(A1946="","",IFERROR(XLOOKUP(A1946,Tickets[TripKey],Tickets[RouteLen]),0))</f>
        <v/>
      </c>
      <c r="J1946">
        <f>IF(A1946="","",IFERROR(XLOOKUP(A1946,Tickets[TripKey],Tickets[Capacity]),0))</f>
        <v/>
      </c>
      <c r="K1946">
        <f>IF(A1946="","",I1946*J1946)</f>
        <v/>
      </c>
      <c r="L1946">
        <f>IF(A1946="","",IFERROR(MINIFS(Tickets[Trip Start Time],Tickets[TripKey],A1946),""))</f>
        <v/>
      </c>
    </row>
    <row r="1947">
      <c r="B1947" s="8">
        <f>IF(A1947="","",IFERROR(DATEVALUE(TEXTBEFORE(A1947,"|")),--LEFT(A1947,10)))</f>
        <v/>
      </c>
      <c r="C1947">
        <f>IF(A1947="","",TEXTBEFORE(TEXTAFTER(A1947,"|"),"|"))</f>
        <v/>
      </c>
      <c r="D1947">
        <f>IF(A1947="","",TEXTAFTER(A1947,"|",2))</f>
        <v/>
      </c>
      <c r="E1947">
        <f>IF(A1947="","",SUMIF(Tickets[TripKey],A1947,Tickets[TP]))</f>
        <v/>
      </c>
      <c r="F1947">
        <f>IF(A1947="","",SUMIF(Tickets[TripKey],A1947,Tickets[Revenue]))</f>
        <v/>
      </c>
      <c r="G1947">
        <f>IF(A1947="","",SUMIF(Tickets[TripKey],A1947,Tickets[PK]))</f>
        <v/>
      </c>
      <c r="H1947">
        <f>IF(A1947="","",IFERROR(XLOOKUP(A1947,Tickets[TripKey],Tickets[VehClean]),""))</f>
        <v/>
      </c>
      <c r="I1947">
        <f>IF(A1947="","",IFERROR(XLOOKUP(A1947,Tickets[TripKey],Tickets[RouteLen]),0))</f>
        <v/>
      </c>
      <c r="J1947">
        <f>IF(A1947="","",IFERROR(XLOOKUP(A1947,Tickets[TripKey],Tickets[Capacity]),0))</f>
        <v/>
      </c>
      <c r="K1947">
        <f>IF(A1947="","",I1947*J1947)</f>
        <v/>
      </c>
      <c r="L1947">
        <f>IF(A1947="","",IFERROR(MINIFS(Tickets[Trip Start Time],Tickets[TripKey],A1947),""))</f>
        <v/>
      </c>
    </row>
    <row r="1948">
      <c r="B1948" s="8">
        <f>IF(A1948="","",IFERROR(DATEVALUE(TEXTBEFORE(A1948,"|")),--LEFT(A1948,10)))</f>
        <v/>
      </c>
      <c r="C1948">
        <f>IF(A1948="","",TEXTBEFORE(TEXTAFTER(A1948,"|"),"|"))</f>
        <v/>
      </c>
      <c r="D1948">
        <f>IF(A1948="","",TEXTAFTER(A1948,"|",2))</f>
        <v/>
      </c>
      <c r="E1948">
        <f>IF(A1948="","",SUMIF(Tickets[TripKey],A1948,Tickets[TP]))</f>
        <v/>
      </c>
      <c r="F1948">
        <f>IF(A1948="","",SUMIF(Tickets[TripKey],A1948,Tickets[Revenue]))</f>
        <v/>
      </c>
      <c r="G1948">
        <f>IF(A1948="","",SUMIF(Tickets[TripKey],A1948,Tickets[PK]))</f>
        <v/>
      </c>
      <c r="H1948">
        <f>IF(A1948="","",IFERROR(XLOOKUP(A1948,Tickets[TripKey],Tickets[VehClean]),""))</f>
        <v/>
      </c>
      <c r="I1948">
        <f>IF(A1948="","",IFERROR(XLOOKUP(A1948,Tickets[TripKey],Tickets[RouteLen]),0))</f>
        <v/>
      </c>
      <c r="J1948">
        <f>IF(A1948="","",IFERROR(XLOOKUP(A1948,Tickets[TripKey],Tickets[Capacity]),0))</f>
        <v/>
      </c>
      <c r="K1948">
        <f>IF(A1948="","",I1948*J1948)</f>
        <v/>
      </c>
      <c r="L1948">
        <f>IF(A1948="","",IFERROR(MINIFS(Tickets[Trip Start Time],Tickets[TripKey],A1948),""))</f>
        <v/>
      </c>
    </row>
    <row r="1949">
      <c r="B1949" s="8">
        <f>IF(A1949="","",IFERROR(DATEVALUE(TEXTBEFORE(A1949,"|")),--LEFT(A1949,10)))</f>
        <v/>
      </c>
      <c r="C1949">
        <f>IF(A1949="","",TEXTBEFORE(TEXTAFTER(A1949,"|"),"|"))</f>
        <v/>
      </c>
      <c r="D1949">
        <f>IF(A1949="","",TEXTAFTER(A1949,"|",2))</f>
        <v/>
      </c>
      <c r="E1949">
        <f>IF(A1949="","",SUMIF(Tickets[TripKey],A1949,Tickets[TP]))</f>
        <v/>
      </c>
      <c r="F1949">
        <f>IF(A1949="","",SUMIF(Tickets[TripKey],A1949,Tickets[Revenue]))</f>
        <v/>
      </c>
      <c r="G1949">
        <f>IF(A1949="","",SUMIF(Tickets[TripKey],A1949,Tickets[PK]))</f>
        <v/>
      </c>
      <c r="H1949">
        <f>IF(A1949="","",IFERROR(XLOOKUP(A1949,Tickets[TripKey],Tickets[VehClean]),""))</f>
        <v/>
      </c>
      <c r="I1949">
        <f>IF(A1949="","",IFERROR(XLOOKUP(A1949,Tickets[TripKey],Tickets[RouteLen]),0))</f>
        <v/>
      </c>
      <c r="J1949">
        <f>IF(A1949="","",IFERROR(XLOOKUP(A1949,Tickets[TripKey],Tickets[Capacity]),0))</f>
        <v/>
      </c>
      <c r="K1949">
        <f>IF(A1949="","",I1949*J1949)</f>
        <v/>
      </c>
      <c r="L1949">
        <f>IF(A1949="","",IFERROR(MINIFS(Tickets[Trip Start Time],Tickets[TripKey],A1949),""))</f>
        <v/>
      </c>
    </row>
    <row r="1950">
      <c r="B1950" s="8">
        <f>IF(A1950="","",IFERROR(DATEVALUE(TEXTBEFORE(A1950,"|")),--LEFT(A1950,10)))</f>
        <v/>
      </c>
      <c r="C1950">
        <f>IF(A1950="","",TEXTBEFORE(TEXTAFTER(A1950,"|"),"|"))</f>
        <v/>
      </c>
      <c r="D1950">
        <f>IF(A1950="","",TEXTAFTER(A1950,"|",2))</f>
        <v/>
      </c>
      <c r="E1950">
        <f>IF(A1950="","",SUMIF(Tickets[TripKey],A1950,Tickets[TP]))</f>
        <v/>
      </c>
      <c r="F1950">
        <f>IF(A1950="","",SUMIF(Tickets[TripKey],A1950,Tickets[Revenue]))</f>
        <v/>
      </c>
      <c r="G1950">
        <f>IF(A1950="","",SUMIF(Tickets[TripKey],A1950,Tickets[PK]))</f>
        <v/>
      </c>
      <c r="H1950">
        <f>IF(A1950="","",IFERROR(XLOOKUP(A1950,Tickets[TripKey],Tickets[VehClean]),""))</f>
        <v/>
      </c>
      <c r="I1950">
        <f>IF(A1950="","",IFERROR(XLOOKUP(A1950,Tickets[TripKey],Tickets[RouteLen]),0))</f>
        <v/>
      </c>
      <c r="J1950">
        <f>IF(A1950="","",IFERROR(XLOOKUP(A1950,Tickets[TripKey],Tickets[Capacity]),0))</f>
        <v/>
      </c>
      <c r="K1950">
        <f>IF(A1950="","",I1950*J1950)</f>
        <v/>
      </c>
      <c r="L1950">
        <f>IF(A1950="","",IFERROR(MINIFS(Tickets[Trip Start Time],Tickets[TripKey],A1950),""))</f>
        <v/>
      </c>
    </row>
    <row r="1951">
      <c r="B1951" s="8">
        <f>IF(A1951="","",IFERROR(DATEVALUE(TEXTBEFORE(A1951,"|")),--LEFT(A1951,10)))</f>
        <v/>
      </c>
      <c r="C1951">
        <f>IF(A1951="","",TEXTBEFORE(TEXTAFTER(A1951,"|"),"|"))</f>
        <v/>
      </c>
      <c r="D1951">
        <f>IF(A1951="","",TEXTAFTER(A1951,"|",2))</f>
        <v/>
      </c>
      <c r="E1951">
        <f>IF(A1951="","",SUMIF(Tickets[TripKey],A1951,Tickets[TP]))</f>
        <v/>
      </c>
      <c r="F1951">
        <f>IF(A1951="","",SUMIF(Tickets[TripKey],A1951,Tickets[Revenue]))</f>
        <v/>
      </c>
      <c r="G1951">
        <f>IF(A1951="","",SUMIF(Tickets[TripKey],A1951,Tickets[PK]))</f>
        <v/>
      </c>
      <c r="H1951">
        <f>IF(A1951="","",IFERROR(XLOOKUP(A1951,Tickets[TripKey],Tickets[VehClean]),""))</f>
        <v/>
      </c>
      <c r="I1951">
        <f>IF(A1951="","",IFERROR(XLOOKUP(A1951,Tickets[TripKey],Tickets[RouteLen]),0))</f>
        <v/>
      </c>
      <c r="J1951">
        <f>IF(A1951="","",IFERROR(XLOOKUP(A1951,Tickets[TripKey],Tickets[Capacity]),0))</f>
        <v/>
      </c>
      <c r="K1951">
        <f>IF(A1951="","",I1951*J1951)</f>
        <v/>
      </c>
      <c r="L1951">
        <f>IF(A1951="","",IFERROR(MINIFS(Tickets[Trip Start Time],Tickets[TripKey],A1951),""))</f>
        <v/>
      </c>
    </row>
    <row r="1952">
      <c r="B1952" s="8">
        <f>IF(A1952="","",IFERROR(DATEVALUE(TEXTBEFORE(A1952,"|")),--LEFT(A1952,10)))</f>
        <v/>
      </c>
      <c r="C1952">
        <f>IF(A1952="","",TEXTBEFORE(TEXTAFTER(A1952,"|"),"|"))</f>
        <v/>
      </c>
      <c r="D1952">
        <f>IF(A1952="","",TEXTAFTER(A1952,"|",2))</f>
        <v/>
      </c>
      <c r="E1952">
        <f>IF(A1952="","",SUMIF(Tickets[TripKey],A1952,Tickets[TP]))</f>
        <v/>
      </c>
      <c r="F1952">
        <f>IF(A1952="","",SUMIF(Tickets[TripKey],A1952,Tickets[Revenue]))</f>
        <v/>
      </c>
      <c r="G1952">
        <f>IF(A1952="","",SUMIF(Tickets[TripKey],A1952,Tickets[PK]))</f>
        <v/>
      </c>
      <c r="H1952">
        <f>IF(A1952="","",IFERROR(XLOOKUP(A1952,Tickets[TripKey],Tickets[VehClean]),""))</f>
        <v/>
      </c>
      <c r="I1952">
        <f>IF(A1952="","",IFERROR(XLOOKUP(A1952,Tickets[TripKey],Tickets[RouteLen]),0))</f>
        <v/>
      </c>
      <c r="J1952">
        <f>IF(A1952="","",IFERROR(XLOOKUP(A1952,Tickets[TripKey],Tickets[Capacity]),0))</f>
        <v/>
      </c>
      <c r="K1952">
        <f>IF(A1952="","",I1952*J1952)</f>
        <v/>
      </c>
      <c r="L1952">
        <f>IF(A1952="","",IFERROR(MINIFS(Tickets[Trip Start Time],Tickets[TripKey],A1952),""))</f>
        <v/>
      </c>
    </row>
    <row r="1953">
      <c r="B1953" s="8">
        <f>IF(A1953="","",IFERROR(DATEVALUE(TEXTBEFORE(A1953,"|")),--LEFT(A1953,10)))</f>
        <v/>
      </c>
      <c r="C1953">
        <f>IF(A1953="","",TEXTBEFORE(TEXTAFTER(A1953,"|"),"|"))</f>
        <v/>
      </c>
      <c r="D1953">
        <f>IF(A1953="","",TEXTAFTER(A1953,"|",2))</f>
        <v/>
      </c>
      <c r="E1953">
        <f>IF(A1953="","",SUMIF(Tickets[TripKey],A1953,Tickets[TP]))</f>
        <v/>
      </c>
      <c r="F1953">
        <f>IF(A1953="","",SUMIF(Tickets[TripKey],A1953,Tickets[Revenue]))</f>
        <v/>
      </c>
      <c r="G1953">
        <f>IF(A1953="","",SUMIF(Tickets[TripKey],A1953,Tickets[PK]))</f>
        <v/>
      </c>
      <c r="H1953">
        <f>IF(A1953="","",IFERROR(XLOOKUP(A1953,Tickets[TripKey],Tickets[VehClean]),""))</f>
        <v/>
      </c>
      <c r="I1953">
        <f>IF(A1953="","",IFERROR(XLOOKUP(A1953,Tickets[TripKey],Tickets[RouteLen]),0))</f>
        <v/>
      </c>
      <c r="J1953">
        <f>IF(A1953="","",IFERROR(XLOOKUP(A1953,Tickets[TripKey],Tickets[Capacity]),0))</f>
        <v/>
      </c>
      <c r="K1953">
        <f>IF(A1953="","",I1953*J1953)</f>
        <v/>
      </c>
      <c r="L1953">
        <f>IF(A1953="","",IFERROR(MINIFS(Tickets[Trip Start Time],Tickets[TripKey],A1953),""))</f>
        <v/>
      </c>
    </row>
    <row r="1954">
      <c r="B1954" s="8">
        <f>IF(A1954="","",IFERROR(DATEVALUE(TEXTBEFORE(A1954,"|")),--LEFT(A1954,10)))</f>
        <v/>
      </c>
      <c r="C1954">
        <f>IF(A1954="","",TEXTBEFORE(TEXTAFTER(A1954,"|"),"|"))</f>
        <v/>
      </c>
      <c r="D1954">
        <f>IF(A1954="","",TEXTAFTER(A1954,"|",2))</f>
        <v/>
      </c>
      <c r="E1954">
        <f>IF(A1954="","",SUMIF(Tickets[TripKey],A1954,Tickets[TP]))</f>
        <v/>
      </c>
      <c r="F1954">
        <f>IF(A1954="","",SUMIF(Tickets[TripKey],A1954,Tickets[Revenue]))</f>
        <v/>
      </c>
      <c r="G1954">
        <f>IF(A1954="","",SUMIF(Tickets[TripKey],A1954,Tickets[PK]))</f>
        <v/>
      </c>
      <c r="H1954">
        <f>IF(A1954="","",IFERROR(XLOOKUP(A1954,Tickets[TripKey],Tickets[VehClean]),""))</f>
        <v/>
      </c>
      <c r="I1954">
        <f>IF(A1954="","",IFERROR(XLOOKUP(A1954,Tickets[TripKey],Tickets[RouteLen]),0))</f>
        <v/>
      </c>
      <c r="J1954">
        <f>IF(A1954="","",IFERROR(XLOOKUP(A1954,Tickets[TripKey],Tickets[Capacity]),0))</f>
        <v/>
      </c>
      <c r="K1954">
        <f>IF(A1954="","",I1954*J1954)</f>
        <v/>
      </c>
      <c r="L1954">
        <f>IF(A1954="","",IFERROR(MINIFS(Tickets[Trip Start Time],Tickets[TripKey],A1954),""))</f>
        <v/>
      </c>
    </row>
    <row r="1955">
      <c r="B1955" s="8">
        <f>IF(A1955="","",IFERROR(DATEVALUE(TEXTBEFORE(A1955,"|")),--LEFT(A1955,10)))</f>
        <v/>
      </c>
      <c r="C1955">
        <f>IF(A1955="","",TEXTBEFORE(TEXTAFTER(A1955,"|"),"|"))</f>
        <v/>
      </c>
      <c r="D1955">
        <f>IF(A1955="","",TEXTAFTER(A1955,"|",2))</f>
        <v/>
      </c>
      <c r="E1955">
        <f>IF(A1955="","",SUMIF(Tickets[TripKey],A1955,Tickets[TP]))</f>
        <v/>
      </c>
      <c r="F1955">
        <f>IF(A1955="","",SUMIF(Tickets[TripKey],A1955,Tickets[Revenue]))</f>
        <v/>
      </c>
      <c r="G1955">
        <f>IF(A1955="","",SUMIF(Tickets[TripKey],A1955,Tickets[PK]))</f>
        <v/>
      </c>
      <c r="H1955">
        <f>IF(A1955="","",IFERROR(XLOOKUP(A1955,Tickets[TripKey],Tickets[VehClean]),""))</f>
        <v/>
      </c>
      <c r="I1955">
        <f>IF(A1955="","",IFERROR(XLOOKUP(A1955,Tickets[TripKey],Tickets[RouteLen]),0))</f>
        <v/>
      </c>
      <c r="J1955">
        <f>IF(A1955="","",IFERROR(XLOOKUP(A1955,Tickets[TripKey],Tickets[Capacity]),0))</f>
        <v/>
      </c>
      <c r="K1955">
        <f>IF(A1955="","",I1955*J1955)</f>
        <v/>
      </c>
      <c r="L1955">
        <f>IF(A1955="","",IFERROR(MINIFS(Tickets[Trip Start Time],Tickets[TripKey],A1955),""))</f>
        <v/>
      </c>
    </row>
    <row r="1956">
      <c r="B1956" s="8">
        <f>IF(A1956="","",IFERROR(DATEVALUE(TEXTBEFORE(A1956,"|")),--LEFT(A1956,10)))</f>
        <v/>
      </c>
      <c r="C1956">
        <f>IF(A1956="","",TEXTBEFORE(TEXTAFTER(A1956,"|"),"|"))</f>
        <v/>
      </c>
      <c r="D1956">
        <f>IF(A1956="","",TEXTAFTER(A1956,"|",2))</f>
        <v/>
      </c>
      <c r="E1956">
        <f>IF(A1956="","",SUMIF(Tickets[TripKey],A1956,Tickets[TP]))</f>
        <v/>
      </c>
      <c r="F1956">
        <f>IF(A1956="","",SUMIF(Tickets[TripKey],A1956,Tickets[Revenue]))</f>
        <v/>
      </c>
      <c r="G1956">
        <f>IF(A1956="","",SUMIF(Tickets[TripKey],A1956,Tickets[PK]))</f>
        <v/>
      </c>
      <c r="H1956">
        <f>IF(A1956="","",IFERROR(XLOOKUP(A1956,Tickets[TripKey],Tickets[VehClean]),""))</f>
        <v/>
      </c>
      <c r="I1956">
        <f>IF(A1956="","",IFERROR(XLOOKUP(A1956,Tickets[TripKey],Tickets[RouteLen]),0))</f>
        <v/>
      </c>
      <c r="J1956">
        <f>IF(A1956="","",IFERROR(XLOOKUP(A1956,Tickets[TripKey],Tickets[Capacity]),0))</f>
        <v/>
      </c>
      <c r="K1956">
        <f>IF(A1956="","",I1956*J1956)</f>
        <v/>
      </c>
      <c r="L1956">
        <f>IF(A1956="","",IFERROR(MINIFS(Tickets[Trip Start Time],Tickets[TripKey],A1956),""))</f>
        <v/>
      </c>
    </row>
    <row r="1957">
      <c r="B1957" s="8">
        <f>IF(A1957="","",IFERROR(DATEVALUE(TEXTBEFORE(A1957,"|")),--LEFT(A1957,10)))</f>
        <v/>
      </c>
      <c r="C1957">
        <f>IF(A1957="","",TEXTBEFORE(TEXTAFTER(A1957,"|"),"|"))</f>
        <v/>
      </c>
      <c r="D1957">
        <f>IF(A1957="","",TEXTAFTER(A1957,"|",2))</f>
        <v/>
      </c>
      <c r="E1957">
        <f>IF(A1957="","",SUMIF(Tickets[TripKey],A1957,Tickets[TP]))</f>
        <v/>
      </c>
      <c r="F1957">
        <f>IF(A1957="","",SUMIF(Tickets[TripKey],A1957,Tickets[Revenue]))</f>
        <v/>
      </c>
      <c r="G1957">
        <f>IF(A1957="","",SUMIF(Tickets[TripKey],A1957,Tickets[PK]))</f>
        <v/>
      </c>
      <c r="H1957">
        <f>IF(A1957="","",IFERROR(XLOOKUP(A1957,Tickets[TripKey],Tickets[VehClean]),""))</f>
        <v/>
      </c>
      <c r="I1957">
        <f>IF(A1957="","",IFERROR(XLOOKUP(A1957,Tickets[TripKey],Tickets[RouteLen]),0))</f>
        <v/>
      </c>
      <c r="J1957">
        <f>IF(A1957="","",IFERROR(XLOOKUP(A1957,Tickets[TripKey],Tickets[Capacity]),0))</f>
        <v/>
      </c>
      <c r="K1957">
        <f>IF(A1957="","",I1957*J1957)</f>
        <v/>
      </c>
      <c r="L1957">
        <f>IF(A1957="","",IFERROR(MINIFS(Tickets[Trip Start Time],Tickets[TripKey],A1957),""))</f>
        <v/>
      </c>
    </row>
    <row r="1958">
      <c r="B1958" s="8">
        <f>IF(A1958="","",IFERROR(DATEVALUE(TEXTBEFORE(A1958,"|")),--LEFT(A1958,10)))</f>
        <v/>
      </c>
      <c r="C1958">
        <f>IF(A1958="","",TEXTBEFORE(TEXTAFTER(A1958,"|"),"|"))</f>
        <v/>
      </c>
      <c r="D1958">
        <f>IF(A1958="","",TEXTAFTER(A1958,"|",2))</f>
        <v/>
      </c>
      <c r="E1958">
        <f>IF(A1958="","",SUMIF(Tickets[TripKey],A1958,Tickets[TP]))</f>
        <v/>
      </c>
      <c r="F1958">
        <f>IF(A1958="","",SUMIF(Tickets[TripKey],A1958,Tickets[Revenue]))</f>
        <v/>
      </c>
      <c r="G1958">
        <f>IF(A1958="","",SUMIF(Tickets[TripKey],A1958,Tickets[PK]))</f>
        <v/>
      </c>
      <c r="H1958">
        <f>IF(A1958="","",IFERROR(XLOOKUP(A1958,Tickets[TripKey],Tickets[VehClean]),""))</f>
        <v/>
      </c>
      <c r="I1958">
        <f>IF(A1958="","",IFERROR(XLOOKUP(A1958,Tickets[TripKey],Tickets[RouteLen]),0))</f>
        <v/>
      </c>
      <c r="J1958">
        <f>IF(A1958="","",IFERROR(XLOOKUP(A1958,Tickets[TripKey],Tickets[Capacity]),0))</f>
        <v/>
      </c>
      <c r="K1958">
        <f>IF(A1958="","",I1958*J1958)</f>
        <v/>
      </c>
      <c r="L1958">
        <f>IF(A1958="","",IFERROR(MINIFS(Tickets[Trip Start Time],Tickets[TripKey],A1958),""))</f>
        <v/>
      </c>
    </row>
    <row r="1959">
      <c r="B1959" s="8">
        <f>IF(A1959="","",IFERROR(DATEVALUE(TEXTBEFORE(A1959,"|")),--LEFT(A1959,10)))</f>
        <v/>
      </c>
      <c r="C1959">
        <f>IF(A1959="","",TEXTBEFORE(TEXTAFTER(A1959,"|"),"|"))</f>
        <v/>
      </c>
      <c r="D1959">
        <f>IF(A1959="","",TEXTAFTER(A1959,"|",2))</f>
        <v/>
      </c>
      <c r="E1959">
        <f>IF(A1959="","",SUMIF(Tickets[TripKey],A1959,Tickets[TP]))</f>
        <v/>
      </c>
      <c r="F1959">
        <f>IF(A1959="","",SUMIF(Tickets[TripKey],A1959,Tickets[Revenue]))</f>
        <v/>
      </c>
      <c r="G1959">
        <f>IF(A1959="","",SUMIF(Tickets[TripKey],A1959,Tickets[PK]))</f>
        <v/>
      </c>
      <c r="H1959">
        <f>IF(A1959="","",IFERROR(XLOOKUP(A1959,Tickets[TripKey],Tickets[VehClean]),""))</f>
        <v/>
      </c>
      <c r="I1959">
        <f>IF(A1959="","",IFERROR(XLOOKUP(A1959,Tickets[TripKey],Tickets[RouteLen]),0))</f>
        <v/>
      </c>
      <c r="J1959">
        <f>IF(A1959="","",IFERROR(XLOOKUP(A1959,Tickets[TripKey],Tickets[Capacity]),0))</f>
        <v/>
      </c>
      <c r="K1959">
        <f>IF(A1959="","",I1959*J1959)</f>
        <v/>
      </c>
      <c r="L1959">
        <f>IF(A1959="","",IFERROR(MINIFS(Tickets[Trip Start Time],Tickets[TripKey],A1959),""))</f>
        <v/>
      </c>
    </row>
    <row r="1960">
      <c r="B1960" s="8">
        <f>IF(A1960="","",IFERROR(DATEVALUE(TEXTBEFORE(A1960,"|")),--LEFT(A1960,10)))</f>
        <v/>
      </c>
      <c r="C1960">
        <f>IF(A1960="","",TEXTBEFORE(TEXTAFTER(A1960,"|"),"|"))</f>
        <v/>
      </c>
      <c r="D1960">
        <f>IF(A1960="","",TEXTAFTER(A1960,"|",2))</f>
        <v/>
      </c>
      <c r="E1960">
        <f>IF(A1960="","",SUMIF(Tickets[TripKey],A1960,Tickets[TP]))</f>
        <v/>
      </c>
      <c r="F1960">
        <f>IF(A1960="","",SUMIF(Tickets[TripKey],A1960,Tickets[Revenue]))</f>
        <v/>
      </c>
      <c r="G1960">
        <f>IF(A1960="","",SUMIF(Tickets[TripKey],A1960,Tickets[PK]))</f>
        <v/>
      </c>
      <c r="H1960">
        <f>IF(A1960="","",IFERROR(XLOOKUP(A1960,Tickets[TripKey],Tickets[VehClean]),""))</f>
        <v/>
      </c>
      <c r="I1960">
        <f>IF(A1960="","",IFERROR(XLOOKUP(A1960,Tickets[TripKey],Tickets[RouteLen]),0))</f>
        <v/>
      </c>
      <c r="J1960">
        <f>IF(A1960="","",IFERROR(XLOOKUP(A1960,Tickets[TripKey],Tickets[Capacity]),0))</f>
        <v/>
      </c>
      <c r="K1960">
        <f>IF(A1960="","",I1960*J1960)</f>
        <v/>
      </c>
      <c r="L1960">
        <f>IF(A1960="","",IFERROR(MINIFS(Tickets[Trip Start Time],Tickets[TripKey],A1960),""))</f>
        <v/>
      </c>
    </row>
    <row r="1961">
      <c r="B1961" s="8">
        <f>IF(A1961="","",IFERROR(DATEVALUE(TEXTBEFORE(A1961,"|")),--LEFT(A1961,10)))</f>
        <v/>
      </c>
      <c r="C1961">
        <f>IF(A1961="","",TEXTBEFORE(TEXTAFTER(A1961,"|"),"|"))</f>
        <v/>
      </c>
      <c r="D1961">
        <f>IF(A1961="","",TEXTAFTER(A1961,"|",2))</f>
        <v/>
      </c>
      <c r="E1961">
        <f>IF(A1961="","",SUMIF(Tickets[TripKey],A1961,Tickets[TP]))</f>
        <v/>
      </c>
      <c r="F1961">
        <f>IF(A1961="","",SUMIF(Tickets[TripKey],A1961,Tickets[Revenue]))</f>
        <v/>
      </c>
      <c r="G1961">
        <f>IF(A1961="","",SUMIF(Tickets[TripKey],A1961,Tickets[PK]))</f>
        <v/>
      </c>
      <c r="H1961">
        <f>IF(A1961="","",IFERROR(XLOOKUP(A1961,Tickets[TripKey],Tickets[VehClean]),""))</f>
        <v/>
      </c>
      <c r="I1961">
        <f>IF(A1961="","",IFERROR(XLOOKUP(A1961,Tickets[TripKey],Tickets[RouteLen]),0))</f>
        <v/>
      </c>
      <c r="J1961">
        <f>IF(A1961="","",IFERROR(XLOOKUP(A1961,Tickets[TripKey],Tickets[Capacity]),0))</f>
        <v/>
      </c>
      <c r="K1961">
        <f>IF(A1961="","",I1961*J1961)</f>
        <v/>
      </c>
      <c r="L1961">
        <f>IF(A1961="","",IFERROR(MINIFS(Tickets[Trip Start Time],Tickets[TripKey],A1961),""))</f>
        <v/>
      </c>
    </row>
    <row r="1962">
      <c r="B1962" s="8">
        <f>IF(A1962="","",IFERROR(DATEVALUE(TEXTBEFORE(A1962,"|")),--LEFT(A1962,10)))</f>
        <v/>
      </c>
      <c r="C1962">
        <f>IF(A1962="","",TEXTBEFORE(TEXTAFTER(A1962,"|"),"|"))</f>
        <v/>
      </c>
      <c r="D1962">
        <f>IF(A1962="","",TEXTAFTER(A1962,"|",2))</f>
        <v/>
      </c>
      <c r="E1962">
        <f>IF(A1962="","",SUMIF(Tickets[TripKey],A1962,Tickets[TP]))</f>
        <v/>
      </c>
      <c r="F1962">
        <f>IF(A1962="","",SUMIF(Tickets[TripKey],A1962,Tickets[Revenue]))</f>
        <v/>
      </c>
      <c r="G1962">
        <f>IF(A1962="","",SUMIF(Tickets[TripKey],A1962,Tickets[PK]))</f>
        <v/>
      </c>
      <c r="H1962">
        <f>IF(A1962="","",IFERROR(XLOOKUP(A1962,Tickets[TripKey],Tickets[VehClean]),""))</f>
        <v/>
      </c>
      <c r="I1962">
        <f>IF(A1962="","",IFERROR(XLOOKUP(A1962,Tickets[TripKey],Tickets[RouteLen]),0))</f>
        <v/>
      </c>
      <c r="J1962">
        <f>IF(A1962="","",IFERROR(XLOOKUP(A1962,Tickets[TripKey],Tickets[Capacity]),0))</f>
        <v/>
      </c>
      <c r="K1962">
        <f>IF(A1962="","",I1962*J1962)</f>
        <v/>
      </c>
      <c r="L1962">
        <f>IF(A1962="","",IFERROR(MINIFS(Tickets[Trip Start Time],Tickets[TripKey],A1962),""))</f>
        <v/>
      </c>
    </row>
    <row r="1963">
      <c r="B1963" s="8">
        <f>IF(A1963="","",IFERROR(DATEVALUE(TEXTBEFORE(A1963,"|")),--LEFT(A1963,10)))</f>
        <v/>
      </c>
      <c r="C1963">
        <f>IF(A1963="","",TEXTBEFORE(TEXTAFTER(A1963,"|"),"|"))</f>
        <v/>
      </c>
      <c r="D1963">
        <f>IF(A1963="","",TEXTAFTER(A1963,"|",2))</f>
        <v/>
      </c>
      <c r="E1963">
        <f>IF(A1963="","",SUMIF(Tickets[TripKey],A1963,Tickets[TP]))</f>
        <v/>
      </c>
      <c r="F1963">
        <f>IF(A1963="","",SUMIF(Tickets[TripKey],A1963,Tickets[Revenue]))</f>
        <v/>
      </c>
      <c r="G1963">
        <f>IF(A1963="","",SUMIF(Tickets[TripKey],A1963,Tickets[PK]))</f>
        <v/>
      </c>
      <c r="H1963">
        <f>IF(A1963="","",IFERROR(XLOOKUP(A1963,Tickets[TripKey],Tickets[VehClean]),""))</f>
        <v/>
      </c>
      <c r="I1963">
        <f>IF(A1963="","",IFERROR(XLOOKUP(A1963,Tickets[TripKey],Tickets[RouteLen]),0))</f>
        <v/>
      </c>
      <c r="J1963">
        <f>IF(A1963="","",IFERROR(XLOOKUP(A1963,Tickets[TripKey],Tickets[Capacity]),0))</f>
        <v/>
      </c>
      <c r="K1963">
        <f>IF(A1963="","",I1963*J1963)</f>
        <v/>
      </c>
      <c r="L1963">
        <f>IF(A1963="","",IFERROR(MINIFS(Tickets[Trip Start Time],Tickets[TripKey],A1963),""))</f>
        <v/>
      </c>
    </row>
    <row r="1964">
      <c r="B1964" s="8">
        <f>IF(A1964="","",IFERROR(DATEVALUE(TEXTBEFORE(A1964,"|")),--LEFT(A1964,10)))</f>
        <v/>
      </c>
      <c r="C1964">
        <f>IF(A1964="","",TEXTBEFORE(TEXTAFTER(A1964,"|"),"|"))</f>
        <v/>
      </c>
      <c r="D1964">
        <f>IF(A1964="","",TEXTAFTER(A1964,"|",2))</f>
        <v/>
      </c>
      <c r="E1964">
        <f>IF(A1964="","",SUMIF(Tickets[TripKey],A1964,Tickets[TP]))</f>
        <v/>
      </c>
      <c r="F1964">
        <f>IF(A1964="","",SUMIF(Tickets[TripKey],A1964,Tickets[Revenue]))</f>
        <v/>
      </c>
      <c r="G1964">
        <f>IF(A1964="","",SUMIF(Tickets[TripKey],A1964,Tickets[PK]))</f>
        <v/>
      </c>
      <c r="H1964">
        <f>IF(A1964="","",IFERROR(XLOOKUP(A1964,Tickets[TripKey],Tickets[VehClean]),""))</f>
        <v/>
      </c>
      <c r="I1964">
        <f>IF(A1964="","",IFERROR(XLOOKUP(A1964,Tickets[TripKey],Tickets[RouteLen]),0))</f>
        <v/>
      </c>
      <c r="J1964">
        <f>IF(A1964="","",IFERROR(XLOOKUP(A1964,Tickets[TripKey],Tickets[Capacity]),0))</f>
        <v/>
      </c>
      <c r="K1964">
        <f>IF(A1964="","",I1964*J1964)</f>
        <v/>
      </c>
      <c r="L1964">
        <f>IF(A1964="","",IFERROR(MINIFS(Tickets[Trip Start Time],Tickets[TripKey],A1964),""))</f>
        <v/>
      </c>
    </row>
    <row r="1965">
      <c r="B1965" s="8">
        <f>IF(A1965="","",IFERROR(DATEVALUE(TEXTBEFORE(A1965,"|")),--LEFT(A1965,10)))</f>
        <v/>
      </c>
      <c r="C1965">
        <f>IF(A1965="","",TEXTBEFORE(TEXTAFTER(A1965,"|"),"|"))</f>
        <v/>
      </c>
      <c r="D1965">
        <f>IF(A1965="","",TEXTAFTER(A1965,"|",2))</f>
        <v/>
      </c>
      <c r="E1965">
        <f>IF(A1965="","",SUMIF(Tickets[TripKey],A1965,Tickets[TP]))</f>
        <v/>
      </c>
      <c r="F1965">
        <f>IF(A1965="","",SUMIF(Tickets[TripKey],A1965,Tickets[Revenue]))</f>
        <v/>
      </c>
      <c r="G1965">
        <f>IF(A1965="","",SUMIF(Tickets[TripKey],A1965,Tickets[PK]))</f>
        <v/>
      </c>
      <c r="H1965">
        <f>IF(A1965="","",IFERROR(XLOOKUP(A1965,Tickets[TripKey],Tickets[VehClean]),""))</f>
        <v/>
      </c>
      <c r="I1965">
        <f>IF(A1965="","",IFERROR(XLOOKUP(A1965,Tickets[TripKey],Tickets[RouteLen]),0))</f>
        <v/>
      </c>
      <c r="J1965">
        <f>IF(A1965="","",IFERROR(XLOOKUP(A1965,Tickets[TripKey],Tickets[Capacity]),0))</f>
        <v/>
      </c>
      <c r="K1965">
        <f>IF(A1965="","",I1965*J1965)</f>
        <v/>
      </c>
      <c r="L1965">
        <f>IF(A1965="","",IFERROR(MINIFS(Tickets[Trip Start Time],Tickets[TripKey],A1965),""))</f>
        <v/>
      </c>
    </row>
    <row r="1966">
      <c r="B1966" s="8">
        <f>IF(A1966="","",IFERROR(DATEVALUE(TEXTBEFORE(A1966,"|")),--LEFT(A1966,10)))</f>
        <v/>
      </c>
      <c r="C1966">
        <f>IF(A1966="","",TEXTBEFORE(TEXTAFTER(A1966,"|"),"|"))</f>
        <v/>
      </c>
      <c r="D1966">
        <f>IF(A1966="","",TEXTAFTER(A1966,"|",2))</f>
        <v/>
      </c>
      <c r="E1966">
        <f>IF(A1966="","",SUMIF(Tickets[TripKey],A1966,Tickets[TP]))</f>
        <v/>
      </c>
      <c r="F1966">
        <f>IF(A1966="","",SUMIF(Tickets[TripKey],A1966,Tickets[Revenue]))</f>
        <v/>
      </c>
      <c r="G1966">
        <f>IF(A1966="","",SUMIF(Tickets[TripKey],A1966,Tickets[PK]))</f>
        <v/>
      </c>
      <c r="H1966">
        <f>IF(A1966="","",IFERROR(XLOOKUP(A1966,Tickets[TripKey],Tickets[VehClean]),""))</f>
        <v/>
      </c>
      <c r="I1966">
        <f>IF(A1966="","",IFERROR(XLOOKUP(A1966,Tickets[TripKey],Tickets[RouteLen]),0))</f>
        <v/>
      </c>
      <c r="J1966">
        <f>IF(A1966="","",IFERROR(XLOOKUP(A1966,Tickets[TripKey],Tickets[Capacity]),0))</f>
        <v/>
      </c>
      <c r="K1966">
        <f>IF(A1966="","",I1966*J1966)</f>
        <v/>
      </c>
      <c r="L1966">
        <f>IF(A1966="","",IFERROR(MINIFS(Tickets[Trip Start Time],Tickets[TripKey],A1966),""))</f>
        <v/>
      </c>
    </row>
    <row r="1967">
      <c r="B1967" s="8">
        <f>IF(A1967="","",IFERROR(DATEVALUE(TEXTBEFORE(A1967,"|")),--LEFT(A1967,10)))</f>
        <v/>
      </c>
      <c r="C1967">
        <f>IF(A1967="","",TEXTBEFORE(TEXTAFTER(A1967,"|"),"|"))</f>
        <v/>
      </c>
      <c r="D1967">
        <f>IF(A1967="","",TEXTAFTER(A1967,"|",2))</f>
        <v/>
      </c>
      <c r="E1967">
        <f>IF(A1967="","",SUMIF(Tickets[TripKey],A1967,Tickets[TP]))</f>
        <v/>
      </c>
      <c r="F1967">
        <f>IF(A1967="","",SUMIF(Tickets[TripKey],A1967,Tickets[Revenue]))</f>
        <v/>
      </c>
      <c r="G1967">
        <f>IF(A1967="","",SUMIF(Tickets[TripKey],A1967,Tickets[PK]))</f>
        <v/>
      </c>
      <c r="H1967">
        <f>IF(A1967="","",IFERROR(XLOOKUP(A1967,Tickets[TripKey],Tickets[VehClean]),""))</f>
        <v/>
      </c>
      <c r="I1967">
        <f>IF(A1967="","",IFERROR(XLOOKUP(A1967,Tickets[TripKey],Tickets[RouteLen]),0))</f>
        <v/>
      </c>
      <c r="J1967">
        <f>IF(A1967="","",IFERROR(XLOOKUP(A1967,Tickets[TripKey],Tickets[Capacity]),0))</f>
        <v/>
      </c>
      <c r="K1967">
        <f>IF(A1967="","",I1967*J1967)</f>
        <v/>
      </c>
      <c r="L1967">
        <f>IF(A1967="","",IFERROR(MINIFS(Tickets[Trip Start Time],Tickets[TripKey],A1967),""))</f>
        <v/>
      </c>
    </row>
    <row r="1968">
      <c r="B1968" s="8">
        <f>IF(A1968="","",IFERROR(DATEVALUE(TEXTBEFORE(A1968,"|")),--LEFT(A1968,10)))</f>
        <v/>
      </c>
      <c r="C1968">
        <f>IF(A1968="","",TEXTBEFORE(TEXTAFTER(A1968,"|"),"|"))</f>
        <v/>
      </c>
      <c r="D1968">
        <f>IF(A1968="","",TEXTAFTER(A1968,"|",2))</f>
        <v/>
      </c>
      <c r="E1968">
        <f>IF(A1968="","",SUMIF(Tickets[TripKey],A1968,Tickets[TP]))</f>
        <v/>
      </c>
      <c r="F1968">
        <f>IF(A1968="","",SUMIF(Tickets[TripKey],A1968,Tickets[Revenue]))</f>
        <v/>
      </c>
      <c r="G1968">
        <f>IF(A1968="","",SUMIF(Tickets[TripKey],A1968,Tickets[PK]))</f>
        <v/>
      </c>
      <c r="H1968">
        <f>IF(A1968="","",IFERROR(XLOOKUP(A1968,Tickets[TripKey],Tickets[VehClean]),""))</f>
        <v/>
      </c>
      <c r="I1968">
        <f>IF(A1968="","",IFERROR(XLOOKUP(A1968,Tickets[TripKey],Tickets[RouteLen]),0))</f>
        <v/>
      </c>
      <c r="J1968">
        <f>IF(A1968="","",IFERROR(XLOOKUP(A1968,Tickets[TripKey],Tickets[Capacity]),0))</f>
        <v/>
      </c>
      <c r="K1968">
        <f>IF(A1968="","",I1968*J1968)</f>
        <v/>
      </c>
      <c r="L1968">
        <f>IF(A1968="","",IFERROR(MINIFS(Tickets[Trip Start Time],Tickets[TripKey],A1968),""))</f>
        <v/>
      </c>
    </row>
    <row r="1969">
      <c r="B1969" s="8">
        <f>IF(A1969="","",IFERROR(DATEVALUE(TEXTBEFORE(A1969,"|")),--LEFT(A1969,10)))</f>
        <v/>
      </c>
      <c r="C1969">
        <f>IF(A1969="","",TEXTBEFORE(TEXTAFTER(A1969,"|"),"|"))</f>
        <v/>
      </c>
      <c r="D1969">
        <f>IF(A1969="","",TEXTAFTER(A1969,"|",2))</f>
        <v/>
      </c>
      <c r="E1969">
        <f>IF(A1969="","",SUMIF(Tickets[TripKey],A1969,Tickets[TP]))</f>
        <v/>
      </c>
      <c r="F1969">
        <f>IF(A1969="","",SUMIF(Tickets[TripKey],A1969,Tickets[Revenue]))</f>
        <v/>
      </c>
      <c r="G1969">
        <f>IF(A1969="","",SUMIF(Tickets[TripKey],A1969,Tickets[PK]))</f>
        <v/>
      </c>
      <c r="H1969">
        <f>IF(A1969="","",IFERROR(XLOOKUP(A1969,Tickets[TripKey],Tickets[VehClean]),""))</f>
        <v/>
      </c>
      <c r="I1969">
        <f>IF(A1969="","",IFERROR(XLOOKUP(A1969,Tickets[TripKey],Tickets[RouteLen]),0))</f>
        <v/>
      </c>
      <c r="J1969">
        <f>IF(A1969="","",IFERROR(XLOOKUP(A1969,Tickets[TripKey],Tickets[Capacity]),0))</f>
        <v/>
      </c>
      <c r="K1969">
        <f>IF(A1969="","",I1969*J1969)</f>
        <v/>
      </c>
      <c r="L1969">
        <f>IF(A1969="","",IFERROR(MINIFS(Tickets[Trip Start Time],Tickets[TripKey],A1969),""))</f>
        <v/>
      </c>
    </row>
    <row r="1970">
      <c r="B1970" s="8">
        <f>IF(A1970="","",IFERROR(DATEVALUE(TEXTBEFORE(A1970,"|")),--LEFT(A1970,10)))</f>
        <v/>
      </c>
      <c r="C1970">
        <f>IF(A1970="","",TEXTBEFORE(TEXTAFTER(A1970,"|"),"|"))</f>
        <v/>
      </c>
      <c r="D1970">
        <f>IF(A1970="","",TEXTAFTER(A1970,"|",2))</f>
        <v/>
      </c>
      <c r="E1970">
        <f>IF(A1970="","",SUMIF(Tickets[TripKey],A1970,Tickets[TP]))</f>
        <v/>
      </c>
      <c r="F1970">
        <f>IF(A1970="","",SUMIF(Tickets[TripKey],A1970,Tickets[Revenue]))</f>
        <v/>
      </c>
      <c r="G1970">
        <f>IF(A1970="","",SUMIF(Tickets[TripKey],A1970,Tickets[PK]))</f>
        <v/>
      </c>
      <c r="H1970">
        <f>IF(A1970="","",IFERROR(XLOOKUP(A1970,Tickets[TripKey],Tickets[VehClean]),""))</f>
        <v/>
      </c>
      <c r="I1970">
        <f>IF(A1970="","",IFERROR(XLOOKUP(A1970,Tickets[TripKey],Tickets[RouteLen]),0))</f>
        <v/>
      </c>
      <c r="J1970">
        <f>IF(A1970="","",IFERROR(XLOOKUP(A1970,Tickets[TripKey],Tickets[Capacity]),0))</f>
        <v/>
      </c>
      <c r="K1970">
        <f>IF(A1970="","",I1970*J1970)</f>
        <v/>
      </c>
      <c r="L1970">
        <f>IF(A1970="","",IFERROR(MINIFS(Tickets[Trip Start Time],Tickets[TripKey],A1970),""))</f>
        <v/>
      </c>
    </row>
    <row r="1971">
      <c r="B1971" s="8">
        <f>IF(A1971="","",IFERROR(DATEVALUE(TEXTBEFORE(A1971,"|")),--LEFT(A1971,10)))</f>
        <v/>
      </c>
      <c r="C1971">
        <f>IF(A1971="","",TEXTBEFORE(TEXTAFTER(A1971,"|"),"|"))</f>
        <v/>
      </c>
      <c r="D1971">
        <f>IF(A1971="","",TEXTAFTER(A1971,"|",2))</f>
        <v/>
      </c>
      <c r="E1971">
        <f>IF(A1971="","",SUMIF(Tickets[TripKey],A1971,Tickets[TP]))</f>
        <v/>
      </c>
      <c r="F1971">
        <f>IF(A1971="","",SUMIF(Tickets[TripKey],A1971,Tickets[Revenue]))</f>
        <v/>
      </c>
      <c r="G1971">
        <f>IF(A1971="","",SUMIF(Tickets[TripKey],A1971,Tickets[PK]))</f>
        <v/>
      </c>
      <c r="H1971">
        <f>IF(A1971="","",IFERROR(XLOOKUP(A1971,Tickets[TripKey],Tickets[VehClean]),""))</f>
        <v/>
      </c>
      <c r="I1971">
        <f>IF(A1971="","",IFERROR(XLOOKUP(A1971,Tickets[TripKey],Tickets[RouteLen]),0))</f>
        <v/>
      </c>
      <c r="J1971">
        <f>IF(A1971="","",IFERROR(XLOOKUP(A1971,Tickets[TripKey],Tickets[Capacity]),0))</f>
        <v/>
      </c>
      <c r="K1971">
        <f>IF(A1971="","",I1971*J1971)</f>
        <v/>
      </c>
      <c r="L1971">
        <f>IF(A1971="","",IFERROR(MINIFS(Tickets[Trip Start Time],Tickets[TripKey],A1971),""))</f>
        <v/>
      </c>
    </row>
    <row r="1972">
      <c r="B1972" s="8">
        <f>IF(A1972="","",IFERROR(DATEVALUE(TEXTBEFORE(A1972,"|")),--LEFT(A1972,10)))</f>
        <v/>
      </c>
      <c r="C1972">
        <f>IF(A1972="","",TEXTBEFORE(TEXTAFTER(A1972,"|"),"|"))</f>
        <v/>
      </c>
      <c r="D1972">
        <f>IF(A1972="","",TEXTAFTER(A1972,"|",2))</f>
        <v/>
      </c>
      <c r="E1972">
        <f>IF(A1972="","",SUMIF(Tickets[TripKey],A1972,Tickets[TP]))</f>
        <v/>
      </c>
      <c r="F1972">
        <f>IF(A1972="","",SUMIF(Tickets[TripKey],A1972,Tickets[Revenue]))</f>
        <v/>
      </c>
      <c r="G1972">
        <f>IF(A1972="","",SUMIF(Tickets[TripKey],A1972,Tickets[PK]))</f>
        <v/>
      </c>
      <c r="H1972">
        <f>IF(A1972="","",IFERROR(XLOOKUP(A1972,Tickets[TripKey],Tickets[VehClean]),""))</f>
        <v/>
      </c>
      <c r="I1972">
        <f>IF(A1972="","",IFERROR(XLOOKUP(A1972,Tickets[TripKey],Tickets[RouteLen]),0))</f>
        <v/>
      </c>
      <c r="J1972">
        <f>IF(A1972="","",IFERROR(XLOOKUP(A1972,Tickets[TripKey],Tickets[Capacity]),0))</f>
        <v/>
      </c>
      <c r="K1972">
        <f>IF(A1972="","",I1972*J1972)</f>
        <v/>
      </c>
      <c r="L1972">
        <f>IF(A1972="","",IFERROR(MINIFS(Tickets[Trip Start Time],Tickets[TripKey],A1972),""))</f>
        <v/>
      </c>
    </row>
    <row r="1973">
      <c r="B1973" s="8">
        <f>IF(A1973="","",IFERROR(DATEVALUE(TEXTBEFORE(A1973,"|")),--LEFT(A1973,10)))</f>
        <v/>
      </c>
      <c r="C1973">
        <f>IF(A1973="","",TEXTBEFORE(TEXTAFTER(A1973,"|"),"|"))</f>
        <v/>
      </c>
      <c r="D1973">
        <f>IF(A1973="","",TEXTAFTER(A1973,"|",2))</f>
        <v/>
      </c>
      <c r="E1973">
        <f>IF(A1973="","",SUMIF(Tickets[TripKey],A1973,Tickets[TP]))</f>
        <v/>
      </c>
      <c r="F1973">
        <f>IF(A1973="","",SUMIF(Tickets[TripKey],A1973,Tickets[Revenue]))</f>
        <v/>
      </c>
      <c r="G1973">
        <f>IF(A1973="","",SUMIF(Tickets[TripKey],A1973,Tickets[PK]))</f>
        <v/>
      </c>
      <c r="H1973">
        <f>IF(A1973="","",IFERROR(XLOOKUP(A1973,Tickets[TripKey],Tickets[VehClean]),""))</f>
        <v/>
      </c>
      <c r="I1973">
        <f>IF(A1973="","",IFERROR(XLOOKUP(A1973,Tickets[TripKey],Tickets[RouteLen]),0))</f>
        <v/>
      </c>
      <c r="J1973">
        <f>IF(A1973="","",IFERROR(XLOOKUP(A1973,Tickets[TripKey],Tickets[Capacity]),0))</f>
        <v/>
      </c>
      <c r="K1973">
        <f>IF(A1973="","",I1973*J1973)</f>
        <v/>
      </c>
      <c r="L1973">
        <f>IF(A1973="","",IFERROR(MINIFS(Tickets[Trip Start Time],Tickets[TripKey],A1973),""))</f>
        <v/>
      </c>
    </row>
    <row r="1974">
      <c r="B1974" s="8">
        <f>IF(A1974="","",IFERROR(DATEVALUE(TEXTBEFORE(A1974,"|")),--LEFT(A1974,10)))</f>
        <v/>
      </c>
      <c r="C1974">
        <f>IF(A1974="","",TEXTBEFORE(TEXTAFTER(A1974,"|"),"|"))</f>
        <v/>
      </c>
      <c r="D1974">
        <f>IF(A1974="","",TEXTAFTER(A1974,"|",2))</f>
        <v/>
      </c>
      <c r="E1974">
        <f>IF(A1974="","",SUMIF(Tickets[TripKey],A1974,Tickets[TP]))</f>
        <v/>
      </c>
      <c r="F1974">
        <f>IF(A1974="","",SUMIF(Tickets[TripKey],A1974,Tickets[Revenue]))</f>
        <v/>
      </c>
      <c r="G1974">
        <f>IF(A1974="","",SUMIF(Tickets[TripKey],A1974,Tickets[PK]))</f>
        <v/>
      </c>
      <c r="H1974">
        <f>IF(A1974="","",IFERROR(XLOOKUP(A1974,Tickets[TripKey],Tickets[VehClean]),""))</f>
        <v/>
      </c>
      <c r="I1974">
        <f>IF(A1974="","",IFERROR(XLOOKUP(A1974,Tickets[TripKey],Tickets[RouteLen]),0))</f>
        <v/>
      </c>
      <c r="J1974">
        <f>IF(A1974="","",IFERROR(XLOOKUP(A1974,Tickets[TripKey],Tickets[Capacity]),0))</f>
        <v/>
      </c>
      <c r="K1974">
        <f>IF(A1974="","",I1974*J1974)</f>
        <v/>
      </c>
      <c r="L1974">
        <f>IF(A1974="","",IFERROR(MINIFS(Tickets[Trip Start Time],Tickets[TripKey],A1974),""))</f>
        <v/>
      </c>
    </row>
    <row r="1975">
      <c r="B1975" s="8">
        <f>IF(A1975="","",IFERROR(DATEVALUE(TEXTBEFORE(A1975,"|")),--LEFT(A1975,10)))</f>
        <v/>
      </c>
      <c r="C1975">
        <f>IF(A1975="","",TEXTBEFORE(TEXTAFTER(A1975,"|"),"|"))</f>
        <v/>
      </c>
      <c r="D1975">
        <f>IF(A1975="","",TEXTAFTER(A1975,"|",2))</f>
        <v/>
      </c>
      <c r="E1975">
        <f>IF(A1975="","",SUMIF(Tickets[TripKey],A1975,Tickets[TP]))</f>
        <v/>
      </c>
      <c r="F1975">
        <f>IF(A1975="","",SUMIF(Tickets[TripKey],A1975,Tickets[Revenue]))</f>
        <v/>
      </c>
      <c r="G1975">
        <f>IF(A1975="","",SUMIF(Tickets[TripKey],A1975,Tickets[PK]))</f>
        <v/>
      </c>
      <c r="H1975">
        <f>IF(A1975="","",IFERROR(XLOOKUP(A1975,Tickets[TripKey],Tickets[VehClean]),""))</f>
        <v/>
      </c>
      <c r="I1975">
        <f>IF(A1975="","",IFERROR(XLOOKUP(A1975,Tickets[TripKey],Tickets[RouteLen]),0))</f>
        <v/>
      </c>
      <c r="J1975">
        <f>IF(A1975="","",IFERROR(XLOOKUP(A1975,Tickets[TripKey],Tickets[Capacity]),0))</f>
        <v/>
      </c>
      <c r="K1975">
        <f>IF(A1975="","",I1975*J1975)</f>
        <v/>
      </c>
      <c r="L1975">
        <f>IF(A1975="","",IFERROR(MINIFS(Tickets[Trip Start Time],Tickets[TripKey],A1975),""))</f>
        <v/>
      </c>
    </row>
    <row r="1976">
      <c r="B1976" s="8">
        <f>IF(A1976="","",IFERROR(DATEVALUE(TEXTBEFORE(A1976,"|")),--LEFT(A1976,10)))</f>
        <v/>
      </c>
      <c r="C1976">
        <f>IF(A1976="","",TEXTBEFORE(TEXTAFTER(A1976,"|"),"|"))</f>
        <v/>
      </c>
      <c r="D1976">
        <f>IF(A1976="","",TEXTAFTER(A1976,"|",2))</f>
        <v/>
      </c>
      <c r="E1976">
        <f>IF(A1976="","",SUMIF(Tickets[TripKey],A1976,Tickets[TP]))</f>
        <v/>
      </c>
      <c r="F1976">
        <f>IF(A1976="","",SUMIF(Tickets[TripKey],A1976,Tickets[Revenue]))</f>
        <v/>
      </c>
      <c r="G1976">
        <f>IF(A1976="","",SUMIF(Tickets[TripKey],A1976,Tickets[PK]))</f>
        <v/>
      </c>
      <c r="H1976">
        <f>IF(A1976="","",IFERROR(XLOOKUP(A1976,Tickets[TripKey],Tickets[VehClean]),""))</f>
        <v/>
      </c>
      <c r="I1976">
        <f>IF(A1976="","",IFERROR(XLOOKUP(A1976,Tickets[TripKey],Tickets[RouteLen]),0))</f>
        <v/>
      </c>
      <c r="J1976">
        <f>IF(A1976="","",IFERROR(XLOOKUP(A1976,Tickets[TripKey],Tickets[Capacity]),0))</f>
        <v/>
      </c>
      <c r="K1976">
        <f>IF(A1976="","",I1976*J1976)</f>
        <v/>
      </c>
      <c r="L1976">
        <f>IF(A1976="","",IFERROR(MINIFS(Tickets[Trip Start Time],Tickets[TripKey],A1976),""))</f>
        <v/>
      </c>
    </row>
    <row r="1977">
      <c r="B1977" s="8">
        <f>IF(A1977="","",IFERROR(DATEVALUE(TEXTBEFORE(A1977,"|")),--LEFT(A1977,10)))</f>
        <v/>
      </c>
      <c r="C1977">
        <f>IF(A1977="","",TEXTBEFORE(TEXTAFTER(A1977,"|"),"|"))</f>
        <v/>
      </c>
      <c r="D1977">
        <f>IF(A1977="","",TEXTAFTER(A1977,"|",2))</f>
        <v/>
      </c>
      <c r="E1977">
        <f>IF(A1977="","",SUMIF(Tickets[TripKey],A1977,Tickets[TP]))</f>
        <v/>
      </c>
      <c r="F1977">
        <f>IF(A1977="","",SUMIF(Tickets[TripKey],A1977,Tickets[Revenue]))</f>
        <v/>
      </c>
      <c r="G1977">
        <f>IF(A1977="","",SUMIF(Tickets[TripKey],A1977,Tickets[PK]))</f>
        <v/>
      </c>
      <c r="H1977">
        <f>IF(A1977="","",IFERROR(XLOOKUP(A1977,Tickets[TripKey],Tickets[VehClean]),""))</f>
        <v/>
      </c>
      <c r="I1977">
        <f>IF(A1977="","",IFERROR(XLOOKUP(A1977,Tickets[TripKey],Tickets[RouteLen]),0))</f>
        <v/>
      </c>
      <c r="J1977">
        <f>IF(A1977="","",IFERROR(XLOOKUP(A1977,Tickets[TripKey],Tickets[Capacity]),0))</f>
        <v/>
      </c>
      <c r="K1977">
        <f>IF(A1977="","",I1977*J1977)</f>
        <v/>
      </c>
      <c r="L1977">
        <f>IF(A1977="","",IFERROR(MINIFS(Tickets[Trip Start Time],Tickets[TripKey],A1977),""))</f>
        <v/>
      </c>
    </row>
    <row r="1978">
      <c r="B1978" s="8">
        <f>IF(A1978="","",IFERROR(DATEVALUE(TEXTBEFORE(A1978,"|")),--LEFT(A1978,10)))</f>
        <v/>
      </c>
      <c r="C1978">
        <f>IF(A1978="","",TEXTBEFORE(TEXTAFTER(A1978,"|"),"|"))</f>
        <v/>
      </c>
      <c r="D1978">
        <f>IF(A1978="","",TEXTAFTER(A1978,"|",2))</f>
        <v/>
      </c>
      <c r="E1978">
        <f>IF(A1978="","",SUMIF(Tickets[TripKey],A1978,Tickets[TP]))</f>
        <v/>
      </c>
      <c r="F1978">
        <f>IF(A1978="","",SUMIF(Tickets[TripKey],A1978,Tickets[Revenue]))</f>
        <v/>
      </c>
      <c r="G1978">
        <f>IF(A1978="","",SUMIF(Tickets[TripKey],A1978,Tickets[PK]))</f>
        <v/>
      </c>
      <c r="H1978">
        <f>IF(A1978="","",IFERROR(XLOOKUP(A1978,Tickets[TripKey],Tickets[VehClean]),""))</f>
        <v/>
      </c>
      <c r="I1978">
        <f>IF(A1978="","",IFERROR(XLOOKUP(A1978,Tickets[TripKey],Tickets[RouteLen]),0))</f>
        <v/>
      </c>
      <c r="J1978">
        <f>IF(A1978="","",IFERROR(XLOOKUP(A1978,Tickets[TripKey],Tickets[Capacity]),0))</f>
        <v/>
      </c>
      <c r="K1978">
        <f>IF(A1978="","",I1978*J1978)</f>
        <v/>
      </c>
      <c r="L1978">
        <f>IF(A1978="","",IFERROR(MINIFS(Tickets[Trip Start Time],Tickets[TripKey],A1978),""))</f>
        <v/>
      </c>
    </row>
    <row r="1979">
      <c r="B1979" s="8">
        <f>IF(A1979="","",IFERROR(DATEVALUE(TEXTBEFORE(A1979,"|")),--LEFT(A1979,10)))</f>
        <v/>
      </c>
      <c r="C1979">
        <f>IF(A1979="","",TEXTBEFORE(TEXTAFTER(A1979,"|"),"|"))</f>
        <v/>
      </c>
      <c r="D1979">
        <f>IF(A1979="","",TEXTAFTER(A1979,"|",2))</f>
        <v/>
      </c>
      <c r="E1979">
        <f>IF(A1979="","",SUMIF(Tickets[TripKey],A1979,Tickets[TP]))</f>
        <v/>
      </c>
      <c r="F1979">
        <f>IF(A1979="","",SUMIF(Tickets[TripKey],A1979,Tickets[Revenue]))</f>
        <v/>
      </c>
      <c r="G1979">
        <f>IF(A1979="","",SUMIF(Tickets[TripKey],A1979,Tickets[PK]))</f>
        <v/>
      </c>
      <c r="H1979">
        <f>IF(A1979="","",IFERROR(XLOOKUP(A1979,Tickets[TripKey],Tickets[VehClean]),""))</f>
        <v/>
      </c>
      <c r="I1979">
        <f>IF(A1979="","",IFERROR(XLOOKUP(A1979,Tickets[TripKey],Tickets[RouteLen]),0))</f>
        <v/>
      </c>
      <c r="J1979">
        <f>IF(A1979="","",IFERROR(XLOOKUP(A1979,Tickets[TripKey],Tickets[Capacity]),0))</f>
        <v/>
      </c>
      <c r="K1979">
        <f>IF(A1979="","",I1979*J1979)</f>
        <v/>
      </c>
      <c r="L1979">
        <f>IF(A1979="","",IFERROR(MINIFS(Tickets[Trip Start Time],Tickets[TripKey],A1979),""))</f>
        <v/>
      </c>
    </row>
    <row r="1980">
      <c r="B1980" s="8">
        <f>IF(A1980="","",IFERROR(DATEVALUE(TEXTBEFORE(A1980,"|")),--LEFT(A1980,10)))</f>
        <v/>
      </c>
      <c r="C1980">
        <f>IF(A1980="","",TEXTBEFORE(TEXTAFTER(A1980,"|"),"|"))</f>
        <v/>
      </c>
      <c r="D1980">
        <f>IF(A1980="","",TEXTAFTER(A1980,"|",2))</f>
        <v/>
      </c>
      <c r="E1980">
        <f>IF(A1980="","",SUMIF(Tickets[TripKey],A1980,Tickets[TP]))</f>
        <v/>
      </c>
      <c r="F1980">
        <f>IF(A1980="","",SUMIF(Tickets[TripKey],A1980,Tickets[Revenue]))</f>
        <v/>
      </c>
      <c r="G1980">
        <f>IF(A1980="","",SUMIF(Tickets[TripKey],A1980,Tickets[PK]))</f>
        <v/>
      </c>
      <c r="H1980">
        <f>IF(A1980="","",IFERROR(XLOOKUP(A1980,Tickets[TripKey],Tickets[VehClean]),""))</f>
        <v/>
      </c>
      <c r="I1980">
        <f>IF(A1980="","",IFERROR(XLOOKUP(A1980,Tickets[TripKey],Tickets[RouteLen]),0))</f>
        <v/>
      </c>
      <c r="J1980">
        <f>IF(A1980="","",IFERROR(XLOOKUP(A1980,Tickets[TripKey],Tickets[Capacity]),0))</f>
        <v/>
      </c>
      <c r="K1980">
        <f>IF(A1980="","",I1980*J1980)</f>
        <v/>
      </c>
      <c r="L1980">
        <f>IF(A1980="","",IFERROR(MINIFS(Tickets[Trip Start Time],Tickets[TripKey],A1980),""))</f>
        <v/>
      </c>
    </row>
    <row r="1981">
      <c r="B1981" s="8">
        <f>IF(A1981="","",IFERROR(DATEVALUE(TEXTBEFORE(A1981,"|")),--LEFT(A1981,10)))</f>
        <v/>
      </c>
      <c r="C1981">
        <f>IF(A1981="","",TEXTBEFORE(TEXTAFTER(A1981,"|"),"|"))</f>
        <v/>
      </c>
      <c r="D1981">
        <f>IF(A1981="","",TEXTAFTER(A1981,"|",2))</f>
        <v/>
      </c>
      <c r="E1981">
        <f>IF(A1981="","",SUMIF(Tickets[TripKey],A1981,Tickets[TP]))</f>
        <v/>
      </c>
      <c r="F1981">
        <f>IF(A1981="","",SUMIF(Tickets[TripKey],A1981,Tickets[Revenue]))</f>
        <v/>
      </c>
      <c r="G1981">
        <f>IF(A1981="","",SUMIF(Tickets[TripKey],A1981,Tickets[PK]))</f>
        <v/>
      </c>
      <c r="H1981">
        <f>IF(A1981="","",IFERROR(XLOOKUP(A1981,Tickets[TripKey],Tickets[VehClean]),""))</f>
        <v/>
      </c>
      <c r="I1981">
        <f>IF(A1981="","",IFERROR(XLOOKUP(A1981,Tickets[TripKey],Tickets[RouteLen]),0))</f>
        <v/>
      </c>
      <c r="J1981">
        <f>IF(A1981="","",IFERROR(XLOOKUP(A1981,Tickets[TripKey],Tickets[Capacity]),0))</f>
        <v/>
      </c>
      <c r="K1981">
        <f>IF(A1981="","",I1981*J1981)</f>
        <v/>
      </c>
      <c r="L1981">
        <f>IF(A1981="","",IFERROR(MINIFS(Tickets[Trip Start Time],Tickets[TripKey],A1981),""))</f>
        <v/>
      </c>
    </row>
    <row r="1982">
      <c r="B1982" s="8">
        <f>IF(A1982="","",IFERROR(DATEVALUE(TEXTBEFORE(A1982,"|")),--LEFT(A1982,10)))</f>
        <v/>
      </c>
      <c r="C1982">
        <f>IF(A1982="","",TEXTBEFORE(TEXTAFTER(A1982,"|"),"|"))</f>
        <v/>
      </c>
      <c r="D1982">
        <f>IF(A1982="","",TEXTAFTER(A1982,"|",2))</f>
        <v/>
      </c>
      <c r="E1982">
        <f>IF(A1982="","",SUMIF(Tickets[TripKey],A1982,Tickets[TP]))</f>
        <v/>
      </c>
      <c r="F1982">
        <f>IF(A1982="","",SUMIF(Tickets[TripKey],A1982,Tickets[Revenue]))</f>
        <v/>
      </c>
      <c r="G1982">
        <f>IF(A1982="","",SUMIF(Tickets[TripKey],A1982,Tickets[PK]))</f>
        <v/>
      </c>
      <c r="H1982">
        <f>IF(A1982="","",IFERROR(XLOOKUP(A1982,Tickets[TripKey],Tickets[VehClean]),""))</f>
        <v/>
      </c>
      <c r="I1982">
        <f>IF(A1982="","",IFERROR(XLOOKUP(A1982,Tickets[TripKey],Tickets[RouteLen]),0))</f>
        <v/>
      </c>
      <c r="J1982">
        <f>IF(A1982="","",IFERROR(XLOOKUP(A1982,Tickets[TripKey],Tickets[Capacity]),0))</f>
        <v/>
      </c>
      <c r="K1982">
        <f>IF(A1982="","",I1982*J1982)</f>
        <v/>
      </c>
      <c r="L1982">
        <f>IF(A1982="","",IFERROR(MINIFS(Tickets[Trip Start Time],Tickets[TripKey],A1982),""))</f>
        <v/>
      </c>
    </row>
    <row r="1983">
      <c r="B1983" s="8">
        <f>IF(A1983="","",IFERROR(DATEVALUE(TEXTBEFORE(A1983,"|")),--LEFT(A1983,10)))</f>
        <v/>
      </c>
      <c r="C1983">
        <f>IF(A1983="","",TEXTBEFORE(TEXTAFTER(A1983,"|"),"|"))</f>
        <v/>
      </c>
      <c r="D1983">
        <f>IF(A1983="","",TEXTAFTER(A1983,"|",2))</f>
        <v/>
      </c>
      <c r="E1983">
        <f>IF(A1983="","",SUMIF(Tickets[TripKey],A1983,Tickets[TP]))</f>
        <v/>
      </c>
      <c r="F1983">
        <f>IF(A1983="","",SUMIF(Tickets[TripKey],A1983,Tickets[Revenue]))</f>
        <v/>
      </c>
      <c r="G1983">
        <f>IF(A1983="","",SUMIF(Tickets[TripKey],A1983,Tickets[PK]))</f>
        <v/>
      </c>
      <c r="H1983">
        <f>IF(A1983="","",IFERROR(XLOOKUP(A1983,Tickets[TripKey],Tickets[VehClean]),""))</f>
        <v/>
      </c>
      <c r="I1983">
        <f>IF(A1983="","",IFERROR(XLOOKUP(A1983,Tickets[TripKey],Tickets[RouteLen]),0))</f>
        <v/>
      </c>
      <c r="J1983">
        <f>IF(A1983="","",IFERROR(XLOOKUP(A1983,Tickets[TripKey],Tickets[Capacity]),0))</f>
        <v/>
      </c>
      <c r="K1983">
        <f>IF(A1983="","",I1983*J1983)</f>
        <v/>
      </c>
      <c r="L1983">
        <f>IF(A1983="","",IFERROR(MINIFS(Tickets[Trip Start Time],Tickets[TripKey],A1983),""))</f>
        <v/>
      </c>
    </row>
    <row r="1984">
      <c r="B1984" s="8">
        <f>IF(A1984="","",IFERROR(DATEVALUE(TEXTBEFORE(A1984,"|")),--LEFT(A1984,10)))</f>
        <v/>
      </c>
      <c r="C1984">
        <f>IF(A1984="","",TEXTBEFORE(TEXTAFTER(A1984,"|"),"|"))</f>
        <v/>
      </c>
      <c r="D1984">
        <f>IF(A1984="","",TEXTAFTER(A1984,"|",2))</f>
        <v/>
      </c>
      <c r="E1984">
        <f>IF(A1984="","",SUMIF(Tickets[TripKey],A1984,Tickets[TP]))</f>
        <v/>
      </c>
      <c r="F1984">
        <f>IF(A1984="","",SUMIF(Tickets[TripKey],A1984,Tickets[Revenue]))</f>
        <v/>
      </c>
      <c r="G1984">
        <f>IF(A1984="","",SUMIF(Tickets[TripKey],A1984,Tickets[PK]))</f>
        <v/>
      </c>
      <c r="H1984">
        <f>IF(A1984="","",IFERROR(XLOOKUP(A1984,Tickets[TripKey],Tickets[VehClean]),""))</f>
        <v/>
      </c>
      <c r="I1984">
        <f>IF(A1984="","",IFERROR(XLOOKUP(A1984,Tickets[TripKey],Tickets[RouteLen]),0))</f>
        <v/>
      </c>
      <c r="J1984">
        <f>IF(A1984="","",IFERROR(XLOOKUP(A1984,Tickets[TripKey],Tickets[Capacity]),0))</f>
        <v/>
      </c>
      <c r="K1984">
        <f>IF(A1984="","",I1984*J1984)</f>
        <v/>
      </c>
      <c r="L1984">
        <f>IF(A1984="","",IFERROR(MINIFS(Tickets[Trip Start Time],Tickets[TripKey],A1984),""))</f>
        <v/>
      </c>
    </row>
    <row r="1985">
      <c r="B1985" s="8">
        <f>IF(A1985="","",IFERROR(DATEVALUE(TEXTBEFORE(A1985,"|")),--LEFT(A1985,10)))</f>
        <v/>
      </c>
      <c r="C1985">
        <f>IF(A1985="","",TEXTBEFORE(TEXTAFTER(A1985,"|"),"|"))</f>
        <v/>
      </c>
      <c r="D1985">
        <f>IF(A1985="","",TEXTAFTER(A1985,"|",2))</f>
        <v/>
      </c>
      <c r="E1985">
        <f>IF(A1985="","",SUMIF(Tickets[TripKey],A1985,Tickets[TP]))</f>
        <v/>
      </c>
      <c r="F1985">
        <f>IF(A1985="","",SUMIF(Tickets[TripKey],A1985,Tickets[Revenue]))</f>
        <v/>
      </c>
      <c r="G1985">
        <f>IF(A1985="","",SUMIF(Tickets[TripKey],A1985,Tickets[PK]))</f>
        <v/>
      </c>
      <c r="H1985">
        <f>IF(A1985="","",IFERROR(XLOOKUP(A1985,Tickets[TripKey],Tickets[VehClean]),""))</f>
        <v/>
      </c>
      <c r="I1985">
        <f>IF(A1985="","",IFERROR(XLOOKUP(A1985,Tickets[TripKey],Tickets[RouteLen]),0))</f>
        <v/>
      </c>
      <c r="J1985">
        <f>IF(A1985="","",IFERROR(XLOOKUP(A1985,Tickets[TripKey],Tickets[Capacity]),0))</f>
        <v/>
      </c>
      <c r="K1985">
        <f>IF(A1985="","",I1985*J1985)</f>
        <v/>
      </c>
      <c r="L1985">
        <f>IF(A1985="","",IFERROR(MINIFS(Tickets[Trip Start Time],Tickets[TripKey],A1985),""))</f>
        <v/>
      </c>
    </row>
    <row r="1986">
      <c r="B1986" s="8">
        <f>IF(A1986="","",IFERROR(DATEVALUE(TEXTBEFORE(A1986,"|")),--LEFT(A1986,10)))</f>
        <v/>
      </c>
      <c r="C1986">
        <f>IF(A1986="","",TEXTBEFORE(TEXTAFTER(A1986,"|"),"|"))</f>
        <v/>
      </c>
      <c r="D1986">
        <f>IF(A1986="","",TEXTAFTER(A1986,"|",2))</f>
        <v/>
      </c>
      <c r="E1986">
        <f>IF(A1986="","",SUMIF(Tickets[TripKey],A1986,Tickets[TP]))</f>
        <v/>
      </c>
      <c r="F1986">
        <f>IF(A1986="","",SUMIF(Tickets[TripKey],A1986,Tickets[Revenue]))</f>
        <v/>
      </c>
      <c r="G1986">
        <f>IF(A1986="","",SUMIF(Tickets[TripKey],A1986,Tickets[PK]))</f>
        <v/>
      </c>
      <c r="H1986">
        <f>IF(A1986="","",IFERROR(XLOOKUP(A1986,Tickets[TripKey],Tickets[VehClean]),""))</f>
        <v/>
      </c>
      <c r="I1986">
        <f>IF(A1986="","",IFERROR(XLOOKUP(A1986,Tickets[TripKey],Tickets[RouteLen]),0))</f>
        <v/>
      </c>
      <c r="J1986">
        <f>IF(A1986="","",IFERROR(XLOOKUP(A1986,Tickets[TripKey],Tickets[Capacity]),0))</f>
        <v/>
      </c>
      <c r="K1986">
        <f>IF(A1986="","",I1986*J1986)</f>
        <v/>
      </c>
      <c r="L1986">
        <f>IF(A1986="","",IFERROR(MINIFS(Tickets[Trip Start Time],Tickets[TripKey],A1986),""))</f>
        <v/>
      </c>
    </row>
    <row r="1987">
      <c r="B1987" s="8">
        <f>IF(A1987="","",IFERROR(DATEVALUE(TEXTBEFORE(A1987,"|")),--LEFT(A1987,10)))</f>
        <v/>
      </c>
      <c r="C1987">
        <f>IF(A1987="","",TEXTBEFORE(TEXTAFTER(A1987,"|"),"|"))</f>
        <v/>
      </c>
      <c r="D1987">
        <f>IF(A1987="","",TEXTAFTER(A1987,"|",2))</f>
        <v/>
      </c>
      <c r="E1987">
        <f>IF(A1987="","",SUMIF(Tickets[TripKey],A1987,Tickets[TP]))</f>
        <v/>
      </c>
      <c r="F1987">
        <f>IF(A1987="","",SUMIF(Tickets[TripKey],A1987,Tickets[Revenue]))</f>
        <v/>
      </c>
      <c r="G1987">
        <f>IF(A1987="","",SUMIF(Tickets[TripKey],A1987,Tickets[PK]))</f>
        <v/>
      </c>
      <c r="H1987">
        <f>IF(A1987="","",IFERROR(XLOOKUP(A1987,Tickets[TripKey],Tickets[VehClean]),""))</f>
        <v/>
      </c>
      <c r="I1987">
        <f>IF(A1987="","",IFERROR(XLOOKUP(A1987,Tickets[TripKey],Tickets[RouteLen]),0))</f>
        <v/>
      </c>
      <c r="J1987">
        <f>IF(A1987="","",IFERROR(XLOOKUP(A1987,Tickets[TripKey],Tickets[Capacity]),0))</f>
        <v/>
      </c>
      <c r="K1987">
        <f>IF(A1987="","",I1987*J1987)</f>
        <v/>
      </c>
      <c r="L1987">
        <f>IF(A1987="","",IFERROR(MINIFS(Tickets[Trip Start Time],Tickets[TripKey],A1987),""))</f>
        <v/>
      </c>
    </row>
    <row r="1988">
      <c r="B1988" s="8">
        <f>IF(A1988="","",IFERROR(DATEVALUE(TEXTBEFORE(A1988,"|")),--LEFT(A1988,10)))</f>
        <v/>
      </c>
      <c r="C1988">
        <f>IF(A1988="","",TEXTBEFORE(TEXTAFTER(A1988,"|"),"|"))</f>
        <v/>
      </c>
      <c r="D1988">
        <f>IF(A1988="","",TEXTAFTER(A1988,"|",2))</f>
        <v/>
      </c>
      <c r="E1988">
        <f>IF(A1988="","",SUMIF(Tickets[TripKey],A1988,Tickets[TP]))</f>
        <v/>
      </c>
      <c r="F1988">
        <f>IF(A1988="","",SUMIF(Tickets[TripKey],A1988,Tickets[Revenue]))</f>
        <v/>
      </c>
      <c r="G1988">
        <f>IF(A1988="","",SUMIF(Tickets[TripKey],A1988,Tickets[PK]))</f>
        <v/>
      </c>
      <c r="H1988">
        <f>IF(A1988="","",IFERROR(XLOOKUP(A1988,Tickets[TripKey],Tickets[VehClean]),""))</f>
        <v/>
      </c>
      <c r="I1988">
        <f>IF(A1988="","",IFERROR(XLOOKUP(A1988,Tickets[TripKey],Tickets[RouteLen]),0))</f>
        <v/>
      </c>
      <c r="J1988">
        <f>IF(A1988="","",IFERROR(XLOOKUP(A1988,Tickets[TripKey],Tickets[Capacity]),0))</f>
        <v/>
      </c>
      <c r="K1988">
        <f>IF(A1988="","",I1988*J1988)</f>
        <v/>
      </c>
      <c r="L1988">
        <f>IF(A1988="","",IFERROR(MINIFS(Tickets[Trip Start Time],Tickets[TripKey],A1988),""))</f>
        <v/>
      </c>
    </row>
    <row r="1989">
      <c r="B1989" s="8">
        <f>IF(A1989="","",IFERROR(DATEVALUE(TEXTBEFORE(A1989,"|")),--LEFT(A1989,10)))</f>
        <v/>
      </c>
      <c r="C1989">
        <f>IF(A1989="","",TEXTBEFORE(TEXTAFTER(A1989,"|"),"|"))</f>
        <v/>
      </c>
      <c r="D1989">
        <f>IF(A1989="","",TEXTAFTER(A1989,"|",2))</f>
        <v/>
      </c>
      <c r="E1989">
        <f>IF(A1989="","",SUMIF(Tickets[TripKey],A1989,Tickets[TP]))</f>
        <v/>
      </c>
      <c r="F1989">
        <f>IF(A1989="","",SUMIF(Tickets[TripKey],A1989,Tickets[Revenue]))</f>
        <v/>
      </c>
      <c r="G1989">
        <f>IF(A1989="","",SUMIF(Tickets[TripKey],A1989,Tickets[PK]))</f>
        <v/>
      </c>
      <c r="H1989">
        <f>IF(A1989="","",IFERROR(XLOOKUP(A1989,Tickets[TripKey],Tickets[VehClean]),""))</f>
        <v/>
      </c>
      <c r="I1989">
        <f>IF(A1989="","",IFERROR(XLOOKUP(A1989,Tickets[TripKey],Tickets[RouteLen]),0))</f>
        <v/>
      </c>
      <c r="J1989">
        <f>IF(A1989="","",IFERROR(XLOOKUP(A1989,Tickets[TripKey],Tickets[Capacity]),0))</f>
        <v/>
      </c>
      <c r="K1989">
        <f>IF(A1989="","",I1989*J1989)</f>
        <v/>
      </c>
      <c r="L1989">
        <f>IF(A1989="","",IFERROR(MINIFS(Tickets[Trip Start Time],Tickets[TripKey],A1989),""))</f>
        <v/>
      </c>
    </row>
    <row r="1990">
      <c r="B1990" s="8">
        <f>IF(A1990="","",IFERROR(DATEVALUE(TEXTBEFORE(A1990,"|")),--LEFT(A1990,10)))</f>
        <v/>
      </c>
      <c r="C1990">
        <f>IF(A1990="","",TEXTBEFORE(TEXTAFTER(A1990,"|"),"|"))</f>
        <v/>
      </c>
      <c r="D1990">
        <f>IF(A1990="","",TEXTAFTER(A1990,"|",2))</f>
        <v/>
      </c>
      <c r="E1990">
        <f>IF(A1990="","",SUMIF(Tickets[TripKey],A1990,Tickets[TP]))</f>
        <v/>
      </c>
      <c r="F1990">
        <f>IF(A1990="","",SUMIF(Tickets[TripKey],A1990,Tickets[Revenue]))</f>
        <v/>
      </c>
      <c r="G1990">
        <f>IF(A1990="","",SUMIF(Tickets[TripKey],A1990,Tickets[PK]))</f>
        <v/>
      </c>
      <c r="H1990">
        <f>IF(A1990="","",IFERROR(XLOOKUP(A1990,Tickets[TripKey],Tickets[VehClean]),""))</f>
        <v/>
      </c>
      <c r="I1990">
        <f>IF(A1990="","",IFERROR(XLOOKUP(A1990,Tickets[TripKey],Tickets[RouteLen]),0))</f>
        <v/>
      </c>
      <c r="J1990">
        <f>IF(A1990="","",IFERROR(XLOOKUP(A1990,Tickets[TripKey],Tickets[Capacity]),0))</f>
        <v/>
      </c>
      <c r="K1990">
        <f>IF(A1990="","",I1990*J1990)</f>
        <v/>
      </c>
      <c r="L1990">
        <f>IF(A1990="","",IFERROR(MINIFS(Tickets[Trip Start Time],Tickets[TripKey],A1990),""))</f>
        <v/>
      </c>
    </row>
    <row r="1991">
      <c r="B1991" s="8">
        <f>IF(A1991="","",IFERROR(DATEVALUE(TEXTBEFORE(A1991,"|")),--LEFT(A1991,10)))</f>
        <v/>
      </c>
      <c r="C1991">
        <f>IF(A1991="","",TEXTBEFORE(TEXTAFTER(A1991,"|"),"|"))</f>
        <v/>
      </c>
      <c r="D1991">
        <f>IF(A1991="","",TEXTAFTER(A1991,"|",2))</f>
        <v/>
      </c>
      <c r="E1991">
        <f>IF(A1991="","",SUMIF(Tickets[TripKey],A1991,Tickets[TP]))</f>
        <v/>
      </c>
      <c r="F1991">
        <f>IF(A1991="","",SUMIF(Tickets[TripKey],A1991,Tickets[Revenue]))</f>
        <v/>
      </c>
      <c r="G1991">
        <f>IF(A1991="","",SUMIF(Tickets[TripKey],A1991,Tickets[PK]))</f>
        <v/>
      </c>
      <c r="H1991">
        <f>IF(A1991="","",IFERROR(XLOOKUP(A1991,Tickets[TripKey],Tickets[VehClean]),""))</f>
        <v/>
      </c>
      <c r="I1991">
        <f>IF(A1991="","",IFERROR(XLOOKUP(A1991,Tickets[TripKey],Tickets[RouteLen]),0))</f>
        <v/>
      </c>
      <c r="J1991">
        <f>IF(A1991="","",IFERROR(XLOOKUP(A1991,Tickets[TripKey],Tickets[Capacity]),0))</f>
        <v/>
      </c>
      <c r="K1991">
        <f>IF(A1991="","",I1991*J1991)</f>
        <v/>
      </c>
      <c r="L1991">
        <f>IF(A1991="","",IFERROR(MINIFS(Tickets[Trip Start Time],Tickets[TripKey],A1991),""))</f>
        <v/>
      </c>
    </row>
    <row r="1992">
      <c r="B1992" s="8">
        <f>IF(A1992="","",IFERROR(DATEVALUE(TEXTBEFORE(A1992,"|")),--LEFT(A1992,10)))</f>
        <v/>
      </c>
      <c r="C1992">
        <f>IF(A1992="","",TEXTBEFORE(TEXTAFTER(A1992,"|"),"|"))</f>
        <v/>
      </c>
      <c r="D1992">
        <f>IF(A1992="","",TEXTAFTER(A1992,"|",2))</f>
        <v/>
      </c>
      <c r="E1992">
        <f>IF(A1992="","",SUMIF(Tickets[TripKey],A1992,Tickets[TP]))</f>
        <v/>
      </c>
      <c r="F1992">
        <f>IF(A1992="","",SUMIF(Tickets[TripKey],A1992,Tickets[Revenue]))</f>
        <v/>
      </c>
      <c r="G1992">
        <f>IF(A1992="","",SUMIF(Tickets[TripKey],A1992,Tickets[PK]))</f>
        <v/>
      </c>
      <c r="H1992">
        <f>IF(A1992="","",IFERROR(XLOOKUP(A1992,Tickets[TripKey],Tickets[VehClean]),""))</f>
        <v/>
      </c>
      <c r="I1992">
        <f>IF(A1992="","",IFERROR(XLOOKUP(A1992,Tickets[TripKey],Tickets[RouteLen]),0))</f>
        <v/>
      </c>
      <c r="J1992">
        <f>IF(A1992="","",IFERROR(XLOOKUP(A1992,Tickets[TripKey],Tickets[Capacity]),0))</f>
        <v/>
      </c>
      <c r="K1992">
        <f>IF(A1992="","",I1992*J1992)</f>
        <v/>
      </c>
      <c r="L1992">
        <f>IF(A1992="","",IFERROR(MINIFS(Tickets[Trip Start Time],Tickets[TripKey],A1992),""))</f>
        <v/>
      </c>
    </row>
    <row r="1993">
      <c r="B1993" s="8">
        <f>IF(A1993="","",IFERROR(DATEVALUE(TEXTBEFORE(A1993,"|")),--LEFT(A1993,10)))</f>
        <v/>
      </c>
      <c r="C1993">
        <f>IF(A1993="","",TEXTBEFORE(TEXTAFTER(A1993,"|"),"|"))</f>
        <v/>
      </c>
      <c r="D1993">
        <f>IF(A1993="","",TEXTAFTER(A1993,"|",2))</f>
        <v/>
      </c>
      <c r="E1993">
        <f>IF(A1993="","",SUMIF(Tickets[TripKey],A1993,Tickets[TP]))</f>
        <v/>
      </c>
      <c r="F1993">
        <f>IF(A1993="","",SUMIF(Tickets[TripKey],A1993,Tickets[Revenue]))</f>
        <v/>
      </c>
      <c r="G1993">
        <f>IF(A1993="","",SUMIF(Tickets[TripKey],A1993,Tickets[PK]))</f>
        <v/>
      </c>
      <c r="H1993">
        <f>IF(A1993="","",IFERROR(XLOOKUP(A1993,Tickets[TripKey],Tickets[VehClean]),""))</f>
        <v/>
      </c>
      <c r="I1993">
        <f>IF(A1993="","",IFERROR(XLOOKUP(A1993,Tickets[TripKey],Tickets[RouteLen]),0))</f>
        <v/>
      </c>
      <c r="J1993">
        <f>IF(A1993="","",IFERROR(XLOOKUP(A1993,Tickets[TripKey],Tickets[Capacity]),0))</f>
        <v/>
      </c>
      <c r="K1993">
        <f>IF(A1993="","",I1993*J1993)</f>
        <v/>
      </c>
      <c r="L1993">
        <f>IF(A1993="","",IFERROR(MINIFS(Tickets[Trip Start Time],Tickets[TripKey],A1993),""))</f>
        <v/>
      </c>
    </row>
    <row r="1994">
      <c r="B1994" s="8">
        <f>IF(A1994="","",IFERROR(DATEVALUE(TEXTBEFORE(A1994,"|")),--LEFT(A1994,10)))</f>
        <v/>
      </c>
      <c r="C1994">
        <f>IF(A1994="","",TEXTBEFORE(TEXTAFTER(A1994,"|"),"|"))</f>
        <v/>
      </c>
      <c r="D1994">
        <f>IF(A1994="","",TEXTAFTER(A1994,"|",2))</f>
        <v/>
      </c>
      <c r="E1994">
        <f>IF(A1994="","",SUMIF(Tickets[TripKey],A1994,Tickets[TP]))</f>
        <v/>
      </c>
      <c r="F1994">
        <f>IF(A1994="","",SUMIF(Tickets[TripKey],A1994,Tickets[Revenue]))</f>
        <v/>
      </c>
      <c r="G1994">
        <f>IF(A1994="","",SUMIF(Tickets[TripKey],A1994,Tickets[PK]))</f>
        <v/>
      </c>
      <c r="H1994">
        <f>IF(A1994="","",IFERROR(XLOOKUP(A1994,Tickets[TripKey],Tickets[VehClean]),""))</f>
        <v/>
      </c>
      <c r="I1994">
        <f>IF(A1994="","",IFERROR(XLOOKUP(A1994,Tickets[TripKey],Tickets[RouteLen]),0))</f>
        <v/>
      </c>
      <c r="J1994">
        <f>IF(A1994="","",IFERROR(XLOOKUP(A1994,Tickets[TripKey],Tickets[Capacity]),0))</f>
        <v/>
      </c>
      <c r="K1994">
        <f>IF(A1994="","",I1994*J1994)</f>
        <v/>
      </c>
      <c r="L1994">
        <f>IF(A1994="","",IFERROR(MINIFS(Tickets[Trip Start Time],Tickets[TripKey],A1994),""))</f>
        <v/>
      </c>
    </row>
    <row r="1995">
      <c r="B1995" s="8">
        <f>IF(A1995="","",IFERROR(DATEVALUE(TEXTBEFORE(A1995,"|")),--LEFT(A1995,10)))</f>
        <v/>
      </c>
      <c r="C1995">
        <f>IF(A1995="","",TEXTBEFORE(TEXTAFTER(A1995,"|"),"|"))</f>
        <v/>
      </c>
      <c r="D1995">
        <f>IF(A1995="","",TEXTAFTER(A1995,"|",2))</f>
        <v/>
      </c>
      <c r="E1995">
        <f>IF(A1995="","",SUMIF(Tickets[TripKey],A1995,Tickets[TP]))</f>
        <v/>
      </c>
      <c r="F1995">
        <f>IF(A1995="","",SUMIF(Tickets[TripKey],A1995,Tickets[Revenue]))</f>
        <v/>
      </c>
      <c r="G1995">
        <f>IF(A1995="","",SUMIF(Tickets[TripKey],A1995,Tickets[PK]))</f>
        <v/>
      </c>
      <c r="H1995">
        <f>IF(A1995="","",IFERROR(XLOOKUP(A1995,Tickets[TripKey],Tickets[VehClean]),""))</f>
        <v/>
      </c>
      <c r="I1995">
        <f>IF(A1995="","",IFERROR(XLOOKUP(A1995,Tickets[TripKey],Tickets[RouteLen]),0))</f>
        <v/>
      </c>
      <c r="J1995">
        <f>IF(A1995="","",IFERROR(XLOOKUP(A1995,Tickets[TripKey],Tickets[Capacity]),0))</f>
        <v/>
      </c>
      <c r="K1995">
        <f>IF(A1995="","",I1995*J1995)</f>
        <v/>
      </c>
      <c r="L1995">
        <f>IF(A1995="","",IFERROR(MINIFS(Tickets[Trip Start Time],Tickets[TripKey],A1995),""))</f>
        <v/>
      </c>
    </row>
    <row r="1996">
      <c r="B1996" s="8">
        <f>IF(A1996="","",IFERROR(DATEVALUE(TEXTBEFORE(A1996,"|")),--LEFT(A1996,10)))</f>
        <v/>
      </c>
      <c r="C1996">
        <f>IF(A1996="","",TEXTBEFORE(TEXTAFTER(A1996,"|"),"|"))</f>
        <v/>
      </c>
      <c r="D1996">
        <f>IF(A1996="","",TEXTAFTER(A1996,"|",2))</f>
        <v/>
      </c>
      <c r="E1996">
        <f>IF(A1996="","",SUMIF(Tickets[TripKey],A1996,Tickets[TP]))</f>
        <v/>
      </c>
      <c r="F1996">
        <f>IF(A1996="","",SUMIF(Tickets[TripKey],A1996,Tickets[Revenue]))</f>
        <v/>
      </c>
      <c r="G1996">
        <f>IF(A1996="","",SUMIF(Tickets[TripKey],A1996,Tickets[PK]))</f>
        <v/>
      </c>
      <c r="H1996">
        <f>IF(A1996="","",IFERROR(XLOOKUP(A1996,Tickets[TripKey],Tickets[VehClean]),""))</f>
        <v/>
      </c>
      <c r="I1996">
        <f>IF(A1996="","",IFERROR(XLOOKUP(A1996,Tickets[TripKey],Tickets[RouteLen]),0))</f>
        <v/>
      </c>
      <c r="J1996">
        <f>IF(A1996="","",IFERROR(XLOOKUP(A1996,Tickets[TripKey],Tickets[Capacity]),0))</f>
        <v/>
      </c>
      <c r="K1996">
        <f>IF(A1996="","",I1996*J1996)</f>
        <v/>
      </c>
      <c r="L1996">
        <f>IF(A1996="","",IFERROR(MINIFS(Tickets[Trip Start Time],Tickets[TripKey],A1996),""))</f>
        <v/>
      </c>
    </row>
    <row r="1997">
      <c r="B1997" s="8">
        <f>IF(A1997="","",IFERROR(DATEVALUE(TEXTBEFORE(A1997,"|")),--LEFT(A1997,10)))</f>
        <v/>
      </c>
      <c r="C1997">
        <f>IF(A1997="","",TEXTBEFORE(TEXTAFTER(A1997,"|"),"|"))</f>
        <v/>
      </c>
      <c r="D1997">
        <f>IF(A1997="","",TEXTAFTER(A1997,"|",2))</f>
        <v/>
      </c>
      <c r="E1997">
        <f>IF(A1997="","",SUMIF(Tickets[TripKey],A1997,Tickets[TP]))</f>
        <v/>
      </c>
      <c r="F1997">
        <f>IF(A1997="","",SUMIF(Tickets[TripKey],A1997,Tickets[Revenue]))</f>
        <v/>
      </c>
      <c r="G1997">
        <f>IF(A1997="","",SUMIF(Tickets[TripKey],A1997,Tickets[PK]))</f>
        <v/>
      </c>
      <c r="H1997">
        <f>IF(A1997="","",IFERROR(XLOOKUP(A1997,Tickets[TripKey],Tickets[VehClean]),""))</f>
        <v/>
      </c>
      <c r="I1997">
        <f>IF(A1997="","",IFERROR(XLOOKUP(A1997,Tickets[TripKey],Tickets[RouteLen]),0))</f>
        <v/>
      </c>
      <c r="J1997">
        <f>IF(A1997="","",IFERROR(XLOOKUP(A1997,Tickets[TripKey],Tickets[Capacity]),0))</f>
        <v/>
      </c>
      <c r="K1997">
        <f>IF(A1997="","",I1997*J1997)</f>
        <v/>
      </c>
      <c r="L1997">
        <f>IF(A1997="","",IFERROR(MINIFS(Tickets[Trip Start Time],Tickets[TripKey],A1997),""))</f>
        <v/>
      </c>
    </row>
    <row r="1998">
      <c r="B1998" s="8">
        <f>IF(A1998="","",IFERROR(DATEVALUE(TEXTBEFORE(A1998,"|")),--LEFT(A1998,10)))</f>
        <v/>
      </c>
      <c r="C1998">
        <f>IF(A1998="","",TEXTBEFORE(TEXTAFTER(A1998,"|"),"|"))</f>
        <v/>
      </c>
      <c r="D1998">
        <f>IF(A1998="","",TEXTAFTER(A1998,"|",2))</f>
        <v/>
      </c>
      <c r="E1998">
        <f>IF(A1998="","",SUMIF(Tickets[TripKey],A1998,Tickets[TP]))</f>
        <v/>
      </c>
      <c r="F1998">
        <f>IF(A1998="","",SUMIF(Tickets[TripKey],A1998,Tickets[Revenue]))</f>
        <v/>
      </c>
      <c r="G1998">
        <f>IF(A1998="","",SUMIF(Tickets[TripKey],A1998,Tickets[PK]))</f>
        <v/>
      </c>
      <c r="H1998">
        <f>IF(A1998="","",IFERROR(XLOOKUP(A1998,Tickets[TripKey],Tickets[VehClean]),""))</f>
        <v/>
      </c>
      <c r="I1998">
        <f>IF(A1998="","",IFERROR(XLOOKUP(A1998,Tickets[TripKey],Tickets[RouteLen]),0))</f>
        <v/>
      </c>
      <c r="J1998">
        <f>IF(A1998="","",IFERROR(XLOOKUP(A1998,Tickets[TripKey],Tickets[Capacity]),0))</f>
        <v/>
      </c>
      <c r="K1998">
        <f>IF(A1998="","",I1998*J1998)</f>
        <v/>
      </c>
      <c r="L1998">
        <f>IF(A1998="","",IFERROR(MINIFS(Tickets[Trip Start Time],Tickets[TripKey],A1998),""))</f>
        <v/>
      </c>
    </row>
    <row r="1999">
      <c r="B1999" s="8">
        <f>IF(A1999="","",IFERROR(DATEVALUE(TEXTBEFORE(A1999,"|")),--LEFT(A1999,10)))</f>
        <v/>
      </c>
      <c r="C1999">
        <f>IF(A1999="","",TEXTBEFORE(TEXTAFTER(A1999,"|"),"|"))</f>
        <v/>
      </c>
      <c r="D1999">
        <f>IF(A1999="","",TEXTAFTER(A1999,"|",2))</f>
        <v/>
      </c>
      <c r="E1999">
        <f>IF(A1999="","",SUMIF(Tickets[TripKey],A1999,Tickets[TP]))</f>
        <v/>
      </c>
      <c r="F1999">
        <f>IF(A1999="","",SUMIF(Tickets[TripKey],A1999,Tickets[Revenue]))</f>
        <v/>
      </c>
      <c r="G1999">
        <f>IF(A1999="","",SUMIF(Tickets[TripKey],A1999,Tickets[PK]))</f>
        <v/>
      </c>
      <c r="H1999">
        <f>IF(A1999="","",IFERROR(XLOOKUP(A1999,Tickets[TripKey],Tickets[VehClean]),""))</f>
        <v/>
      </c>
      <c r="I1999">
        <f>IF(A1999="","",IFERROR(XLOOKUP(A1999,Tickets[TripKey],Tickets[RouteLen]),0))</f>
        <v/>
      </c>
      <c r="J1999">
        <f>IF(A1999="","",IFERROR(XLOOKUP(A1999,Tickets[TripKey],Tickets[Capacity]),0))</f>
        <v/>
      </c>
      <c r="K1999">
        <f>IF(A1999="","",I1999*J1999)</f>
        <v/>
      </c>
      <c r="L1999">
        <f>IF(A1999="","",IFERROR(MINIFS(Tickets[Trip Start Time],Tickets[TripKey],A1999),""))</f>
        <v/>
      </c>
    </row>
    <row r="2000">
      <c r="B2000" s="8">
        <f>IF(A2000="","",IFERROR(DATEVALUE(TEXTBEFORE(A2000,"|")),--LEFT(A2000,10)))</f>
        <v/>
      </c>
      <c r="C2000">
        <f>IF(A2000="","",TEXTBEFORE(TEXTAFTER(A2000,"|"),"|"))</f>
        <v/>
      </c>
      <c r="D2000">
        <f>IF(A2000="","",TEXTAFTER(A2000,"|",2))</f>
        <v/>
      </c>
      <c r="E2000">
        <f>IF(A2000="","",SUMIF(Tickets[TripKey],A2000,Tickets[TP]))</f>
        <v/>
      </c>
      <c r="F2000">
        <f>IF(A2000="","",SUMIF(Tickets[TripKey],A2000,Tickets[Revenue]))</f>
        <v/>
      </c>
      <c r="G2000">
        <f>IF(A2000="","",SUMIF(Tickets[TripKey],A2000,Tickets[PK]))</f>
        <v/>
      </c>
      <c r="H2000">
        <f>IF(A2000="","",IFERROR(XLOOKUP(A2000,Tickets[TripKey],Tickets[VehClean]),""))</f>
        <v/>
      </c>
      <c r="I2000">
        <f>IF(A2000="","",IFERROR(XLOOKUP(A2000,Tickets[TripKey],Tickets[RouteLen]),0))</f>
        <v/>
      </c>
      <c r="J2000">
        <f>IF(A2000="","",IFERROR(XLOOKUP(A2000,Tickets[TripKey],Tickets[Capacity]),0))</f>
        <v/>
      </c>
      <c r="K2000">
        <f>IF(A2000="","",I2000*J2000)</f>
        <v/>
      </c>
      <c r="L2000">
        <f>IF(A2000="","",IFERROR(MINIFS(Tickets[Trip Start Time],Tickets[TripKey],A2000),""))</f>
        <v/>
      </c>
    </row>
    <row r="2001">
      <c r="B2001" s="8">
        <f>IF(A2001="","",IFERROR(DATEVALUE(TEXTBEFORE(A2001,"|")),--LEFT(A2001,10)))</f>
        <v/>
      </c>
      <c r="C2001">
        <f>IF(A2001="","",TEXTBEFORE(TEXTAFTER(A2001,"|"),"|"))</f>
        <v/>
      </c>
      <c r="D2001">
        <f>IF(A2001="","",TEXTAFTER(A2001,"|",2))</f>
        <v/>
      </c>
      <c r="E2001">
        <f>IF(A2001="","",SUMIF(Tickets[TripKey],A2001,Tickets[TP]))</f>
        <v/>
      </c>
      <c r="F2001">
        <f>IF(A2001="","",SUMIF(Tickets[TripKey],A2001,Tickets[Revenue]))</f>
        <v/>
      </c>
      <c r="G2001">
        <f>IF(A2001="","",SUMIF(Tickets[TripKey],A2001,Tickets[PK]))</f>
        <v/>
      </c>
      <c r="H2001">
        <f>IF(A2001="","",IFERROR(XLOOKUP(A2001,Tickets[TripKey],Tickets[VehClean]),""))</f>
        <v/>
      </c>
      <c r="I2001">
        <f>IF(A2001="","",IFERROR(XLOOKUP(A2001,Tickets[TripKey],Tickets[RouteLen]),0))</f>
        <v/>
      </c>
      <c r="J2001">
        <f>IF(A2001="","",IFERROR(XLOOKUP(A2001,Tickets[TripKey],Tickets[Capacity]),0))</f>
        <v/>
      </c>
      <c r="K2001">
        <f>IF(A2001="","",I2001*J2001)</f>
        <v/>
      </c>
      <c r="L2001">
        <f>IF(A2001="","",IFERROR(MINIFS(Tickets[Trip Start Time],Tickets[TripKey],A2001),""))</f>
        <v/>
      </c>
    </row>
    <row r="2002">
      <c r="B2002" s="8">
        <f>IF(A2002="","",IFERROR(DATEVALUE(TEXTBEFORE(A2002,"|")),--LEFT(A2002,10)))</f>
        <v/>
      </c>
      <c r="C2002">
        <f>IF(A2002="","",TEXTBEFORE(TEXTAFTER(A2002,"|"),"|"))</f>
        <v/>
      </c>
      <c r="D2002">
        <f>IF(A2002="","",TEXTAFTER(A2002,"|",2))</f>
        <v/>
      </c>
      <c r="E2002">
        <f>IF(A2002="","",SUMIF(Tickets[TripKey],A2002,Tickets[TP]))</f>
        <v/>
      </c>
      <c r="F2002">
        <f>IF(A2002="","",SUMIF(Tickets[TripKey],A2002,Tickets[Revenue]))</f>
        <v/>
      </c>
      <c r="G2002">
        <f>IF(A2002="","",SUMIF(Tickets[TripKey],A2002,Tickets[PK]))</f>
        <v/>
      </c>
      <c r="H2002">
        <f>IF(A2002="","",IFERROR(XLOOKUP(A2002,Tickets[TripKey],Tickets[VehClean]),""))</f>
        <v/>
      </c>
      <c r="I2002">
        <f>IF(A2002="","",IFERROR(XLOOKUP(A2002,Tickets[TripKey],Tickets[RouteLen]),0))</f>
        <v/>
      </c>
      <c r="J2002">
        <f>IF(A2002="","",IFERROR(XLOOKUP(A2002,Tickets[TripKey],Tickets[Capacity]),0))</f>
        <v/>
      </c>
      <c r="K2002">
        <f>IF(A2002="","",I2002*J2002)</f>
        <v/>
      </c>
      <c r="L2002">
        <f>IF(A2002="","",IFERROR(MINIFS(Tickets[Trip Start Time],Tickets[TripKey],A2002),""))</f>
        <v/>
      </c>
    </row>
    <row r="2003">
      <c r="B2003" s="8">
        <f>IF(A2003="","",IFERROR(DATEVALUE(TEXTBEFORE(A2003,"|")),--LEFT(A2003,10)))</f>
        <v/>
      </c>
      <c r="C2003">
        <f>IF(A2003="","",TEXTBEFORE(TEXTAFTER(A2003,"|"),"|"))</f>
        <v/>
      </c>
      <c r="D2003">
        <f>IF(A2003="","",TEXTAFTER(A2003,"|",2))</f>
        <v/>
      </c>
      <c r="E2003">
        <f>IF(A2003="","",SUMIF(Tickets[TripKey],A2003,Tickets[TP]))</f>
        <v/>
      </c>
      <c r="F2003">
        <f>IF(A2003="","",SUMIF(Tickets[TripKey],A2003,Tickets[Revenue]))</f>
        <v/>
      </c>
      <c r="G2003">
        <f>IF(A2003="","",SUMIF(Tickets[TripKey],A2003,Tickets[PK]))</f>
        <v/>
      </c>
      <c r="H2003">
        <f>IF(A2003="","",IFERROR(XLOOKUP(A2003,Tickets[TripKey],Tickets[VehClean]),""))</f>
        <v/>
      </c>
      <c r="I2003">
        <f>IF(A2003="","",IFERROR(XLOOKUP(A2003,Tickets[TripKey],Tickets[RouteLen]),0))</f>
        <v/>
      </c>
      <c r="J2003">
        <f>IF(A2003="","",IFERROR(XLOOKUP(A2003,Tickets[TripKey],Tickets[Capacity]),0))</f>
        <v/>
      </c>
      <c r="K2003">
        <f>IF(A2003="","",I2003*J2003)</f>
        <v/>
      </c>
      <c r="L2003">
        <f>IF(A2003="","",IFERROR(MINIFS(Tickets[Trip Start Time],Tickets[TripKey],A2003),""))</f>
        <v/>
      </c>
    </row>
    <row r="2004">
      <c r="B2004" s="8">
        <f>IF(A2004="","",IFERROR(DATEVALUE(TEXTBEFORE(A2004,"|")),--LEFT(A2004,10)))</f>
        <v/>
      </c>
      <c r="C2004">
        <f>IF(A2004="","",TEXTBEFORE(TEXTAFTER(A2004,"|"),"|"))</f>
        <v/>
      </c>
      <c r="D2004">
        <f>IF(A2004="","",TEXTAFTER(A2004,"|",2))</f>
        <v/>
      </c>
      <c r="E2004">
        <f>IF(A2004="","",SUMIF(Tickets[TripKey],A2004,Tickets[TP]))</f>
        <v/>
      </c>
      <c r="F2004">
        <f>IF(A2004="","",SUMIF(Tickets[TripKey],A2004,Tickets[Revenue]))</f>
        <v/>
      </c>
      <c r="G2004">
        <f>IF(A2004="","",SUMIF(Tickets[TripKey],A2004,Tickets[PK]))</f>
        <v/>
      </c>
      <c r="H2004">
        <f>IF(A2004="","",IFERROR(XLOOKUP(A2004,Tickets[TripKey],Tickets[VehClean]),""))</f>
        <v/>
      </c>
      <c r="I2004">
        <f>IF(A2004="","",IFERROR(XLOOKUP(A2004,Tickets[TripKey],Tickets[RouteLen]),0))</f>
        <v/>
      </c>
      <c r="J2004">
        <f>IF(A2004="","",IFERROR(XLOOKUP(A2004,Tickets[TripKey],Tickets[Capacity]),0))</f>
        <v/>
      </c>
      <c r="K2004">
        <f>IF(A2004="","",I2004*J2004)</f>
        <v/>
      </c>
      <c r="L2004">
        <f>IF(A2004="","",IFERROR(MINIFS(Tickets[Trip Start Time],Tickets[TripKey],A2004),""))</f>
        <v/>
      </c>
    </row>
    <row r="2005">
      <c r="B2005" s="8">
        <f>IF(A2005="","",IFERROR(DATEVALUE(TEXTBEFORE(A2005,"|")),--LEFT(A2005,10)))</f>
        <v/>
      </c>
      <c r="C2005">
        <f>IF(A2005="","",TEXTBEFORE(TEXTAFTER(A2005,"|"),"|"))</f>
        <v/>
      </c>
      <c r="D2005">
        <f>IF(A2005="","",TEXTAFTER(A2005,"|",2))</f>
        <v/>
      </c>
      <c r="E2005">
        <f>IF(A2005="","",SUMIF(Tickets[TripKey],A2005,Tickets[TP]))</f>
        <v/>
      </c>
      <c r="F2005">
        <f>IF(A2005="","",SUMIF(Tickets[TripKey],A2005,Tickets[Revenue]))</f>
        <v/>
      </c>
      <c r="G2005">
        <f>IF(A2005="","",SUMIF(Tickets[TripKey],A2005,Tickets[PK]))</f>
        <v/>
      </c>
      <c r="H2005">
        <f>IF(A2005="","",IFERROR(XLOOKUP(A2005,Tickets[TripKey],Tickets[VehClean]),""))</f>
        <v/>
      </c>
      <c r="I2005">
        <f>IF(A2005="","",IFERROR(XLOOKUP(A2005,Tickets[TripKey],Tickets[RouteLen]),0))</f>
        <v/>
      </c>
      <c r="J2005">
        <f>IF(A2005="","",IFERROR(XLOOKUP(A2005,Tickets[TripKey],Tickets[Capacity]),0))</f>
        <v/>
      </c>
      <c r="K2005">
        <f>IF(A2005="","",I2005*J2005)</f>
        <v/>
      </c>
      <c r="L2005">
        <f>IF(A2005="","",IFERROR(MINIFS(Tickets[Trip Start Time],Tickets[TripKey],A2005),""))</f>
        <v/>
      </c>
    </row>
    <row r="2006">
      <c r="B2006" s="8">
        <f>IF(A2006="","",IFERROR(DATEVALUE(TEXTBEFORE(A2006,"|")),--LEFT(A2006,10)))</f>
        <v/>
      </c>
      <c r="C2006">
        <f>IF(A2006="","",TEXTBEFORE(TEXTAFTER(A2006,"|"),"|"))</f>
        <v/>
      </c>
      <c r="D2006">
        <f>IF(A2006="","",TEXTAFTER(A2006,"|",2))</f>
        <v/>
      </c>
      <c r="E2006">
        <f>IF(A2006="","",SUMIF(Tickets[TripKey],A2006,Tickets[TP]))</f>
        <v/>
      </c>
      <c r="F2006">
        <f>IF(A2006="","",SUMIF(Tickets[TripKey],A2006,Tickets[Revenue]))</f>
        <v/>
      </c>
      <c r="G2006">
        <f>IF(A2006="","",SUMIF(Tickets[TripKey],A2006,Tickets[PK]))</f>
        <v/>
      </c>
      <c r="H2006">
        <f>IF(A2006="","",IFERROR(XLOOKUP(A2006,Tickets[TripKey],Tickets[VehClean]),""))</f>
        <v/>
      </c>
      <c r="I2006">
        <f>IF(A2006="","",IFERROR(XLOOKUP(A2006,Tickets[TripKey],Tickets[RouteLen]),0))</f>
        <v/>
      </c>
      <c r="J2006">
        <f>IF(A2006="","",IFERROR(XLOOKUP(A2006,Tickets[TripKey],Tickets[Capacity]),0))</f>
        <v/>
      </c>
      <c r="K2006">
        <f>IF(A2006="","",I2006*J2006)</f>
        <v/>
      </c>
      <c r="L2006">
        <f>IF(A2006="","",IFERROR(MINIFS(Tickets[Trip Start Time],Tickets[TripKey],A2006),""))</f>
        <v/>
      </c>
    </row>
    <row r="2007">
      <c r="B2007" s="8">
        <f>IF(A2007="","",IFERROR(DATEVALUE(TEXTBEFORE(A2007,"|")),--LEFT(A2007,10)))</f>
        <v/>
      </c>
      <c r="C2007">
        <f>IF(A2007="","",TEXTBEFORE(TEXTAFTER(A2007,"|"),"|"))</f>
        <v/>
      </c>
      <c r="D2007">
        <f>IF(A2007="","",TEXTAFTER(A2007,"|",2))</f>
        <v/>
      </c>
      <c r="E2007">
        <f>IF(A2007="","",SUMIF(Tickets[TripKey],A2007,Tickets[TP]))</f>
        <v/>
      </c>
      <c r="F2007">
        <f>IF(A2007="","",SUMIF(Tickets[TripKey],A2007,Tickets[Revenue]))</f>
        <v/>
      </c>
      <c r="G2007">
        <f>IF(A2007="","",SUMIF(Tickets[TripKey],A2007,Tickets[PK]))</f>
        <v/>
      </c>
      <c r="H2007">
        <f>IF(A2007="","",IFERROR(XLOOKUP(A2007,Tickets[TripKey],Tickets[VehClean]),""))</f>
        <v/>
      </c>
      <c r="I2007">
        <f>IF(A2007="","",IFERROR(XLOOKUP(A2007,Tickets[TripKey],Tickets[RouteLen]),0))</f>
        <v/>
      </c>
      <c r="J2007">
        <f>IF(A2007="","",IFERROR(XLOOKUP(A2007,Tickets[TripKey],Tickets[Capacity]),0))</f>
        <v/>
      </c>
      <c r="K2007">
        <f>IF(A2007="","",I2007*J2007)</f>
        <v/>
      </c>
      <c r="L2007">
        <f>IF(A2007="","",IFERROR(MINIFS(Tickets[Trip Start Time],Tickets[TripKey],A2007),""))</f>
        <v/>
      </c>
    </row>
    <row r="2008">
      <c r="B2008" s="8">
        <f>IF(A2008="","",IFERROR(DATEVALUE(TEXTBEFORE(A2008,"|")),--LEFT(A2008,10)))</f>
        <v/>
      </c>
      <c r="C2008">
        <f>IF(A2008="","",TEXTBEFORE(TEXTAFTER(A2008,"|"),"|"))</f>
        <v/>
      </c>
      <c r="D2008">
        <f>IF(A2008="","",TEXTAFTER(A2008,"|",2))</f>
        <v/>
      </c>
      <c r="E2008">
        <f>IF(A2008="","",SUMIF(Tickets[TripKey],A2008,Tickets[TP]))</f>
        <v/>
      </c>
      <c r="F2008">
        <f>IF(A2008="","",SUMIF(Tickets[TripKey],A2008,Tickets[Revenue]))</f>
        <v/>
      </c>
      <c r="G2008">
        <f>IF(A2008="","",SUMIF(Tickets[TripKey],A2008,Tickets[PK]))</f>
        <v/>
      </c>
      <c r="H2008">
        <f>IF(A2008="","",IFERROR(XLOOKUP(A2008,Tickets[TripKey],Tickets[VehClean]),""))</f>
        <v/>
      </c>
      <c r="I2008">
        <f>IF(A2008="","",IFERROR(XLOOKUP(A2008,Tickets[TripKey],Tickets[RouteLen]),0))</f>
        <v/>
      </c>
      <c r="J2008">
        <f>IF(A2008="","",IFERROR(XLOOKUP(A2008,Tickets[TripKey],Tickets[Capacity]),0))</f>
        <v/>
      </c>
      <c r="K2008">
        <f>IF(A2008="","",I2008*J2008)</f>
        <v/>
      </c>
      <c r="L2008">
        <f>IF(A2008="","",IFERROR(MINIFS(Tickets[Trip Start Time],Tickets[TripKey],A2008),""))</f>
        <v/>
      </c>
    </row>
    <row r="2009">
      <c r="B2009" s="8">
        <f>IF(A2009="","",IFERROR(DATEVALUE(TEXTBEFORE(A2009,"|")),--LEFT(A2009,10)))</f>
        <v/>
      </c>
      <c r="C2009">
        <f>IF(A2009="","",TEXTBEFORE(TEXTAFTER(A2009,"|"),"|"))</f>
        <v/>
      </c>
      <c r="D2009">
        <f>IF(A2009="","",TEXTAFTER(A2009,"|",2))</f>
        <v/>
      </c>
      <c r="E2009">
        <f>IF(A2009="","",SUMIF(Tickets[TripKey],A2009,Tickets[TP]))</f>
        <v/>
      </c>
      <c r="F2009">
        <f>IF(A2009="","",SUMIF(Tickets[TripKey],A2009,Tickets[Revenue]))</f>
        <v/>
      </c>
      <c r="G2009">
        <f>IF(A2009="","",SUMIF(Tickets[TripKey],A2009,Tickets[PK]))</f>
        <v/>
      </c>
      <c r="H2009">
        <f>IF(A2009="","",IFERROR(XLOOKUP(A2009,Tickets[TripKey],Tickets[VehClean]),""))</f>
        <v/>
      </c>
      <c r="I2009">
        <f>IF(A2009="","",IFERROR(XLOOKUP(A2009,Tickets[TripKey],Tickets[RouteLen]),0))</f>
        <v/>
      </c>
      <c r="J2009">
        <f>IF(A2009="","",IFERROR(XLOOKUP(A2009,Tickets[TripKey],Tickets[Capacity]),0))</f>
        <v/>
      </c>
      <c r="K2009">
        <f>IF(A2009="","",I2009*J2009)</f>
        <v/>
      </c>
      <c r="L2009">
        <f>IF(A2009="","",IFERROR(MINIFS(Tickets[Trip Start Time],Tickets[TripKey],A2009),""))</f>
        <v/>
      </c>
    </row>
    <row r="2010">
      <c r="B2010" s="8">
        <f>IF(A2010="","",IFERROR(DATEVALUE(TEXTBEFORE(A2010,"|")),--LEFT(A2010,10)))</f>
        <v/>
      </c>
      <c r="C2010">
        <f>IF(A2010="","",TEXTBEFORE(TEXTAFTER(A2010,"|"),"|"))</f>
        <v/>
      </c>
      <c r="D2010">
        <f>IF(A2010="","",TEXTAFTER(A2010,"|",2))</f>
        <v/>
      </c>
      <c r="E2010">
        <f>IF(A2010="","",SUMIF(Tickets[TripKey],A2010,Tickets[TP]))</f>
        <v/>
      </c>
      <c r="F2010">
        <f>IF(A2010="","",SUMIF(Tickets[TripKey],A2010,Tickets[Revenue]))</f>
        <v/>
      </c>
      <c r="G2010">
        <f>IF(A2010="","",SUMIF(Tickets[TripKey],A2010,Tickets[PK]))</f>
        <v/>
      </c>
      <c r="H2010">
        <f>IF(A2010="","",IFERROR(XLOOKUP(A2010,Tickets[TripKey],Tickets[VehClean]),""))</f>
        <v/>
      </c>
      <c r="I2010">
        <f>IF(A2010="","",IFERROR(XLOOKUP(A2010,Tickets[TripKey],Tickets[RouteLen]),0))</f>
        <v/>
      </c>
      <c r="J2010">
        <f>IF(A2010="","",IFERROR(XLOOKUP(A2010,Tickets[TripKey],Tickets[Capacity]),0))</f>
        <v/>
      </c>
      <c r="K2010">
        <f>IF(A2010="","",I2010*J2010)</f>
        <v/>
      </c>
      <c r="L2010">
        <f>IF(A2010="","",IFERROR(MINIFS(Tickets[Trip Start Time],Tickets[TripKey],A2010),""))</f>
        <v/>
      </c>
    </row>
    <row r="2011">
      <c r="B2011" s="8">
        <f>IF(A2011="","",IFERROR(DATEVALUE(TEXTBEFORE(A2011,"|")),--LEFT(A2011,10)))</f>
        <v/>
      </c>
      <c r="C2011">
        <f>IF(A2011="","",TEXTBEFORE(TEXTAFTER(A2011,"|"),"|"))</f>
        <v/>
      </c>
      <c r="D2011">
        <f>IF(A2011="","",TEXTAFTER(A2011,"|",2))</f>
        <v/>
      </c>
      <c r="E2011">
        <f>IF(A2011="","",SUMIF(Tickets[TripKey],A2011,Tickets[TP]))</f>
        <v/>
      </c>
      <c r="F2011">
        <f>IF(A2011="","",SUMIF(Tickets[TripKey],A2011,Tickets[Revenue]))</f>
        <v/>
      </c>
      <c r="G2011">
        <f>IF(A2011="","",SUMIF(Tickets[TripKey],A2011,Tickets[PK]))</f>
        <v/>
      </c>
      <c r="H2011">
        <f>IF(A2011="","",IFERROR(XLOOKUP(A2011,Tickets[TripKey],Tickets[VehClean]),""))</f>
        <v/>
      </c>
      <c r="I2011">
        <f>IF(A2011="","",IFERROR(XLOOKUP(A2011,Tickets[TripKey],Tickets[RouteLen]),0))</f>
        <v/>
      </c>
      <c r="J2011">
        <f>IF(A2011="","",IFERROR(XLOOKUP(A2011,Tickets[TripKey],Tickets[Capacity]),0))</f>
        <v/>
      </c>
      <c r="K2011">
        <f>IF(A2011="","",I2011*J2011)</f>
        <v/>
      </c>
      <c r="L2011">
        <f>IF(A2011="","",IFERROR(MINIFS(Tickets[Trip Start Time],Tickets[TripKey],A2011),""))</f>
        <v/>
      </c>
    </row>
    <row r="2012">
      <c r="B2012" s="8">
        <f>IF(A2012="","",IFERROR(DATEVALUE(TEXTBEFORE(A2012,"|")),--LEFT(A2012,10)))</f>
        <v/>
      </c>
      <c r="C2012">
        <f>IF(A2012="","",TEXTBEFORE(TEXTAFTER(A2012,"|"),"|"))</f>
        <v/>
      </c>
      <c r="D2012">
        <f>IF(A2012="","",TEXTAFTER(A2012,"|",2))</f>
        <v/>
      </c>
      <c r="E2012">
        <f>IF(A2012="","",SUMIF(Tickets[TripKey],A2012,Tickets[TP]))</f>
        <v/>
      </c>
      <c r="F2012">
        <f>IF(A2012="","",SUMIF(Tickets[TripKey],A2012,Tickets[Revenue]))</f>
        <v/>
      </c>
      <c r="G2012">
        <f>IF(A2012="","",SUMIF(Tickets[TripKey],A2012,Tickets[PK]))</f>
        <v/>
      </c>
      <c r="H2012">
        <f>IF(A2012="","",IFERROR(XLOOKUP(A2012,Tickets[TripKey],Tickets[VehClean]),""))</f>
        <v/>
      </c>
      <c r="I2012">
        <f>IF(A2012="","",IFERROR(XLOOKUP(A2012,Tickets[TripKey],Tickets[RouteLen]),0))</f>
        <v/>
      </c>
      <c r="J2012">
        <f>IF(A2012="","",IFERROR(XLOOKUP(A2012,Tickets[TripKey],Tickets[Capacity]),0))</f>
        <v/>
      </c>
      <c r="K2012">
        <f>IF(A2012="","",I2012*J2012)</f>
        <v/>
      </c>
      <c r="L2012">
        <f>IF(A2012="","",IFERROR(MINIFS(Tickets[Trip Start Time],Tickets[TripKey],A2012),""))</f>
        <v/>
      </c>
    </row>
    <row r="2013">
      <c r="B2013" s="8">
        <f>IF(A2013="","",IFERROR(DATEVALUE(TEXTBEFORE(A2013,"|")),--LEFT(A2013,10)))</f>
        <v/>
      </c>
      <c r="C2013">
        <f>IF(A2013="","",TEXTBEFORE(TEXTAFTER(A2013,"|"),"|"))</f>
        <v/>
      </c>
      <c r="D2013">
        <f>IF(A2013="","",TEXTAFTER(A2013,"|",2))</f>
        <v/>
      </c>
      <c r="E2013">
        <f>IF(A2013="","",SUMIF(Tickets[TripKey],A2013,Tickets[TP]))</f>
        <v/>
      </c>
      <c r="F2013">
        <f>IF(A2013="","",SUMIF(Tickets[TripKey],A2013,Tickets[Revenue]))</f>
        <v/>
      </c>
      <c r="G2013">
        <f>IF(A2013="","",SUMIF(Tickets[TripKey],A2013,Tickets[PK]))</f>
        <v/>
      </c>
      <c r="H2013">
        <f>IF(A2013="","",IFERROR(XLOOKUP(A2013,Tickets[TripKey],Tickets[VehClean]),""))</f>
        <v/>
      </c>
      <c r="I2013">
        <f>IF(A2013="","",IFERROR(XLOOKUP(A2013,Tickets[TripKey],Tickets[RouteLen]),0))</f>
        <v/>
      </c>
      <c r="J2013">
        <f>IF(A2013="","",IFERROR(XLOOKUP(A2013,Tickets[TripKey],Tickets[Capacity]),0))</f>
        <v/>
      </c>
      <c r="K2013">
        <f>IF(A2013="","",I2013*J2013)</f>
        <v/>
      </c>
      <c r="L2013">
        <f>IF(A2013="","",IFERROR(MINIFS(Tickets[Trip Start Time],Tickets[TripKey],A2013),""))</f>
        <v/>
      </c>
    </row>
    <row r="2014">
      <c r="B2014" s="8">
        <f>IF(A2014="","",IFERROR(DATEVALUE(TEXTBEFORE(A2014,"|")),--LEFT(A2014,10)))</f>
        <v/>
      </c>
      <c r="C2014">
        <f>IF(A2014="","",TEXTBEFORE(TEXTAFTER(A2014,"|"),"|"))</f>
        <v/>
      </c>
      <c r="D2014">
        <f>IF(A2014="","",TEXTAFTER(A2014,"|",2))</f>
        <v/>
      </c>
      <c r="E2014">
        <f>IF(A2014="","",SUMIF(Tickets[TripKey],A2014,Tickets[TP]))</f>
        <v/>
      </c>
      <c r="F2014">
        <f>IF(A2014="","",SUMIF(Tickets[TripKey],A2014,Tickets[Revenue]))</f>
        <v/>
      </c>
      <c r="G2014">
        <f>IF(A2014="","",SUMIF(Tickets[TripKey],A2014,Tickets[PK]))</f>
        <v/>
      </c>
      <c r="H2014">
        <f>IF(A2014="","",IFERROR(XLOOKUP(A2014,Tickets[TripKey],Tickets[VehClean]),""))</f>
        <v/>
      </c>
      <c r="I2014">
        <f>IF(A2014="","",IFERROR(XLOOKUP(A2014,Tickets[TripKey],Tickets[RouteLen]),0))</f>
        <v/>
      </c>
      <c r="J2014">
        <f>IF(A2014="","",IFERROR(XLOOKUP(A2014,Tickets[TripKey],Tickets[Capacity]),0))</f>
        <v/>
      </c>
      <c r="K2014">
        <f>IF(A2014="","",I2014*J2014)</f>
        <v/>
      </c>
      <c r="L2014">
        <f>IF(A2014="","",IFERROR(MINIFS(Tickets[Trip Start Time],Tickets[TripKey],A2014),""))</f>
        <v/>
      </c>
    </row>
    <row r="2015">
      <c r="B2015" s="8">
        <f>IF(A2015="","",IFERROR(DATEVALUE(TEXTBEFORE(A2015,"|")),--LEFT(A2015,10)))</f>
        <v/>
      </c>
      <c r="C2015">
        <f>IF(A2015="","",TEXTBEFORE(TEXTAFTER(A2015,"|"),"|"))</f>
        <v/>
      </c>
      <c r="D2015">
        <f>IF(A2015="","",TEXTAFTER(A2015,"|",2))</f>
        <v/>
      </c>
      <c r="E2015">
        <f>IF(A2015="","",SUMIF(Tickets[TripKey],A2015,Tickets[TP]))</f>
        <v/>
      </c>
      <c r="F2015">
        <f>IF(A2015="","",SUMIF(Tickets[TripKey],A2015,Tickets[Revenue]))</f>
        <v/>
      </c>
      <c r="G2015">
        <f>IF(A2015="","",SUMIF(Tickets[TripKey],A2015,Tickets[PK]))</f>
        <v/>
      </c>
      <c r="H2015">
        <f>IF(A2015="","",IFERROR(XLOOKUP(A2015,Tickets[TripKey],Tickets[VehClean]),""))</f>
        <v/>
      </c>
      <c r="I2015">
        <f>IF(A2015="","",IFERROR(XLOOKUP(A2015,Tickets[TripKey],Tickets[RouteLen]),0))</f>
        <v/>
      </c>
      <c r="J2015">
        <f>IF(A2015="","",IFERROR(XLOOKUP(A2015,Tickets[TripKey],Tickets[Capacity]),0))</f>
        <v/>
      </c>
      <c r="K2015">
        <f>IF(A2015="","",I2015*J2015)</f>
        <v/>
      </c>
      <c r="L2015">
        <f>IF(A2015="","",IFERROR(MINIFS(Tickets[Trip Start Time],Tickets[TripKey],A2015),""))</f>
        <v/>
      </c>
    </row>
    <row r="2016">
      <c r="B2016" s="8">
        <f>IF(A2016="","",IFERROR(DATEVALUE(TEXTBEFORE(A2016,"|")),--LEFT(A2016,10)))</f>
        <v/>
      </c>
      <c r="C2016">
        <f>IF(A2016="","",TEXTBEFORE(TEXTAFTER(A2016,"|"),"|"))</f>
        <v/>
      </c>
      <c r="D2016">
        <f>IF(A2016="","",TEXTAFTER(A2016,"|",2))</f>
        <v/>
      </c>
      <c r="E2016">
        <f>IF(A2016="","",SUMIF(Tickets[TripKey],A2016,Tickets[TP]))</f>
        <v/>
      </c>
      <c r="F2016">
        <f>IF(A2016="","",SUMIF(Tickets[TripKey],A2016,Tickets[Revenue]))</f>
        <v/>
      </c>
      <c r="G2016">
        <f>IF(A2016="","",SUMIF(Tickets[TripKey],A2016,Tickets[PK]))</f>
        <v/>
      </c>
      <c r="H2016">
        <f>IF(A2016="","",IFERROR(XLOOKUP(A2016,Tickets[TripKey],Tickets[VehClean]),""))</f>
        <v/>
      </c>
      <c r="I2016">
        <f>IF(A2016="","",IFERROR(XLOOKUP(A2016,Tickets[TripKey],Tickets[RouteLen]),0))</f>
        <v/>
      </c>
      <c r="J2016">
        <f>IF(A2016="","",IFERROR(XLOOKUP(A2016,Tickets[TripKey],Tickets[Capacity]),0))</f>
        <v/>
      </c>
      <c r="K2016">
        <f>IF(A2016="","",I2016*J2016)</f>
        <v/>
      </c>
      <c r="L2016">
        <f>IF(A2016="","",IFERROR(MINIFS(Tickets[Trip Start Time],Tickets[TripKey],A2016),""))</f>
        <v/>
      </c>
    </row>
    <row r="2017">
      <c r="B2017" s="8">
        <f>IF(A2017="","",IFERROR(DATEVALUE(TEXTBEFORE(A2017,"|")),--LEFT(A2017,10)))</f>
        <v/>
      </c>
      <c r="C2017">
        <f>IF(A2017="","",TEXTBEFORE(TEXTAFTER(A2017,"|"),"|"))</f>
        <v/>
      </c>
      <c r="D2017">
        <f>IF(A2017="","",TEXTAFTER(A2017,"|",2))</f>
        <v/>
      </c>
      <c r="E2017">
        <f>IF(A2017="","",SUMIF(Tickets[TripKey],A2017,Tickets[TP]))</f>
        <v/>
      </c>
      <c r="F2017">
        <f>IF(A2017="","",SUMIF(Tickets[TripKey],A2017,Tickets[Revenue]))</f>
        <v/>
      </c>
      <c r="G2017">
        <f>IF(A2017="","",SUMIF(Tickets[TripKey],A2017,Tickets[PK]))</f>
        <v/>
      </c>
      <c r="H2017">
        <f>IF(A2017="","",IFERROR(XLOOKUP(A2017,Tickets[TripKey],Tickets[VehClean]),""))</f>
        <v/>
      </c>
      <c r="I2017">
        <f>IF(A2017="","",IFERROR(XLOOKUP(A2017,Tickets[TripKey],Tickets[RouteLen]),0))</f>
        <v/>
      </c>
      <c r="J2017">
        <f>IF(A2017="","",IFERROR(XLOOKUP(A2017,Tickets[TripKey],Tickets[Capacity]),0))</f>
        <v/>
      </c>
      <c r="K2017">
        <f>IF(A2017="","",I2017*J2017)</f>
        <v/>
      </c>
      <c r="L2017">
        <f>IF(A2017="","",IFERROR(MINIFS(Tickets[Trip Start Time],Tickets[TripKey],A2017),""))</f>
        <v/>
      </c>
    </row>
    <row r="2018">
      <c r="B2018" s="8">
        <f>IF(A2018="","",IFERROR(DATEVALUE(TEXTBEFORE(A2018,"|")),--LEFT(A2018,10)))</f>
        <v/>
      </c>
      <c r="C2018">
        <f>IF(A2018="","",TEXTBEFORE(TEXTAFTER(A2018,"|"),"|"))</f>
        <v/>
      </c>
      <c r="D2018">
        <f>IF(A2018="","",TEXTAFTER(A2018,"|",2))</f>
        <v/>
      </c>
      <c r="E2018">
        <f>IF(A2018="","",SUMIF(Tickets[TripKey],A2018,Tickets[TP]))</f>
        <v/>
      </c>
      <c r="F2018">
        <f>IF(A2018="","",SUMIF(Tickets[TripKey],A2018,Tickets[Revenue]))</f>
        <v/>
      </c>
      <c r="G2018">
        <f>IF(A2018="","",SUMIF(Tickets[TripKey],A2018,Tickets[PK]))</f>
        <v/>
      </c>
      <c r="H2018">
        <f>IF(A2018="","",IFERROR(XLOOKUP(A2018,Tickets[TripKey],Tickets[VehClean]),""))</f>
        <v/>
      </c>
      <c r="I2018">
        <f>IF(A2018="","",IFERROR(XLOOKUP(A2018,Tickets[TripKey],Tickets[RouteLen]),0))</f>
        <v/>
      </c>
      <c r="J2018">
        <f>IF(A2018="","",IFERROR(XLOOKUP(A2018,Tickets[TripKey],Tickets[Capacity]),0))</f>
        <v/>
      </c>
      <c r="K2018">
        <f>IF(A2018="","",I2018*J2018)</f>
        <v/>
      </c>
      <c r="L2018">
        <f>IF(A2018="","",IFERROR(MINIFS(Tickets[Trip Start Time],Tickets[TripKey],A2018),""))</f>
        <v/>
      </c>
    </row>
    <row r="2019">
      <c r="B2019" s="8">
        <f>IF(A2019="","",IFERROR(DATEVALUE(TEXTBEFORE(A2019,"|")),--LEFT(A2019,10)))</f>
        <v/>
      </c>
      <c r="C2019">
        <f>IF(A2019="","",TEXTBEFORE(TEXTAFTER(A2019,"|"),"|"))</f>
        <v/>
      </c>
      <c r="D2019">
        <f>IF(A2019="","",TEXTAFTER(A2019,"|",2))</f>
        <v/>
      </c>
      <c r="E2019">
        <f>IF(A2019="","",SUMIF(Tickets[TripKey],A2019,Tickets[TP]))</f>
        <v/>
      </c>
      <c r="F2019">
        <f>IF(A2019="","",SUMIF(Tickets[TripKey],A2019,Tickets[Revenue]))</f>
        <v/>
      </c>
      <c r="G2019">
        <f>IF(A2019="","",SUMIF(Tickets[TripKey],A2019,Tickets[PK]))</f>
        <v/>
      </c>
      <c r="H2019">
        <f>IF(A2019="","",IFERROR(XLOOKUP(A2019,Tickets[TripKey],Tickets[VehClean]),""))</f>
        <v/>
      </c>
      <c r="I2019">
        <f>IF(A2019="","",IFERROR(XLOOKUP(A2019,Tickets[TripKey],Tickets[RouteLen]),0))</f>
        <v/>
      </c>
      <c r="J2019">
        <f>IF(A2019="","",IFERROR(XLOOKUP(A2019,Tickets[TripKey],Tickets[Capacity]),0))</f>
        <v/>
      </c>
      <c r="K2019">
        <f>IF(A2019="","",I2019*J2019)</f>
        <v/>
      </c>
      <c r="L2019">
        <f>IF(A2019="","",IFERROR(MINIFS(Tickets[Trip Start Time],Tickets[TripKey],A2019),""))</f>
        <v/>
      </c>
    </row>
    <row r="2020">
      <c r="B2020" s="8">
        <f>IF(A2020="","",IFERROR(DATEVALUE(TEXTBEFORE(A2020,"|")),--LEFT(A2020,10)))</f>
        <v/>
      </c>
      <c r="C2020">
        <f>IF(A2020="","",TEXTBEFORE(TEXTAFTER(A2020,"|"),"|"))</f>
        <v/>
      </c>
      <c r="D2020">
        <f>IF(A2020="","",TEXTAFTER(A2020,"|",2))</f>
        <v/>
      </c>
      <c r="E2020">
        <f>IF(A2020="","",SUMIF(Tickets[TripKey],A2020,Tickets[TP]))</f>
        <v/>
      </c>
      <c r="F2020">
        <f>IF(A2020="","",SUMIF(Tickets[TripKey],A2020,Tickets[Revenue]))</f>
        <v/>
      </c>
      <c r="G2020">
        <f>IF(A2020="","",SUMIF(Tickets[TripKey],A2020,Tickets[PK]))</f>
        <v/>
      </c>
      <c r="H2020">
        <f>IF(A2020="","",IFERROR(XLOOKUP(A2020,Tickets[TripKey],Tickets[VehClean]),""))</f>
        <v/>
      </c>
      <c r="I2020">
        <f>IF(A2020="","",IFERROR(XLOOKUP(A2020,Tickets[TripKey],Tickets[RouteLen]),0))</f>
        <v/>
      </c>
      <c r="J2020">
        <f>IF(A2020="","",IFERROR(XLOOKUP(A2020,Tickets[TripKey],Tickets[Capacity]),0))</f>
        <v/>
      </c>
      <c r="K2020">
        <f>IF(A2020="","",I2020*J2020)</f>
        <v/>
      </c>
      <c r="L2020">
        <f>IF(A2020="","",IFERROR(MINIFS(Tickets[Trip Start Time],Tickets[TripKey],A2020),""))</f>
        <v/>
      </c>
    </row>
    <row r="2021">
      <c r="B2021" s="8">
        <f>IF(A2021="","",IFERROR(DATEVALUE(TEXTBEFORE(A2021,"|")),--LEFT(A2021,10)))</f>
        <v/>
      </c>
      <c r="C2021">
        <f>IF(A2021="","",TEXTBEFORE(TEXTAFTER(A2021,"|"),"|"))</f>
        <v/>
      </c>
      <c r="D2021">
        <f>IF(A2021="","",TEXTAFTER(A2021,"|",2))</f>
        <v/>
      </c>
      <c r="E2021">
        <f>IF(A2021="","",SUMIF(Tickets[TripKey],A2021,Tickets[TP]))</f>
        <v/>
      </c>
      <c r="F2021">
        <f>IF(A2021="","",SUMIF(Tickets[TripKey],A2021,Tickets[Revenue]))</f>
        <v/>
      </c>
      <c r="G2021">
        <f>IF(A2021="","",SUMIF(Tickets[TripKey],A2021,Tickets[PK]))</f>
        <v/>
      </c>
      <c r="H2021">
        <f>IF(A2021="","",IFERROR(XLOOKUP(A2021,Tickets[TripKey],Tickets[VehClean]),""))</f>
        <v/>
      </c>
      <c r="I2021">
        <f>IF(A2021="","",IFERROR(XLOOKUP(A2021,Tickets[TripKey],Tickets[RouteLen]),0))</f>
        <v/>
      </c>
      <c r="J2021">
        <f>IF(A2021="","",IFERROR(XLOOKUP(A2021,Tickets[TripKey],Tickets[Capacity]),0))</f>
        <v/>
      </c>
      <c r="K2021">
        <f>IF(A2021="","",I2021*J2021)</f>
        <v/>
      </c>
      <c r="L2021">
        <f>IF(A2021="","",IFERROR(MINIFS(Tickets[Trip Start Time],Tickets[TripKey],A2021),""))</f>
        <v/>
      </c>
    </row>
    <row r="2022">
      <c r="B2022" s="8">
        <f>IF(A2022="","",IFERROR(DATEVALUE(TEXTBEFORE(A2022,"|")),--LEFT(A2022,10)))</f>
        <v/>
      </c>
      <c r="C2022">
        <f>IF(A2022="","",TEXTBEFORE(TEXTAFTER(A2022,"|"),"|"))</f>
        <v/>
      </c>
      <c r="D2022">
        <f>IF(A2022="","",TEXTAFTER(A2022,"|",2))</f>
        <v/>
      </c>
      <c r="E2022">
        <f>IF(A2022="","",SUMIF(Tickets[TripKey],A2022,Tickets[TP]))</f>
        <v/>
      </c>
      <c r="F2022">
        <f>IF(A2022="","",SUMIF(Tickets[TripKey],A2022,Tickets[Revenue]))</f>
        <v/>
      </c>
      <c r="G2022">
        <f>IF(A2022="","",SUMIF(Tickets[TripKey],A2022,Tickets[PK]))</f>
        <v/>
      </c>
      <c r="H2022">
        <f>IF(A2022="","",IFERROR(XLOOKUP(A2022,Tickets[TripKey],Tickets[VehClean]),""))</f>
        <v/>
      </c>
      <c r="I2022">
        <f>IF(A2022="","",IFERROR(XLOOKUP(A2022,Tickets[TripKey],Tickets[RouteLen]),0))</f>
        <v/>
      </c>
      <c r="J2022">
        <f>IF(A2022="","",IFERROR(XLOOKUP(A2022,Tickets[TripKey],Tickets[Capacity]),0))</f>
        <v/>
      </c>
      <c r="K2022">
        <f>IF(A2022="","",I2022*J2022)</f>
        <v/>
      </c>
      <c r="L2022">
        <f>IF(A2022="","",IFERROR(MINIFS(Tickets[Trip Start Time],Tickets[TripKey],A2022),""))</f>
        <v/>
      </c>
    </row>
    <row r="2023">
      <c r="B2023" s="8">
        <f>IF(A2023="","",IFERROR(DATEVALUE(TEXTBEFORE(A2023,"|")),--LEFT(A2023,10)))</f>
        <v/>
      </c>
      <c r="C2023">
        <f>IF(A2023="","",TEXTBEFORE(TEXTAFTER(A2023,"|"),"|"))</f>
        <v/>
      </c>
      <c r="D2023">
        <f>IF(A2023="","",TEXTAFTER(A2023,"|",2))</f>
        <v/>
      </c>
      <c r="E2023">
        <f>IF(A2023="","",SUMIF(Tickets[TripKey],A2023,Tickets[TP]))</f>
        <v/>
      </c>
      <c r="F2023">
        <f>IF(A2023="","",SUMIF(Tickets[TripKey],A2023,Tickets[Revenue]))</f>
        <v/>
      </c>
      <c r="G2023">
        <f>IF(A2023="","",SUMIF(Tickets[TripKey],A2023,Tickets[PK]))</f>
        <v/>
      </c>
      <c r="H2023">
        <f>IF(A2023="","",IFERROR(XLOOKUP(A2023,Tickets[TripKey],Tickets[VehClean]),""))</f>
        <v/>
      </c>
      <c r="I2023">
        <f>IF(A2023="","",IFERROR(XLOOKUP(A2023,Tickets[TripKey],Tickets[RouteLen]),0))</f>
        <v/>
      </c>
      <c r="J2023">
        <f>IF(A2023="","",IFERROR(XLOOKUP(A2023,Tickets[TripKey],Tickets[Capacity]),0))</f>
        <v/>
      </c>
      <c r="K2023">
        <f>IF(A2023="","",I2023*J2023)</f>
        <v/>
      </c>
      <c r="L2023">
        <f>IF(A2023="","",IFERROR(MINIFS(Tickets[Trip Start Time],Tickets[TripKey],A2023),""))</f>
        <v/>
      </c>
    </row>
    <row r="2024">
      <c r="B2024" s="8">
        <f>IF(A2024="","",IFERROR(DATEVALUE(TEXTBEFORE(A2024,"|")),--LEFT(A2024,10)))</f>
        <v/>
      </c>
      <c r="C2024">
        <f>IF(A2024="","",TEXTBEFORE(TEXTAFTER(A2024,"|"),"|"))</f>
        <v/>
      </c>
      <c r="D2024">
        <f>IF(A2024="","",TEXTAFTER(A2024,"|",2))</f>
        <v/>
      </c>
      <c r="E2024">
        <f>IF(A2024="","",SUMIF(Tickets[TripKey],A2024,Tickets[TP]))</f>
        <v/>
      </c>
      <c r="F2024">
        <f>IF(A2024="","",SUMIF(Tickets[TripKey],A2024,Tickets[Revenue]))</f>
        <v/>
      </c>
      <c r="G2024">
        <f>IF(A2024="","",SUMIF(Tickets[TripKey],A2024,Tickets[PK]))</f>
        <v/>
      </c>
      <c r="H2024">
        <f>IF(A2024="","",IFERROR(XLOOKUP(A2024,Tickets[TripKey],Tickets[VehClean]),""))</f>
        <v/>
      </c>
      <c r="I2024">
        <f>IF(A2024="","",IFERROR(XLOOKUP(A2024,Tickets[TripKey],Tickets[RouteLen]),0))</f>
        <v/>
      </c>
      <c r="J2024">
        <f>IF(A2024="","",IFERROR(XLOOKUP(A2024,Tickets[TripKey],Tickets[Capacity]),0))</f>
        <v/>
      </c>
      <c r="K2024">
        <f>IF(A2024="","",I2024*J2024)</f>
        <v/>
      </c>
      <c r="L2024">
        <f>IF(A2024="","",IFERROR(MINIFS(Tickets[Trip Start Time],Tickets[TripKey],A2024),""))</f>
        <v/>
      </c>
    </row>
    <row r="2025">
      <c r="B2025" s="8">
        <f>IF(A2025="","",IFERROR(DATEVALUE(TEXTBEFORE(A2025,"|")),--LEFT(A2025,10)))</f>
        <v/>
      </c>
      <c r="C2025">
        <f>IF(A2025="","",TEXTBEFORE(TEXTAFTER(A2025,"|"),"|"))</f>
        <v/>
      </c>
      <c r="D2025">
        <f>IF(A2025="","",TEXTAFTER(A2025,"|",2))</f>
        <v/>
      </c>
      <c r="E2025">
        <f>IF(A2025="","",SUMIF(Tickets[TripKey],A2025,Tickets[TP]))</f>
        <v/>
      </c>
      <c r="F2025">
        <f>IF(A2025="","",SUMIF(Tickets[TripKey],A2025,Tickets[Revenue]))</f>
        <v/>
      </c>
      <c r="G2025">
        <f>IF(A2025="","",SUMIF(Tickets[TripKey],A2025,Tickets[PK]))</f>
        <v/>
      </c>
      <c r="H2025">
        <f>IF(A2025="","",IFERROR(XLOOKUP(A2025,Tickets[TripKey],Tickets[VehClean]),""))</f>
        <v/>
      </c>
      <c r="I2025">
        <f>IF(A2025="","",IFERROR(XLOOKUP(A2025,Tickets[TripKey],Tickets[RouteLen]),0))</f>
        <v/>
      </c>
      <c r="J2025">
        <f>IF(A2025="","",IFERROR(XLOOKUP(A2025,Tickets[TripKey],Tickets[Capacity]),0))</f>
        <v/>
      </c>
      <c r="K2025">
        <f>IF(A2025="","",I2025*J2025)</f>
        <v/>
      </c>
      <c r="L2025">
        <f>IF(A2025="","",IFERROR(MINIFS(Tickets[Trip Start Time],Tickets[TripKey],A2025),""))</f>
        <v/>
      </c>
    </row>
    <row r="2026">
      <c r="B2026" s="8">
        <f>IF(A2026="","",IFERROR(DATEVALUE(TEXTBEFORE(A2026,"|")),--LEFT(A2026,10)))</f>
        <v/>
      </c>
      <c r="C2026">
        <f>IF(A2026="","",TEXTBEFORE(TEXTAFTER(A2026,"|"),"|"))</f>
        <v/>
      </c>
      <c r="D2026">
        <f>IF(A2026="","",TEXTAFTER(A2026,"|",2))</f>
        <v/>
      </c>
      <c r="E2026">
        <f>IF(A2026="","",SUMIF(Tickets[TripKey],A2026,Tickets[TP]))</f>
        <v/>
      </c>
      <c r="F2026">
        <f>IF(A2026="","",SUMIF(Tickets[TripKey],A2026,Tickets[Revenue]))</f>
        <v/>
      </c>
      <c r="G2026">
        <f>IF(A2026="","",SUMIF(Tickets[TripKey],A2026,Tickets[PK]))</f>
        <v/>
      </c>
      <c r="H2026">
        <f>IF(A2026="","",IFERROR(XLOOKUP(A2026,Tickets[TripKey],Tickets[VehClean]),""))</f>
        <v/>
      </c>
      <c r="I2026">
        <f>IF(A2026="","",IFERROR(XLOOKUP(A2026,Tickets[TripKey],Tickets[RouteLen]),0))</f>
        <v/>
      </c>
      <c r="J2026">
        <f>IF(A2026="","",IFERROR(XLOOKUP(A2026,Tickets[TripKey],Tickets[Capacity]),0))</f>
        <v/>
      </c>
      <c r="K2026">
        <f>IF(A2026="","",I2026*J2026)</f>
        <v/>
      </c>
      <c r="L2026">
        <f>IF(A2026="","",IFERROR(MINIFS(Tickets[Trip Start Time],Tickets[TripKey],A2026),""))</f>
        <v/>
      </c>
    </row>
    <row r="2027">
      <c r="B2027" s="8">
        <f>IF(A2027="","",IFERROR(DATEVALUE(TEXTBEFORE(A2027,"|")),--LEFT(A2027,10)))</f>
        <v/>
      </c>
      <c r="C2027">
        <f>IF(A2027="","",TEXTBEFORE(TEXTAFTER(A2027,"|"),"|"))</f>
        <v/>
      </c>
      <c r="D2027">
        <f>IF(A2027="","",TEXTAFTER(A2027,"|",2))</f>
        <v/>
      </c>
      <c r="E2027">
        <f>IF(A2027="","",SUMIF(Tickets[TripKey],A2027,Tickets[TP]))</f>
        <v/>
      </c>
      <c r="F2027">
        <f>IF(A2027="","",SUMIF(Tickets[TripKey],A2027,Tickets[Revenue]))</f>
        <v/>
      </c>
      <c r="G2027">
        <f>IF(A2027="","",SUMIF(Tickets[TripKey],A2027,Tickets[PK]))</f>
        <v/>
      </c>
      <c r="H2027">
        <f>IF(A2027="","",IFERROR(XLOOKUP(A2027,Tickets[TripKey],Tickets[VehClean]),""))</f>
        <v/>
      </c>
      <c r="I2027">
        <f>IF(A2027="","",IFERROR(XLOOKUP(A2027,Tickets[TripKey],Tickets[RouteLen]),0))</f>
        <v/>
      </c>
      <c r="J2027">
        <f>IF(A2027="","",IFERROR(XLOOKUP(A2027,Tickets[TripKey],Tickets[Capacity]),0))</f>
        <v/>
      </c>
      <c r="K2027">
        <f>IF(A2027="","",I2027*J2027)</f>
        <v/>
      </c>
      <c r="L2027">
        <f>IF(A2027="","",IFERROR(MINIFS(Tickets[Trip Start Time],Tickets[TripKey],A2027),""))</f>
        <v/>
      </c>
    </row>
    <row r="2028">
      <c r="B2028" s="8">
        <f>IF(A2028="","",IFERROR(DATEVALUE(TEXTBEFORE(A2028,"|")),--LEFT(A2028,10)))</f>
        <v/>
      </c>
      <c r="C2028">
        <f>IF(A2028="","",TEXTBEFORE(TEXTAFTER(A2028,"|"),"|"))</f>
        <v/>
      </c>
      <c r="D2028">
        <f>IF(A2028="","",TEXTAFTER(A2028,"|",2))</f>
        <v/>
      </c>
      <c r="E2028">
        <f>IF(A2028="","",SUMIF(Tickets[TripKey],A2028,Tickets[TP]))</f>
        <v/>
      </c>
      <c r="F2028">
        <f>IF(A2028="","",SUMIF(Tickets[TripKey],A2028,Tickets[Revenue]))</f>
        <v/>
      </c>
      <c r="G2028">
        <f>IF(A2028="","",SUMIF(Tickets[TripKey],A2028,Tickets[PK]))</f>
        <v/>
      </c>
      <c r="H2028">
        <f>IF(A2028="","",IFERROR(XLOOKUP(A2028,Tickets[TripKey],Tickets[VehClean]),""))</f>
        <v/>
      </c>
      <c r="I2028">
        <f>IF(A2028="","",IFERROR(XLOOKUP(A2028,Tickets[TripKey],Tickets[RouteLen]),0))</f>
        <v/>
      </c>
      <c r="J2028">
        <f>IF(A2028="","",IFERROR(XLOOKUP(A2028,Tickets[TripKey],Tickets[Capacity]),0))</f>
        <v/>
      </c>
      <c r="K2028">
        <f>IF(A2028="","",I2028*J2028)</f>
        <v/>
      </c>
      <c r="L2028">
        <f>IF(A2028="","",IFERROR(MINIFS(Tickets[Trip Start Time],Tickets[TripKey],A2028),""))</f>
        <v/>
      </c>
    </row>
    <row r="2029">
      <c r="B2029" s="8">
        <f>IF(A2029="","",IFERROR(DATEVALUE(TEXTBEFORE(A2029,"|")),--LEFT(A2029,10)))</f>
        <v/>
      </c>
      <c r="C2029">
        <f>IF(A2029="","",TEXTBEFORE(TEXTAFTER(A2029,"|"),"|"))</f>
        <v/>
      </c>
      <c r="D2029">
        <f>IF(A2029="","",TEXTAFTER(A2029,"|",2))</f>
        <v/>
      </c>
      <c r="E2029">
        <f>IF(A2029="","",SUMIF(Tickets[TripKey],A2029,Tickets[TP]))</f>
        <v/>
      </c>
      <c r="F2029">
        <f>IF(A2029="","",SUMIF(Tickets[TripKey],A2029,Tickets[Revenue]))</f>
        <v/>
      </c>
      <c r="G2029">
        <f>IF(A2029="","",SUMIF(Tickets[TripKey],A2029,Tickets[PK]))</f>
        <v/>
      </c>
      <c r="H2029">
        <f>IF(A2029="","",IFERROR(XLOOKUP(A2029,Tickets[TripKey],Tickets[VehClean]),""))</f>
        <v/>
      </c>
      <c r="I2029">
        <f>IF(A2029="","",IFERROR(XLOOKUP(A2029,Tickets[TripKey],Tickets[RouteLen]),0))</f>
        <v/>
      </c>
      <c r="J2029">
        <f>IF(A2029="","",IFERROR(XLOOKUP(A2029,Tickets[TripKey],Tickets[Capacity]),0))</f>
        <v/>
      </c>
      <c r="K2029">
        <f>IF(A2029="","",I2029*J2029)</f>
        <v/>
      </c>
      <c r="L2029">
        <f>IF(A2029="","",IFERROR(MINIFS(Tickets[Trip Start Time],Tickets[TripKey],A2029),""))</f>
        <v/>
      </c>
    </row>
    <row r="2030">
      <c r="B2030" s="8">
        <f>IF(A2030="","",IFERROR(DATEVALUE(TEXTBEFORE(A2030,"|")),--LEFT(A2030,10)))</f>
        <v/>
      </c>
      <c r="C2030">
        <f>IF(A2030="","",TEXTBEFORE(TEXTAFTER(A2030,"|"),"|"))</f>
        <v/>
      </c>
      <c r="D2030">
        <f>IF(A2030="","",TEXTAFTER(A2030,"|",2))</f>
        <v/>
      </c>
      <c r="E2030">
        <f>IF(A2030="","",SUMIF(Tickets[TripKey],A2030,Tickets[TP]))</f>
        <v/>
      </c>
      <c r="F2030">
        <f>IF(A2030="","",SUMIF(Tickets[TripKey],A2030,Tickets[Revenue]))</f>
        <v/>
      </c>
      <c r="G2030">
        <f>IF(A2030="","",SUMIF(Tickets[TripKey],A2030,Tickets[PK]))</f>
        <v/>
      </c>
      <c r="H2030">
        <f>IF(A2030="","",IFERROR(XLOOKUP(A2030,Tickets[TripKey],Tickets[VehClean]),""))</f>
        <v/>
      </c>
      <c r="I2030">
        <f>IF(A2030="","",IFERROR(XLOOKUP(A2030,Tickets[TripKey],Tickets[RouteLen]),0))</f>
        <v/>
      </c>
      <c r="J2030">
        <f>IF(A2030="","",IFERROR(XLOOKUP(A2030,Tickets[TripKey],Tickets[Capacity]),0))</f>
        <v/>
      </c>
      <c r="K2030">
        <f>IF(A2030="","",I2030*J2030)</f>
        <v/>
      </c>
      <c r="L2030">
        <f>IF(A2030="","",IFERROR(MINIFS(Tickets[Trip Start Time],Tickets[TripKey],A2030),""))</f>
        <v/>
      </c>
    </row>
    <row r="2031">
      <c r="B2031" s="8">
        <f>IF(A2031="","",IFERROR(DATEVALUE(TEXTBEFORE(A2031,"|")),--LEFT(A2031,10)))</f>
        <v/>
      </c>
      <c r="C2031">
        <f>IF(A2031="","",TEXTBEFORE(TEXTAFTER(A2031,"|"),"|"))</f>
        <v/>
      </c>
      <c r="D2031">
        <f>IF(A2031="","",TEXTAFTER(A2031,"|",2))</f>
        <v/>
      </c>
      <c r="E2031">
        <f>IF(A2031="","",SUMIF(Tickets[TripKey],A2031,Tickets[TP]))</f>
        <v/>
      </c>
      <c r="F2031">
        <f>IF(A2031="","",SUMIF(Tickets[TripKey],A2031,Tickets[Revenue]))</f>
        <v/>
      </c>
      <c r="G2031">
        <f>IF(A2031="","",SUMIF(Tickets[TripKey],A2031,Tickets[PK]))</f>
        <v/>
      </c>
      <c r="H2031">
        <f>IF(A2031="","",IFERROR(XLOOKUP(A2031,Tickets[TripKey],Tickets[VehClean]),""))</f>
        <v/>
      </c>
      <c r="I2031">
        <f>IF(A2031="","",IFERROR(XLOOKUP(A2031,Tickets[TripKey],Tickets[RouteLen]),0))</f>
        <v/>
      </c>
      <c r="J2031">
        <f>IF(A2031="","",IFERROR(XLOOKUP(A2031,Tickets[TripKey],Tickets[Capacity]),0))</f>
        <v/>
      </c>
      <c r="K2031">
        <f>IF(A2031="","",I2031*J2031)</f>
        <v/>
      </c>
      <c r="L2031">
        <f>IF(A2031="","",IFERROR(MINIFS(Tickets[Trip Start Time],Tickets[TripKey],A2031),""))</f>
        <v/>
      </c>
    </row>
    <row r="2032">
      <c r="B2032" s="8">
        <f>IF(A2032="","",IFERROR(DATEVALUE(TEXTBEFORE(A2032,"|")),--LEFT(A2032,10)))</f>
        <v/>
      </c>
      <c r="C2032">
        <f>IF(A2032="","",TEXTBEFORE(TEXTAFTER(A2032,"|"),"|"))</f>
        <v/>
      </c>
      <c r="D2032">
        <f>IF(A2032="","",TEXTAFTER(A2032,"|",2))</f>
        <v/>
      </c>
      <c r="E2032">
        <f>IF(A2032="","",SUMIF(Tickets[TripKey],A2032,Tickets[TP]))</f>
        <v/>
      </c>
      <c r="F2032">
        <f>IF(A2032="","",SUMIF(Tickets[TripKey],A2032,Tickets[Revenue]))</f>
        <v/>
      </c>
      <c r="G2032">
        <f>IF(A2032="","",SUMIF(Tickets[TripKey],A2032,Tickets[PK]))</f>
        <v/>
      </c>
      <c r="H2032">
        <f>IF(A2032="","",IFERROR(XLOOKUP(A2032,Tickets[TripKey],Tickets[VehClean]),""))</f>
        <v/>
      </c>
      <c r="I2032">
        <f>IF(A2032="","",IFERROR(XLOOKUP(A2032,Tickets[TripKey],Tickets[RouteLen]),0))</f>
        <v/>
      </c>
      <c r="J2032">
        <f>IF(A2032="","",IFERROR(XLOOKUP(A2032,Tickets[TripKey],Tickets[Capacity]),0))</f>
        <v/>
      </c>
      <c r="K2032">
        <f>IF(A2032="","",I2032*J2032)</f>
        <v/>
      </c>
      <c r="L2032">
        <f>IF(A2032="","",IFERROR(MINIFS(Tickets[Trip Start Time],Tickets[TripKey],A2032),""))</f>
        <v/>
      </c>
    </row>
    <row r="2033">
      <c r="B2033" s="8">
        <f>IF(A2033="","",IFERROR(DATEVALUE(TEXTBEFORE(A2033,"|")),--LEFT(A2033,10)))</f>
        <v/>
      </c>
      <c r="C2033">
        <f>IF(A2033="","",TEXTBEFORE(TEXTAFTER(A2033,"|"),"|"))</f>
        <v/>
      </c>
      <c r="D2033">
        <f>IF(A2033="","",TEXTAFTER(A2033,"|",2))</f>
        <v/>
      </c>
      <c r="E2033">
        <f>IF(A2033="","",SUMIF(Tickets[TripKey],A2033,Tickets[TP]))</f>
        <v/>
      </c>
      <c r="F2033">
        <f>IF(A2033="","",SUMIF(Tickets[TripKey],A2033,Tickets[Revenue]))</f>
        <v/>
      </c>
      <c r="G2033">
        <f>IF(A2033="","",SUMIF(Tickets[TripKey],A2033,Tickets[PK]))</f>
        <v/>
      </c>
      <c r="H2033">
        <f>IF(A2033="","",IFERROR(XLOOKUP(A2033,Tickets[TripKey],Tickets[VehClean]),""))</f>
        <v/>
      </c>
      <c r="I2033">
        <f>IF(A2033="","",IFERROR(XLOOKUP(A2033,Tickets[TripKey],Tickets[RouteLen]),0))</f>
        <v/>
      </c>
      <c r="J2033">
        <f>IF(A2033="","",IFERROR(XLOOKUP(A2033,Tickets[TripKey],Tickets[Capacity]),0))</f>
        <v/>
      </c>
      <c r="K2033">
        <f>IF(A2033="","",I2033*J2033)</f>
        <v/>
      </c>
      <c r="L2033">
        <f>IF(A2033="","",IFERROR(MINIFS(Tickets[Trip Start Time],Tickets[TripKey],A2033),""))</f>
        <v/>
      </c>
    </row>
    <row r="2034">
      <c r="B2034" s="8">
        <f>IF(A2034="","",IFERROR(DATEVALUE(TEXTBEFORE(A2034,"|")),--LEFT(A2034,10)))</f>
        <v/>
      </c>
      <c r="C2034">
        <f>IF(A2034="","",TEXTBEFORE(TEXTAFTER(A2034,"|"),"|"))</f>
        <v/>
      </c>
      <c r="D2034">
        <f>IF(A2034="","",TEXTAFTER(A2034,"|",2))</f>
        <v/>
      </c>
      <c r="E2034">
        <f>IF(A2034="","",SUMIF(Tickets[TripKey],A2034,Tickets[TP]))</f>
        <v/>
      </c>
      <c r="F2034">
        <f>IF(A2034="","",SUMIF(Tickets[TripKey],A2034,Tickets[Revenue]))</f>
        <v/>
      </c>
      <c r="G2034">
        <f>IF(A2034="","",SUMIF(Tickets[TripKey],A2034,Tickets[PK]))</f>
        <v/>
      </c>
      <c r="H2034">
        <f>IF(A2034="","",IFERROR(XLOOKUP(A2034,Tickets[TripKey],Tickets[VehClean]),""))</f>
        <v/>
      </c>
      <c r="I2034">
        <f>IF(A2034="","",IFERROR(XLOOKUP(A2034,Tickets[TripKey],Tickets[RouteLen]),0))</f>
        <v/>
      </c>
      <c r="J2034">
        <f>IF(A2034="","",IFERROR(XLOOKUP(A2034,Tickets[TripKey],Tickets[Capacity]),0))</f>
        <v/>
      </c>
      <c r="K2034">
        <f>IF(A2034="","",I2034*J2034)</f>
        <v/>
      </c>
      <c r="L2034">
        <f>IF(A2034="","",IFERROR(MINIFS(Tickets[Trip Start Time],Tickets[TripKey],A2034),""))</f>
        <v/>
      </c>
    </row>
    <row r="2035">
      <c r="B2035" s="8">
        <f>IF(A2035="","",IFERROR(DATEVALUE(TEXTBEFORE(A2035,"|")),--LEFT(A2035,10)))</f>
        <v/>
      </c>
      <c r="C2035">
        <f>IF(A2035="","",TEXTBEFORE(TEXTAFTER(A2035,"|"),"|"))</f>
        <v/>
      </c>
      <c r="D2035">
        <f>IF(A2035="","",TEXTAFTER(A2035,"|",2))</f>
        <v/>
      </c>
      <c r="E2035">
        <f>IF(A2035="","",SUMIF(Tickets[TripKey],A2035,Tickets[TP]))</f>
        <v/>
      </c>
      <c r="F2035">
        <f>IF(A2035="","",SUMIF(Tickets[TripKey],A2035,Tickets[Revenue]))</f>
        <v/>
      </c>
      <c r="G2035">
        <f>IF(A2035="","",SUMIF(Tickets[TripKey],A2035,Tickets[PK]))</f>
        <v/>
      </c>
      <c r="H2035">
        <f>IF(A2035="","",IFERROR(XLOOKUP(A2035,Tickets[TripKey],Tickets[VehClean]),""))</f>
        <v/>
      </c>
      <c r="I2035">
        <f>IF(A2035="","",IFERROR(XLOOKUP(A2035,Tickets[TripKey],Tickets[RouteLen]),0))</f>
        <v/>
      </c>
      <c r="J2035">
        <f>IF(A2035="","",IFERROR(XLOOKUP(A2035,Tickets[TripKey],Tickets[Capacity]),0))</f>
        <v/>
      </c>
      <c r="K2035">
        <f>IF(A2035="","",I2035*J2035)</f>
        <v/>
      </c>
      <c r="L2035">
        <f>IF(A2035="","",IFERROR(MINIFS(Tickets[Trip Start Time],Tickets[TripKey],A2035),""))</f>
        <v/>
      </c>
    </row>
    <row r="2036">
      <c r="B2036" s="8">
        <f>IF(A2036="","",IFERROR(DATEVALUE(TEXTBEFORE(A2036,"|")),--LEFT(A2036,10)))</f>
        <v/>
      </c>
      <c r="C2036">
        <f>IF(A2036="","",TEXTBEFORE(TEXTAFTER(A2036,"|"),"|"))</f>
        <v/>
      </c>
      <c r="D2036">
        <f>IF(A2036="","",TEXTAFTER(A2036,"|",2))</f>
        <v/>
      </c>
      <c r="E2036">
        <f>IF(A2036="","",SUMIF(Tickets[TripKey],A2036,Tickets[TP]))</f>
        <v/>
      </c>
      <c r="F2036">
        <f>IF(A2036="","",SUMIF(Tickets[TripKey],A2036,Tickets[Revenue]))</f>
        <v/>
      </c>
      <c r="G2036">
        <f>IF(A2036="","",SUMIF(Tickets[TripKey],A2036,Tickets[PK]))</f>
        <v/>
      </c>
      <c r="H2036">
        <f>IF(A2036="","",IFERROR(XLOOKUP(A2036,Tickets[TripKey],Tickets[VehClean]),""))</f>
        <v/>
      </c>
      <c r="I2036">
        <f>IF(A2036="","",IFERROR(XLOOKUP(A2036,Tickets[TripKey],Tickets[RouteLen]),0))</f>
        <v/>
      </c>
      <c r="J2036">
        <f>IF(A2036="","",IFERROR(XLOOKUP(A2036,Tickets[TripKey],Tickets[Capacity]),0))</f>
        <v/>
      </c>
      <c r="K2036">
        <f>IF(A2036="","",I2036*J2036)</f>
        <v/>
      </c>
      <c r="L2036">
        <f>IF(A2036="","",IFERROR(MINIFS(Tickets[Trip Start Time],Tickets[TripKey],A2036),""))</f>
        <v/>
      </c>
    </row>
    <row r="2037">
      <c r="B2037" s="8">
        <f>IF(A2037="","",IFERROR(DATEVALUE(TEXTBEFORE(A2037,"|")),--LEFT(A2037,10)))</f>
        <v/>
      </c>
      <c r="C2037">
        <f>IF(A2037="","",TEXTBEFORE(TEXTAFTER(A2037,"|"),"|"))</f>
        <v/>
      </c>
      <c r="D2037">
        <f>IF(A2037="","",TEXTAFTER(A2037,"|",2))</f>
        <v/>
      </c>
      <c r="E2037">
        <f>IF(A2037="","",SUMIF(Tickets[TripKey],A2037,Tickets[TP]))</f>
        <v/>
      </c>
      <c r="F2037">
        <f>IF(A2037="","",SUMIF(Tickets[TripKey],A2037,Tickets[Revenue]))</f>
        <v/>
      </c>
      <c r="G2037">
        <f>IF(A2037="","",SUMIF(Tickets[TripKey],A2037,Tickets[PK]))</f>
        <v/>
      </c>
      <c r="H2037">
        <f>IF(A2037="","",IFERROR(XLOOKUP(A2037,Tickets[TripKey],Tickets[VehClean]),""))</f>
        <v/>
      </c>
      <c r="I2037">
        <f>IF(A2037="","",IFERROR(XLOOKUP(A2037,Tickets[TripKey],Tickets[RouteLen]),0))</f>
        <v/>
      </c>
      <c r="J2037">
        <f>IF(A2037="","",IFERROR(XLOOKUP(A2037,Tickets[TripKey],Tickets[Capacity]),0))</f>
        <v/>
      </c>
      <c r="K2037">
        <f>IF(A2037="","",I2037*J2037)</f>
        <v/>
      </c>
      <c r="L2037">
        <f>IF(A2037="","",IFERROR(MINIFS(Tickets[Trip Start Time],Tickets[TripKey],A2037),""))</f>
        <v/>
      </c>
    </row>
    <row r="2038">
      <c r="B2038" s="8">
        <f>IF(A2038="","",IFERROR(DATEVALUE(TEXTBEFORE(A2038,"|")),--LEFT(A2038,10)))</f>
        <v/>
      </c>
      <c r="C2038">
        <f>IF(A2038="","",TEXTBEFORE(TEXTAFTER(A2038,"|"),"|"))</f>
        <v/>
      </c>
      <c r="D2038">
        <f>IF(A2038="","",TEXTAFTER(A2038,"|",2))</f>
        <v/>
      </c>
      <c r="E2038">
        <f>IF(A2038="","",SUMIF(Tickets[TripKey],A2038,Tickets[TP]))</f>
        <v/>
      </c>
      <c r="F2038">
        <f>IF(A2038="","",SUMIF(Tickets[TripKey],A2038,Tickets[Revenue]))</f>
        <v/>
      </c>
      <c r="G2038">
        <f>IF(A2038="","",SUMIF(Tickets[TripKey],A2038,Tickets[PK]))</f>
        <v/>
      </c>
      <c r="H2038">
        <f>IF(A2038="","",IFERROR(XLOOKUP(A2038,Tickets[TripKey],Tickets[VehClean]),""))</f>
        <v/>
      </c>
      <c r="I2038">
        <f>IF(A2038="","",IFERROR(XLOOKUP(A2038,Tickets[TripKey],Tickets[RouteLen]),0))</f>
        <v/>
      </c>
      <c r="J2038">
        <f>IF(A2038="","",IFERROR(XLOOKUP(A2038,Tickets[TripKey],Tickets[Capacity]),0))</f>
        <v/>
      </c>
      <c r="K2038">
        <f>IF(A2038="","",I2038*J2038)</f>
        <v/>
      </c>
      <c r="L2038">
        <f>IF(A2038="","",IFERROR(MINIFS(Tickets[Trip Start Time],Tickets[TripKey],A2038),""))</f>
        <v/>
      </c>
    </row>
    <row r="2039">
      <c r="B2039" s="8">
        <f>IF(A2039="","",IFERROR(DATEVALUE(TEXTBEFORE(A2039,"|")),--LEFT(A2039,10)))</f>
        <v/>
      </c>
      <c r="C2039">
        <f>IF(A2039="","",TEXTBEFORE(TEXTAFTER(A2039,"|"),"|"))</f>
        <v/>
      </c>
      <c r="D2039">
        <f>IF(A2039="","",TEXTAFTER(A2039,"|",2))</f>
        <v/>
      </c>
      <c r="E2039">
        <f>IF(A2039="","",SUMIF(Tickets[TripKey],A2039,Tickets[TP]))</f>
        <v/>
      </c>
      <c r="F2039">
        <f>IF(A2039="","",SUMIF(Tickets[TripKey],A2039,Tickets[Revenue]))</f>
        <v/>
      </c>
      <c r="G2039">
        <f>IF(A2039="","",SUMIF(Tickets[TripKey],A2039,Tickets[PK]))</f>
        <v/>
      </c>
      <c r="H2039">
        <f>IF(A2039="","",IFERROR(XLOOKUP(A2039,Tickets[TripKey],Tickets[VehClean]),""))</f>
        <v/>
      </c>
      <c r="I2039">
        <f>IF(A2039="","",IFERROR(XLOOKUP(A2039,Tickets[TripKey],Tickets[RouteLen]),0))</f>
        <v/>
      </c>
      <c r="J2039">
        <f>IF(A2039="","",IFERROR(XLOOKUP(A2039,Tickets[TripKey],Tickets[Capacity]),0))</f>
        <v/>
      </c>
      <c r="K2039">
        <f>IF(A2039="","",I2039*J2039)</f>
        <v/>
      </c>
      <c r="L2039">
        <f>IF(A2039="","",IFERROR(MINIFS(Tickets[Trip Start Time],Tickets[TripKey],A2039),""))</f>
        <v/>
      </c>
    </row>
    <row r="2040">
      <c r="B2040" s="8">
        <f>IF(A2040="","",IFERROR(DATEVALUE(TEXTBEFORE(A2040,"|")),--LEFT(A2040,10)))</f>
        <v/>
      </c>
      <c r="C2040">
        <f>IF(A2040="","",TEXTBEFORE(TEXTAFTER(A2040,"|"),"|"))</f>
        <v/>
      </c>
      <c r="D2040">
        <f>IF(A2040="","",TEXTAFTER(A2040,"|",2))</f>
        <v/>
      </c>
      <c r="E2040">
        <f>IF(A2040="","",SUMIF(Tickets[TripKey],A2040,Tickets[TP]))</f>
        <v/>
      </c>
      <c r="F2040">
        <f>IF(A2040="","",SUMIF(Tickets[TripKey],A2040,Tickets[Revenue]))</f>
        <v/>
      </c>
      <c r="G2040">
        <f>IF(A2040="","",SUMIF(Tickets[TripKey],A2040,Tickets[PK]))</f>
        <v/>
      </c>
      <c r="H2040">
        <f>IF(A2040="","",IFERROR(XLOOKUP(A2040,Tickets[TripKey],Tickets[VehClean]),""))</f>
        <v/>
      </c>
      <c r="I2040">
        <f>IF(A2040="","",IFERROR(XLOOKUP(A2040,Tickets[TripKey],Tickets[RouteLen]),0))</f>
        <v/>
      </c>
      <c r="J2040">
        <f>IF(A2040="","",IFERROR(XLOOKUP(A2040,Tickets[TripKey],Tickets[Capacity]),0))</f>
        <v/>
      </c>
      <c r="K2040">
        <f>IF(A2040="","",I2040*J2040)</f>
        <v/>
      </c>
      <c r="L2040">
        <f>IF(A2040="","",IFERROR(MINIFS(Tickets[Trip Start Time],Tickets[TripKey],A2040),""))</f>
        <v/>
      </c>
    </row>
    <row r="2041">
      <c r="B2041" s="8">
        <f>IF(A2041="","",IFERROR(DATEVALUE(TEXTBEFORE(A2041,"|")),--LEFT(A2041,10)))</f>
        <v/>
      </c>
      <c r="C2041">
        <f>IF(A2041="","",TEXTBEFORE(TEXTAFTER(A2041,"|"),"|"))</f>
        <v/>
      </c>
      <c r="D2041">
        <f>IF(A2041="","",TEXTAFTER(A2041,"|",2))</f>
        <v/>
      </c>
      <c r="E2041">
        <f>IF(A2041="","",SUMIF(Tickets[TripKey],A2041,Tickets[TP]))</f>
        <v/>
      </c>
      <c r="F2041">
        <f>IF(A2041="","",SUMIF(Tickets[TripKey],A2041,Tickets[Revenue]))</f>
        <v/>
      </c>
      <c r="G2041">
        <f>IF(A2041="","",SUMIF(Tickets[TripKey],A2041,Tickets[PK]))</f>
        <v/>
      </c>
      <c r="H2041">
        <f>IF(A2041="","",IFERROR(XLOOKUP(A2041,Tickets[TripKey],Tickets[VehClean]),""))</f>
        <v/>
      </c>
      <c r="I2041">
        <f>IF(A2041="","",IFERROR(XLOOKUP(A2041,Tickets[TripKey],Tickets[RouteLen]),0))</f>
        <v/>
      </c>
      <c r="J2041">
        <f>IF(A2041="","",IFERROR(XLOOKUP(A2041,Tickets[TripKey],Tickets[Capacity]),0))</f>
        <v/>
      </c>
      <c r="K2041">
        <f>IF(A2041="","",I2041*J2041)</f>
        <v/>
      </c>
      <c r="L2041">
        <f>IF(A2041="","",IFERROR(MINIFS(Tickets[Trip Start Time],Tickets[TripKey],A2041),""))</f>
        <v/>
      </c>
    </row>
    <row r="2042">
      <c r="B2042" s="8">
        <f>IF(A2042="","",IFERROR(DATEVALUE(TEXTBEFORE(A2042,"|")),--LEFT(A2042,10)))</f>
        <v/>
      </c>
      <c r="C2042">
        <f>IF(A2042="","",TEXTBEFORE(TEXTAFTER(A2042,"|"),"|"))</f>
        <v/>
      </c>
      <c r="D2042">
        <f>IF(A2042="","",TEXTAFTER(A2042,"|",2))</f>
        <v/>
      </c>
      <c r="E2042">
        <f>IF(A2042="","",SUMIF(Tickets[TripKey],A2042,Tickets[TP]))</f>
        <v/>
      </c>
      <c r="F2042">
        <f>IF(A2042="","",SUMIF(Tickets[TripKey],A2042,Tickets[Revenue]))</f>
        <v/>
      </c>
      <c r="G2042">
        <f>IF(A2042="","",SUMIF(Tickets[TripKey],A2042,Tickets[PK]))</f>
        <v/>
      </c>
      <c r="H2042">
        <f>IF(A2042="","",IFERROR(XLOOKUP(A2042,Tickets[TripKey],Tickets[VehClean]),""))</f>
        <v/>
      </c>
      <c r="I2042">
        <f>IF(A2042="","",IFERROR(XLOOKUP(A2042,Tickets[TripKey],Tickets[RouteLen]),0))</f>
        <v/>
      </c>
      <c r="J2042">
        <f>IF(A2042="","",IFERROR(XLOOKUP(A2042,Tickets[TripKey],Tickets[Capacity]),0))</f>
        <v/>
      </c>
      <c r="K2042">
        <f>IF(A2042="","",I2042*J2042)</f>
        <v/>
      </c>
      <c r="L2042">
        <f>IF(A2042="","",IFERROR(MINIFS(Tickets[Trip Start Time],Tickets[TripKey],A2042),""))</f>
        <v/>
      </c>
    </row>
    <row r="2043">
      <c r="B2043" s="8">
        <f>IF(A2043="","",IFERROR(DATEVALUE(TEXTBEFORE(A2043,"|")),--LEFT(A2043,10)))</f>
        <v/>
      </c>
      <c r="C2043">
        <f>IF(A2043="","",TEXTBEFORE(TEXTAFTER(A2043,"|"),"|"))</f>
        <v/>
      </c>
      <c r="D2043">
        <f>IF(A2043="","",TEXTAFTER(A2043,"|",2))</f>
        <v/>
      </c>
      <c r="E2043">
        <f>IF(A2043="","",SUMIF(Tickets[TripKey],A2043,Tickets[TP]))</f>
        <v/>
      </c>
      <c r="F2043">
        <f>IF(A2043="","",SUMIF(Tickets[TripKey],A2043,Tickets[Revenue]))</f>
        <v/>
      </c>
      <c r="G2043">
        <f>IF(A2043="","",SUMIF(Tickets[TripKey],A2043,Tickets[PK]))</f>
        <v/>
      </c>
      <c r="H2043">
        <f>IF(A2043="","",IFERROR(XLOOKUP(A2043,Tickets[TripKey],Tickets[VehClean]),""))</f>
        <v/>
      </c>
      <c r="I2043">
        <f>IF(A2043="","",IFERROR(XLOOKUP(A2043,Tickets[TripKey],Tickets[RouteLen]),0))</f>
        <v/>
      </c>
      <c r="J2043">
        <f>IF(A2043="","",IFERROR(XLOOKUP(A2043,Tickets[TripKey],Tickets[Capacity]),0))</f>
        <v/>
      </c>
      <c r="K2043">
        <f>IF(A2043="","",I2043*J2043)</f>
        <v/>
      </c>
      <c r="L2043">
        <f>IF(A2043="","",IFERROR(MINIFS(Tickets[Trip Start Time],Tickets[TripKey],A2043),""))</f>
        <v/>
      </c>
    </row>
    <row r="2044">
      <c r="B2044" s="8">
        <f>IF(A2044="","",IFERROR(DATEVALUE(TEXTBEFORE(A2044,"|")),--LEFT(A2044,10)))</f>
        <v/>
      </c>
      <c r="C2044">
        <f>IF(A2044="","",TEXTBEFORE(TEXTAFTER(A2044,"|"),"|"))</f>
        <v/>
      </c>
      <c r="D2044">
        <f>IF(A2044="","",TEXTAFTER(A2044,"|",2))</f>
        <v/>
      </c>
      <c r="E2044">
        <f>IF(A2044="","",SUMIF(Tickets[TripKey],A2044,Tickets[TP]))</f>
        <v/>
      </c>
      <c r="F2044">
        <f>IF(A2044="","",SUMIF(Tickets[TripKey],A2044,Tickets[Revenue]))</f>
        <v/>
      </c>
      <c r="G2044">
        <f>IF(A2044="","",SUMIF(Tickets[TripKey],A2044,Tickets[PK]))</f>
        <v/>
      </c>
      <c r="H2044">
        <f>IF(A2044="","",IFERROR(XLOOKUP(A2044,Tickets[TripKey],Tickets[VehClean]),""))</f>
        <v/>
      </c>
      <c r="I2044">
        <f>IF(A2044="","",IFERROR(XLOOKUP(A2044,Tickets[TripKey],Tickets[RouteLen]),0))</f>
        <v/>
      </c>
      <c r="J2044">
        <f>IF(A2044="","",IFERROR(XLOOKUP(A2044,Tickets[TripKey],Tickets[Capacity]),0))</f>
        <v/>
      </c>
      <c r="K2044">
        <f>IF(A2044="","",I2044*J2044)</f>
        <v/>
      </c>
      <c r="L2044">
        <f>IF(A2044="","",IFERROR(MINIFS(Tickets[Trip Start Time],Tickets[TripKey],A2044),""))</f>
        <v/>
      </c>
    </row>
    <row r="2045">
      <c r="B2045" s="8">
        <f>IF(A2045="","",IFERROR(DATEVALUE(TEXTBEFORE(A2045,"|")),--LEFT(A2045,10)))</f>
        <v/>
      </c>
      <c r="C2045">
        <f>IF(A2045="","",TEXTBEFORE(TEXTAFTER(A2045,"|"),"|"))</f>
        <v/>
      </c>
      <c r="D2045">
        <f>IF(A2045="","",TEXTAFTER(A2045,"|",2))</f>
        <v/>
      </c>
      <c r="E2045">
        <f>IF(A2045="","",SUMIF(Tickets[TripKey],A2045,Tickets[TP]))</f>
        <v/>
      </c>
      <c r="F2045">
        <f>IF(A2045="","",SUMIF(Tickets[TripKey],A2045,Tickets[Revenue]))</f>
        <v/>
      </c>
      <c r="G2045">
        <f>IF(A2045="","",SUMIF(Tickets[TripKey],A2045,Tickets[PK]))</f>
        <v/>
      </c>
      <c r="H2045">
        <f>IF(A2045="","",IFERROR(XLOOKUP(A2045,Tickets[TripKey],Tickets[VehClean]),""))</f>
        <v/>
      </c>
      <c r="I2045">
        <f>IF(A2045="","",IFERROR(XLOOKUP(A2045,Tickets[TripKey],Tickets[RouteLen]),0))</f>
        <v/>
      </c>
      <c r="J2045">
        <f>IF(A2045="","",IFERROR(XLOOKUP(A2045,Tickets[TripKey],Tickets[Capacity]),0))</f>
        <v/>
      </c>
      <c r="K2045">
        <f>IF(A2045="","",I2045*J2045)</f>
        <v/>
      </c>
      <c r="L2045">
        <f>IF(A2045="","",IFERROR(MINIFS(Tickets[Trip Start Time],Tickets[TripKey],A2045),""))</f>
        <v/>
      </c>
    </row>
    <row r="2046">
      <c r="B2046" s="8">
        <f>IF(A2046="","",IFERROR(DATEVALUE(TEXTBEFORE(A2046,"|")),--LEFT(A2046,10)))</f>
        <v/>
      </c>
      <c r="C2046">
        <f>IF(A2046="","",TEXTBEFORE(TEXTAFTER(A2046,"|"),"|"))</f>
        <v/>
      </c>
      <c r="D2046">
        <f>IF(A2046="","",TEXTAFTER(A2046,"|",2))</f>
        <v/>
      </c>
      <c r="E2046">
        <f>IF(A2046="","",SUMIF(Tickets[TripKey],A2046,Tickets[TP]))</f>
        <v/>
      </c>
      <c r="F2046">
        <f>IF(A2046="","",SUMIF(Tickets[TripKey],A2046,Tickets[Revenue]))</f>
        <v/>
      </c>
      <c r="G2046">
        <f>IF(A2046="","",SUMIF(Tickets[TripKey],A2046,Tickets[PK]))</f>
        <v/>
      </c>
      <c r="H2046">
        <f>IF(A2046="","",IFERROR(XLOOKUP(A2046,Tickets[TripKey],Tickets[VehClean]),""))</f>
        <v/>
      </c>
      <c r="I2046">
        <f>IF(A2046="","",IFERROR(XLOOKUP(A2046,Tickets[TripKey],Tickets[RouteLen]),0))</f>
        <v/>
      </c>
      <c r="J2046">
        <f>IF(A2046="","",IFERROR(XLOOKUP(A2046,Tickets[TripKey],Tickets[Capacity]),0))</f>
        <v/>
      </c>
      <c r="K2046">
        <f>IF(A2046="","",I2046*J2046)</f>
        <v/>
      </c>
      <c r="L2046">
        <f>IF(A2046="","",IFERROR(MINIFS(Tickets[Trip Start Time],Tickets[TripKey],A2046),""))</f>
        <v/>
      </c>
    </row>
    <row r="2047">
      <c r="B2047" s="8">
        <f>IF(A2047="","",IFERROR(DATEVALUE(TEXTBEFORE(A2047,"|")),--LEFT(A2047,10)))</f>
        <v/>
      </c>
      <c r="C2047">
        <f>IF(A2047="","",TEXTBEFORE(TEXTAFTER(A2047,"|"),"|"))</f>
        <v/>
      </c>
      <c r="D2047">
        <f>IF(A2047="","",TEXTAFTER(A2047,"|",2))</f>
        <v/>
      </c>
      <c r="E2047">
        <f>IF(A2047="","",SUMIF(Tickets[TripKey],A2047,Tickets[TP]))</f>
        <v/>
      </c>
      <c r="F2047">
        <f>IF(A2047="","",SUMIF(Tickets[TripKey],A2047,Tickets[Revenue]))</f>
        <v/>
      </c>
      <c r="G2047">
        <f>IF(A2047="","",SUMIF(Tickets[TripKey],A2047,Tickets[PK]))</f>
        <v/>
      </c>
      <c r="H2047">
        <f>IF(A2047="","",IFERROR(XLOOKUP(A2047,Tickets[TripKey],Tickets[VehClean]),""))</f>
        <v/>
      </c>
      <c r="I2047">
        <f>IF(A2047="","",IFERROR(XLOOKUP(A2047,Tickets[TripKey],Tickets[RouteLen]),0))</f>
        <v/>
      </c>
      <c r="J2047">
        <f>IF(A2047="","",IFERROR(XLOOKUP(A2047,Tickets[TripKey],Tickets[Capacity]),0))</f>
        <v/>
      </c>
      <c r="K2047">
        <f>IF(A2047="","",I2047*J2047)</f>
        <v/>
      </c>
      <c r="L2047">
        <f>IF(A2047="","",IFERROR(MINIFS(Tickets[Trip Start Time],Tickets[TripKey],A2047),""))</f>
        <v/>
      </c>
    </row>
    <row r="2048">
      <c r="B2048" s="8">
        <f>IF(A2048="","",IFERROR(DATEVALUE(TEXTBEFORE(A2048,"|")),--LEFT(A2048,10)))</f>
        <v/>
      </c>
      <c r="C2048">
        <f>IF(A2048="","",TEXTBEFORE(TEXTAFTER(A2048,"|"),"|"))</f>
        <v/>
      </c>
      <c r="D2048">
        <f>IF(A2048="","",TEXTAFTER(A2048,"|",2))</f>
        <v/>
      </c>
      <c r="E2048">
        <f>IF(A2048="","",SUMIF(Tickets[TripKey],A2048,Tickets[TP]))</f>
        <v/>
      </c>
      <c r="F2048">
        <f>IF(A2048="","",SUMIF(Tickets[TripKey],A2048,Tickets[Revenue]))</f>
        <v/>
      </c>
      <c r="G2048">
        <f>IF(A2048="","",SUMIF(Tickets[TripKey],A2048,Tickets[PK]))</f>
        <v/>
      </c>
      <c r="H2048">
        <f>IF(A2048="","",IFERROR(XLOOKUP(A2048,Tickets[TripKey],Tickets[VehClean]),""))</f>
        <v/>
      </c>
      <c r="I2048">
        <f>IF(A2048="","",IFERROR(XLOOKUP(A2048,Tickets[TripKey],Tickets[RouteLen]),0))</f>
        <v/>
      </c>
      <c r="J2048">
        <f>IF(A2048="","",IFERROR(XLOOKUP(A2048,Tickets[TripKey],Tickets[Capacity]),0))</f>
        <v/>
      </c>
      <c r="K2048">
        <f>IF(A2048="","",I2048*J2048)</f>
        <v/>
      </c>
      <c r="L2048">
        <f>IF(A2048="","",IFERROR(MINIFS(Tickets[Trip Start Time],Tickets[TripKey],A2048),""))</f>
        <v/>
      </c>
    </row>
    <row r="2049">
      <c r="B2049" s="8">
        <f>IF(A2049="","",IFERROR(DATEVALUE(TEXTBEFORE(A2049,"|")),--LEFT(A2049,10)))</f>
        <v/>
      </c>
      <c r="C2049">
        <f>IF(A2049="","",TEXTBEFORE(TEXTAFTER(A2049,"|"),"|"))</f>
        <v/>
      </c>
      <c r="D2049">
        <f>IF(A2049="","",TEXTAFTER(A2049,"|",2))</f>
        <v/>
      </c>
      <c r="E2049">
        <f>IF(A2049="","",SUMIF(Tickets[TripKey],A2049,Tickets[TP]))</f>
        <v/>
      </c>
      <c r="F2049">
        <f>IF(A2049="","",SUMIF(Tickets[TripKey],A2049,Tickets[Revenue]))</f>
        <v/>
      </c>
      <c r="G2049">
        <f>IF(A2049="","",SUMIF(Tickets[TripKey],A2049,Tickets[PK]))</f>
        <v/>
      </c>
      <c r="H2049">
        <f>IF(A2049="","",IFERROR(XLOOKUP(A2049,Tickets[TripKey],Tickets[VehClean]),""))</f>
        <v/>
      </c>
      <c r="I2049">
        <f>IF(A2049="","",IFERROR(XLOOKUP(A2049,Tickets[TripKey],Tickets[RouteLen]),0))</f>
        <v/>
      </c>
      <c r="J2049">
        <f>IF(A2049="","",IFERROR(XLOOKUP(A2049,Tickets[TripKey],Tickets[Capacity]),0))</f>
        <v/>
      </c>
      <c r="K2049">
        <f>IF(A2049="","",I2049*J2049)</f>
        <v/>
      </c>
      <c r="L2049">
        <f>IF(A2049="","",IFERROR(MINIFS(Tickets[Trip Start Time],Tickets[TripKey],A2049),""))</f>
        <v/>
      </c>
    </row>
    <row r="2050">
      <c r="B2050" s="8">
        <f>IF(A2050="","",IFERROR(DATEVALUE(TEXTBEFORE(A2050,"|")),--LEFT(A2050,10)))</f>
        <v/>
      </c>
      <c r="C2050">
        <f>IF(A2050="","",TEXTBEFORE(TEXTAFTER(A2050,"|"),"|"))</f>
        <v/>
      </c>
      <c r="D2050">
        <f>IF(A2050="","",TEXTAFTER(A2050,"|",2))</f>
        <v/>
      </c>
      <c r="E2050">
        <f>IF(A2050="","",SUMIF(Tickets[TripKey],A2050,Tickets[TP]))</f>
        <v/>
      </c>
      <c r="F2050">
        <f>IF(A2050="","",SUMIF(Tickets[TripKey],A2050,Tickets[Revenue]))</f>
        <v/>
      </c>
      <c r="G2050">
        <f>IF(A2050="","",SUMIF(Tickets[TripKey],A2050,Tickets[PK]))</f>
        <v/>
      </c>
      <c r="H2050">
        <f>IF(A2050="","",IFERROR(XLOOKUP(A2050,Tickets[TripKey],Tickets[VehClean]),""))</f>
        <v/>
      </c>
      <c r="I2050">
        <f>IF(A2050="","",IFERROR(XLOOKUP(A2050,Tickets[TripKey],Tickets[RouteLen]),0))</f>
        <v/>
      </c>
      <c r="J2050">
        <f>IF(A2050="","",IFERROR(XLOOKUP(A2050,Tickets[TripKey],Tickets[Capacity]),0))</f>
        <v/>
      </c>
      <c r="K2050">
        <f>IF(A2050="","",I2050*J2050)</f>
        <v/>
      </c>
      <c r="L2050">
        <f>IF(A2050="","",IFERROR(MINIFS(Tickets[Trip Start Time],Tickets[TripKey],A2050),""))</f>
        <v/>
      </c>
    </row>
    <row r="2051">
      <c r="B2051" s="8">
        <f>IF(A2051="","",IFERROR(DATEVALUE(TEXTBEFORE(A2051,"|")),--LEFT(A2051,10)))</f>
        <v/>
      </c>
      <c r="C2051">
        <f>IF(A2051="","",TEXTBEFORE(TEXTAFTER(A2051,"|"),"|"))</f>
        <v/>
      </c>
      <c r="D2051">
        <f>IF(A2051="","",TEXTAFTER(A2051,"|",2))</f>
        <v/>
      </c>
      <c r="E2051">
        <f>IF(A2051="","",SUMIF(Tickets[TripKey],A2051,Tickets[TP]))</f>
        <v/>
      </c>
      <c r="F2051">
        <f>IF(A2051="","",SUMIF(Tickets[TripKey],A2051,Tickets[Revenue]))</f>
        <v/>
      </c>
      <c r="G2051">
        <f>IF(A2051="","",SUMIF(Tickets[TripKey],A2051,Tickets[PK]))</f>
        <v/>
      </c>
      <c r="H2051">
        <f>IF(A2051="","",IFERROR(XLOOKUP(A2051,Tickets[TripKey],Tickets[VehClean]),""))</f>
        <v/>
      </c>
      <c r="I2051">
        <f>IF(A2051="","",IFERROR(XLOOKUP(A2051,Tickets[TripKey],Tickets[RouteLen]),0))</f>
        <v/>
      </c>
      <c r="J2051">
        <f>IF(A2051="","",IFERROR(XLOOKUP(A2051,Tickets[TripKey],Tickets[Capacity]),0))</f>
        <v/>
      </c>
      <c r="K2051">
        <f>IF(A2051="","",I2051*J2051)</f>
        <v/>
      </c>
      <c r="L2051">
        <f>IF(A2051="","",IFERROR(MINIFS(Tickets[Trip Start Time],Tickets[TripKey],A2051),""))</f>
        <v/>
      </c>
    </row>
    <row r="2052">
      <c r="B2052" s="8">
        <f>IF(A2052="","",IFERROR(DATEVALUE(TEXTBEFORE(A2052,"|")),--LEFT(A2052,10)))</f>
        <v/>
      </c>
      <c r="C2052">
        <f>IF(A2052="","",TEXTBEFORE(TEXTAFTER(A2052,"|"),"|"))</f>
        <v/>
      </c>
      <c r="D2052">
        <f>IF(A2052="","",TEXTAFTER(A2052,"|",2))</f>
        <v/>
      </c>
      <c r="E2052">
        <f>IF(A2052="","",SUMIF(Tickets[TripKey],A2052,Tickets[TP]))</f>
        <v/>
      </c>
      <c r="F2052">
        <f>IF(A2052="","",SUMIF(Tickets[TripKey],A2052,Tickets[Revenue]))</f>
        <v/>
      </c>
      <c r="G2052">
        <f>IF(A2052="","",SUMIF(Tickets[TripKey],A2052,Tickets[PK]))</f>
        <v/>
      </c>
      <c r="H2052">
        <f>IF(A2052="","",IFERROR(XLOOKUP(A2052,Tickets[TripKey],Tickets[VehClean]),""))</f>
        <v/>
      </c>
      <c r="I2052">
        <f>IF(A2052="","",IFERROR(XLOOKUP(A2052,Tickets[TripKey],Tickets[RouteLen]),0))</f>
        <v/>
      </c>
      <c r="J2052">
        <f>IF(A2052="","",IFERROR(XLOOKUP(A2052,Tickets[TripKey],Tickets[Capacity]),0))</f>
        <v/>
      </c>
      <c r="K2052">
        <f>IF(A2052="","",I2052*J2052)</f>
        <v/>
      </c>
      <c r="L2052">
        <f>IF(A2052="","",IFERROR(MINIFS(Tickets[Trip Start Time],Tickets[TripKey],A2052),""))</f>
        <v/>
      </c>
    </row>
    <row r="2053">
      <c r="B2053" s="8">
        <f>IF(A2053="","",IFERROR(DATEVALUE(TEXTBEFORE(A2053,"|")),--LEFT(A2053,10)))</f>
        <v/>
      </c>
      <c r="C2053">
        <f>IF(A2053="","",TEXTBEFORE(TEXTAFTER(A2053,"|"),"|"))</f>
        <v/>
      </c>
      <c r="D2053">
        <f>IF(A2053="","",TEXTAFTER(A2053,"|",2))</f>
        <v/>
      </c>
      <c r="E2053">
        <f>IF(A2053="","",SUMIF(Tickets[TripKey],A2053,Tickets[TP]))</f>
        <v/>
      </c>
      <c r="F2053">
        <f>IF(A2053="","",SUMIF(Tickets[TripKey],A2053,Tickets[Revenue]))</f>
        <v/>
      </c>
      <c r="G2053">
        <f>IF(A2053="","",SUMIF(Tickets[TripKey],A2053,Tickets[PK]))</f>
        <v/>
      </c>
      <c r="H2053">
        <f>IF(A2053="","",IFERROR(XLOOKUP(A2053,Tickets[TripKey],Tickets[VehClean]),""))</f>
        <v/>
      </c>
      <c r="I2053">
        <f>IF(A2053="","",IFERROR(XLOOKUP(A2053,Tickets[TripKey],Tickets[RouteLen]),0))</f>
        <v/>
      </c>
      <c r="J2053">
        <f>IF(A2053="","",IFERROR(XLOOKUP(A2053,Tickets[TripKey],Tickets[Capacity]),0))</f>
        <v/>
      </c>
      <c r="K2053">
        <f>IF(A2053="","",I2053*J2053)</f>
        <v/>
      </c>
      <c r="L2053">
        <f>IF(A2053="","",IFERROR(MINIFS(Tickets[Trip Start Time],Tickets[TripKey],A2053),""))</f>
        <v/>
      </c>
    </row>
    <row r="2054">
      <c r="B2054" s="8">
        <f>IF(A2054="","",IFERROR(DATEVALUE(TEXTBEFORE(A2054,"|")),--LEFT(A2054,10)))</f>
        <v/>
      </c>
      <c r="C2054">
        <f>IF(A2054="","",TEXTBEFORE(TEXTAFTER(A2054,"|"),"|"))</f>
        <v/>
      </c>
      <c r="D2054">
        <f>IF(A2054="","",TEXTAFTER(A2054,"|",2))</f>
        <v/>
      </c>
      <c r="E2054">
        <f>IF(A2054="","",SUMIF(Tickets[TripKey],A2054,Tickets[TP]))</f>
        <v/>
      </c>
      <c r="F2054">
        <f>IF(A2054="","",SUMIF(Tickets[TripKey],A2054,Tickets[Revenue]))</f>
        <v/>
      </c>
      <c r="G2054">
        <f>IF(A2054="","",SUMIF(Tickets[TripKey],A2054,Tickets[PK]))</f>
        <v/>
      </c>
      <c r="H2054">
        <f>IF(A2054="","",IFERROR(XLOOKUP(A2054,Tickets[TripKey],Tickets[VehClean]),""))</f>
        <v/>
      </c>
      <c r="I2054">
        <f>IF(A2054="","",IFERROR(XLOOKUP(A2054,Tickets[TripKey],Tickets[RouteLen]),0))</f>
        <v/>
      </c>
      <c r="J2054">
        <f>IF(A2054="","",IFERROR(XLOOKUP(A2054,Tickets[TripKey],Tickets[Capacity]),0))</f>
        <v/>
      </c>
      <c r="K2054">
        <f>IF(A2054="","",I2054*J2054)</f>
        <v/>
      </c>
      <c r="L2054">
        <f>IF(A2054="","",IFERROR(MINIFS(Tickets[Trip Start Time],Tickets[TripKey],A2054),""))</f>
        <v/>
      </c>
    </row>
    <row r="2055">
      <c r="B2055" s="8">
        <f>IF(A2055="","",IFERROR(DATEVALUE(TEXTBEFORE(A2055,"|")),--LEFT(A2055,10)))</f>
        <v/>
      </c>
      <c r="C2055">
        <f>IF(A2055="","",TEXTBEFORE(TEXTAFTER(A2055,"|"),"|"))</f>
        <v/>
      </c>
      <c r="D2055">
        <f>IF(A2055="","",TEXTAFTER(A2055,"|",2))</f>
        <v/>
      </c>
      <c r="E2055">
        <f>IF(A2055="","",SUMIF(Tickets[TripKey],A2055,Tickets[TP]))</f>
        <v/>
      </c>
      <c r="F2055">
        <f>IF(A2055="","",SUMIF(Tickets[TripKey],A2055,Tickets[Revenue]))</f>
        <v/>
      </c>
      <c r="G2055">
        <f>IF(A2055="","",SUMIF(Tickets[TripKey],A2055,Tickets[PK]))</f>
        <v/>
      </c>
      <c r="H2055">
        <f>IF(A2055="","",IFERROR(XLOOKUP(A2055,Tickets[TripKey],Tickets[VehClean]),""))</f>
        <v/>
      </c>
      <c r="I2055">
        <f>IF(A2055="","",IFERROR(XLOOKUP(A2055,Tickets[TripKey],Tickets[RouteLen]),0))</f>
        <v/>
      </c>
      <c r="J2055">
        <f>IF(A2055="","",IFERROR(XLOOKUP(A2055,Tickets[TripKey],Tickets[Capacity]),0))</f>
        <v/>
      </c>
      <c r="K2055">
        <f>IF(A2055="","",I2055*J2055)</f>
        <v/>
      </c>
      <c r="L2055">
        <f>IF(A2055="","",IFERROR(MINIFS(Tickets[Trip Start Time],Tickets[TripKey],A2055),""))</f>
        <v/>
      </c>
    </row>
    <row r="2056">
      <c r="B2056" s="8">
        <f>IF(A2056="","",IFERROR(DATEVALUE(TEXTBEFORE(A2056,"|")),--LEFT(A2056,10)))</f>
        <v/>
      </c>
      <c r="C2056">
        <f>IF(A2056="","",TEXTBEFORE(TEXTAFTER(A2056,"|"),"|"))</f>
        <v/>
      </c>
      <c r="D2056">
        <f>IF(A2056="","",TEXTAFTER(A2056,"|",2))</f>
        <v/>
      </c>
      <c r="E2056">
        <f>IF(A2056="","",SUMIF(Tickets[TripKey],A2056,Tickets[TP]))</f>
        <v/>
      </c>
      <c r="F2056">
        <f>IF(A2056="","",SUMIF(Tickets[TripKey],A2056,Tickets[Revenue]))</f>
        <v/>
      </c>
      <c r="G2056">
        <f>IF(A2056="","",SUMIF(Tickets[TripKey],A2056,Tickets[PK]))</f>
        <v/>
      </c>
      <c r="H2056">
        <f>IF(A2056="","",IFERROR(XLOOKUP(A2056,Tickets[TripKey],Tickets[VehClean]),""))</f>
        <v/>
      </c>
      <c r="I2056">
        <f>IF(A2056="","",IFERROR(XLOOKUP(A2056,Tickets[TripKey],Tickets[RouteLen]),0))</f>
        <v/>
      </c>
      <c r="J2056">
        <f>IF(A2056="","",IFERROR(XLOOKUP(A2056,Tickets[TripKey],Tickets[Capacity]),0))</f>
        <v/>
      </c>
      <c r="K2056">
        <f>IF(A2056="","",I2056*J2056)</f>
        <v/>
      </c>
      <c r="L2056">
        <f>IF(A2056="","",IFERROR(MINIFS(Tickets[Trip Start Time],Tickets[TripKey],A2056),""))</f>
        <v/>
      </c>
    </row>
    <row r="2057">
      <c r="B2057" s="8">
        <f>IF(A2057="","",IFERROR(DATEVALUE(TEXTBEFORE(A2057,"|")),--LEFT(A2057,10)))</f>
        <v/>
      </c>
      <c r="C2057">
        <f>IF(A2057="","",TEXTBEFORE(TEXTAFTER(A2057,"|"),"|"))</f>
        <v/>
      </c>
      <c r="D2057">
        <f>IF(A2057="","",TEXTAFTER(A2057,"|",2))</f>
        <v/>
      </c>
      <c r="E2057">
        <f>IF(A2057="","",SUMIF(Tickets[TripKey],A2057,Tickets[TP]))</f>
        <v/>
      </c>
      <c r="F2057">
        <f>IF(A2057="","",SUMIF(Tickets[TripKey],A2057,Tickets[Revenue]))</f>
        <v/>
      </c>
      <c r="G2057">
        <f>IF(A2057="","",SUMIF(Tickets[TripKey],A2057,Tickets[PK]))</f>
        <v/>
      </c>
      <c r="H2057">
        <f>IF(A2057="","",IFERROR(XLOOKUP(A2057,Tickets[TripKey],Tickets[VehClean]),""))</f>
        <v/>
      </c>
      <c r="I2057">
        <f>IF(A2057="","",IFERROR(XLOOKUP(A2057,Tickets[TripKey],Tickets[RouteLen]),0))</f>
        <v/>
      </c>
      <c r="J2057">
        <f>IF(A2057="","",IFERROR(XLOOKUP(A2057,Tickets[TripKey],Tickets[Capacity]),0))</f>
        <v/>
      </c>
      <c r="K2057">
        <f>IF(A2057="","",I2057*J2057)</f>
        <v/>
      </c>
      <c r="L2057">
        <f>IF(A2057="","",IFERROR(MINIFS(Tickets[Trip Start Time],Tickets[TripKey],A2057),""))</f>
        <v/>
      </c>
    </row>
    <row r="2058">
      <c r="B2058" s="8">
        <f>IF(A2058="","",IFERROR(DATEVALUE(TEXTBEFORE(A2058,"|")),--LEFT(A2058,10)))</f>
        <v/>
      </c>
      <c r="C2058">
        <f>IF(A2058="","",TEXTBEFORE(TEXTAFTER(A2058,"|"),"|"))</f>
        <v/>
      </c>
      <c r="D2058">
        <f>IF(A2058="","",TEXTAFTER(A2058,"|",2))</f>
        <v/>
      </c>
      <c r="E2058">
        <f>IF(A2058="","",SUMIF(Tickets[TripKey],A2058,Tickets[TP]))</f>
        <v/>
      </c>
      <c r="F2058">
        <f>IF(A2058="","",SUMIF(Tickets[TripKey],A2058,Tickets[Revenue]))</f>
        <v/>
      </c>
      <c r="G2058">
        <f>IF(A2058="","",SUMIF(Tickets[TripKey],A2058,Tickets[PK]))</f>
        <v/>
      </c>
      <c r="H2058">
        <f>IF(A2058="","",IFERROR(XLOOKUP(A2058,Tickets[TripKey],Tickets[VehClean]),""))</f>
        <v/>
      </c>
      <c r="I2058">
        <f>IF(A2058="","",IFERROR(XLOOKUP(A2058,Tickets[TripKey],Tickets[RouteLen]),0))</f>
        <v/>
      </c>
      <c r="J2058">
        <f>IF(A2058="","",IFERROR(XLOOKUP(A2058,Tickets[TripKey],Tickets[Capacity]),0))</f>
        <v/>
      </c>
      <c r="K2058">
        <f>IF(A2058="","",I2058*J2058)</f>
        <v/>
      </c>
      <c r="L2058">
        <f>IF(A2058="","",IFERROR(MINIFS(Tickets[Trip Start Time],Tickets[TripKey],A2058),""))</f>
        <v/>
      </c>
    </row>
    <row r="2059">
      <c r="B2059" s="8">
        <f>IF(A2059="","",IFERROR(DATEVALUE(TEXTBEFORE(A2059,"|")),--LEFT(A2059,10)))</f>
        <v/>
      </c>
      <c r="C2059">
        <f>IF(A2059="","",TEXTBEFORE(TEXTAFTER(A2059,"|"),"|"))</f>
        <v/>
      </c>
      <c r="D2059">
        <f>IF(A2059="","",TEXTAFTER(A2059,"|",2))</f>
        <v/>
      </c>
      <c r="E2059">
        <f>IF(A2059="","",SUMIF(Tickets[TripKey],A2059,Tickets[TP]))</f>
        <v/>
      </c>
      <c r="F2059">
        <f>IF(A2059="","",SUMIF(Tickets[TripKey],A2059,Tickets[Revenue]))</f>
        <v/>
      </c>
      <c r="G2059">
        <f>IF(A2059="","",SUMIF(Tickets[TripKey],A2059,Tickets[PK]))</f>
        <v/>
      </c>
      <c r="H2059">
        <f>IF(A2059="","",IFERROR(XLOOKUP(A2059,Tickets[TripKey],Tickets[VehClean]),""))</f>
        <v/>
      </c>
      <c r="I2059">
        <f>IF(A2059="","",IFERROR(XLOOKUP(A2059,Tickets[TripKey],Tickets[RouteLen]),0))</f>
        <v/>
      </c>
      <c r="J2059">
        <f>IF(A2059="","",IFERROR(XLOOKUP(A2059,Tickets[TripKey],Tickets[Capacity]),0))</f>
        <v/>
      </c>
      <c r="K2059">
        <f>IF(A2059="","",I2059*J2059)</f>
        <v/>
      </c>
      <c r="L2059">
        <f>IF(A2059="","",IFERROR(MINIFS(Tickets[Trip Start Time],Tickets[TripKey],A2059),""))</f>
        <v/>
      </c>
    </row>
    <row r="2060">
      <c r="B2060" s="8">
        <f>IF(A2060="","",IFERROR(DATEVALUE(TEXTBEFORE(A2060,"|")),--LEFT(A2060,10)))</f>
        <v/>
      </c>
      <c r="C2060">
        <f>IF(A2060="","",TEXTBEFORE(TEXTAFTER(A2060,"|"),"|"))</f>
        <v/>
      </c>
      <c r="D2060">
        <f>IF(A2060="","",TEXTAFTER(A2060,"|",2))</f>
        <v/>
      </c>
      <c r="E2060">
        <f>IF(A2060="","",SUMIF(Tickets[TripKey],A2060,Tickets[TP]))</f>
        <v/>
      </c>
      <c r="F2060">
        <f>IF(A2060="","",SUMIF(Tickets[TripKey],A2060,Tickets[Revenue]))</f>
        <v/>
      </c>
      <c r="G2060">
        <f>IF(A2060="","",SUMIF(Tickets[TripKey],A2060,Tickets[PK]))</f>
        <v/>
      </c>
      <c r="H2060">
        <f>IF(A2060="","",IFERROR(XLOOKUP(A2060,Tickets[TripKey],Tickets[VehClean]),""))</f>
        <v/>
      </c>
      <c r="I2060">
        <f>IF(A2060="","",IFERROR(XLOOKUP(A2060,Tickets[TripKey],Tickets[RouteLen]),0))</f>
        <v/>
      </c>
      <c r="J2060">
        <f>IF(A2060="","",IFERROR(XLOOKUP(A2060,Tickets[TripKey],Tickets[Capacity]),0))</f>
        <v/>
      </c>
      <c r="K2060">
        <f>IF(A2060="","",I2060*J2060)</f>
        <v/>
      </c>
      <c r="L2060">
        <f>IF(A2060="","",IFERROR(MINIFS(Tickets[Trip Start Time],Tickets[TripKey],A2060),""))</f>
        <v/>
      </c>
    </row>
    <row r="2061">
      <c r="B2061" s="8">
        <f>IF(A2061="","",IFERROR(DATEVALUE(TEXTBEFORE(A2061,"|")),--LEFT(A2061,10)))</f>
        <v/>
      </c>
      <c r="C2061">
        <f>IF(A2061="","",TEXTBEFORE(TEXTAFTER(A2061,"|"),"|"))</f>
        <v/>
      </c>
      <c r="D2061">
        <f>IF(A2061="","",TEXTAFTER(A2061,"|",2))</f>
        <v/>
      </c>
      <c r="E2061">
        <f>IF(A2061="","",SUMIF(Tickets[TripKey],A2061,Tickets[TP]))</f>
        <v/>
      </c>
      <c r="F2061">
        <f>IF(A2061="","",SUMIF(Tickets[TripKey],A2061,Tickets[Revenue]))</f>
        <v/>
      </c>
      <c r="G2061">
        <f>IF(A2061="","",SUMIF(Tickets[TripKey],A2061,Tickets[PK]))</f>
        <v/>
      </c>
      <c r="H2061">
        <f>IF(A2061="","",IFERROR(XLOOKUP(A2061,Tickets[TripKey],Tickets[VehClean]),""))</f>
        <v/>
      </c>
      <c r="I2061">
        <f>IF(A2061="","",IFERROR(XLOOKUP(A2061,Tickets[TripKey],Tickets[RouteLen]),0))</f>
        <v/>
      </c>
      <c r="J2061">
        <f>IF(A2061="","",IFERROR(XLOOKUP(A2061,Tickets[TripKey],Tickets[Capacity]),0))</f>
        <v/>
      </c>
      <c r="K2061">
        <f>IF(A2061="","",I2061*J2061)</f>
        <v/>
      </c>
      <c r="L2061">
        <f>IF(A2061="","",IFERROR(MINIFS(Tickets[Trip Start Time],Tickets[TripKey],A2061),""))</f>
        <v/>
      </c>
    </row>
    <row r="2062">
      <c r="B2062" s="8">
        <f>IF(A2062="","",IFERROR(DATEVALUE(TEXTBEFORE(A2062,"|")),--LEFT(A2062,10)))</f>
        <v/>
      </c>
      <c r="C2062">
        <f>IF(A2062="","",TEXTBEFORE(TEXTAFTER(A2062,"|"),"|"))</f>
        <v/>
      </c>
      <c r="D2062">
        <f>IF(A2062="","",TEXTAFTER(A2062,"|",2))</f>
        <v/>
      </c>
      <c r="E2062">
        <f>IF(A2062="","",SUMIF(Tickets[TripKey],A2062,Tickets[TP]))</f>
        <v/>
      </c>
      <c r="F2062">
        <f>IF(A2062="","",SUMIF(Tickets[TripKey],A2062,Tickets[Revenue]))</f>
        <v/>
      </c>
      <c r="G2062">
        <f>IF(A2062="","",SUMIF(Tickets[TripKey],A2062,Tickets[PK]))</f>
        <v/>
      </c>
      <c r="H2062">
        <f>IF(A2062="","",IFERROR(XLOOKUP(A2062,Tickets[TripKey],Tickets[VehClean]),""))</f>
        <v/>
      </c>
      <c r="I2062">
        <f>IF(A2062="","",IFERROR(XLOOKUP(A2062,Tickets[TripKey],Tickets[RouteLen]),0))</f>
        <v/>
      </c>
      <c r="J2062">
        <f>IF(A2062="","",IFERROR(XLOOKUP(A2062,Tickets[TripKey],Tickets[Capacity]),0))</f>
        <v/>
      </c>
      <c r="K2062">
        <f>IF(A2062="","",I2062*J2062)</f>
        <v/>
      </c>
      <c r="L2062">
        <f>IF(A2062="","",IFERROR(MINIFS(Tickets[Trip Start Time],Tickets[TripKey],A2062),""))</f>
        <v/>
      </c>
    </row>
    <row r="2063">
      <c r="B2063" s="8">
        <f>IF(A2063="","",IFERROR(DATEVALUE(TEXTBEFORE(A2063,"|")),--LEFT(A2063,10)))</f>
        <v/>
      </c>
      <c r="C2063">
        <f>IF(A2063="","",TEXTBEFORE(TEXTAFTER(A2063,"|"),"|"))</f>
        <v/>
      </c>
      <c r="D2063">
        <f>IF(A2063="","",TEXTAFTER(A2063,"|",2))</f>
        <v/>
      </c>
      <c r="E2063">
        <f>IF(A2063="","",SUMIF(Tickets[TripKey],A2063,Tickets[TP]))</f>
        <v/>
      </c>
      <c r="F2063">
        <f>IF(A2063="","",SUMIF(Tickets[TripKey],A2063,Tickets[Revenue]))</f>
        <v/>
      </c>
      <c r="G2063">
        <f>IF(A2063="","",SUMIF(Tickets[TripKey],A2063,Tickets[PK]))</f>
        <v/>
      </c>
      <c r="H2063">
        <f>IF(A2063="","",IFERROR(XLOOKUP(A2063,Tickets[TripKey],Tickets[VehClean]),""))</f>
        <v/>
      </c>
      <c r="I2063">
        <f>IF(A2063="","",IFERROR(XLOOKUP(A2063,Tickets[TripKey],Tickets[RouteLen]),0))</f>
        <v/>
      </c>
      <c r="J2063">
        <f>IF(A2063="","",IFERROR(XLOOKUP(A2063,Tickets[TripKey],Tickets[Capacity]),0))</f>
        <v/>
      </c>
      <c r="K2063">
        <f>IF(A2063="","",I2063*J2063)</f>
        <v/>
      </c>
      <c r="L2063">
        <f>IF(A2063="","",IFERROR(MINIFS(Tickets[Trip Start Time],Tickets[TripKey],A2063),""))</f>
        <v/>
      </c>
    </row>
    <row r="2064">
      <c r="B2064" s="8">
        <f>IF(A2064="","",IFERROR(DATEVALUE(TEXTBEFORE(A2064,"|")),--LEFT(A2064,10)))</f>
        <v/>
      </c>
      <c r="C2064">
        <f>IF(A2064="","",TEXTBEFORE(TEXTAFTER(A2064,"|"),"|"))</f>
        <v/>
      </c>
      <c r="D2064">
        <f>IF(A2064="","",TEXTAFTER(A2064,"|",2))</f>
        <v/>
      </c>
      <c r="E2064">
        <f>IF(A2064="","",SUMIF(Tickets[TripKey],A2064,Tickets[TP]))</f>
        <v/>
      </c>
      <c r="F2064">
        <f>IF(A2064="","",SUMIF(Tickets[TripKey],A2064,Tickets[Revenue]))</f>
        <v/>
      </c>
      <c r="G2064">
        <f>IF(A2064="","",SUMIF(Tickets[TripKey],A2064,Tickets[PK]))</f>
        <v/>
      </c>
      <c r="H2064">
        <f>IF(A2064="","",IFERROR(XLOOKUP(A2064,Tickets[TripKey],Tickets[VehClean]),""))</f>
        <v/>
      </c>
      <c r="I2064">
        <f>IF(A2064="","",IFERROR(XLOOKUP(A2064,Tickets[TripKey],Tickets[RouteLen]),0))</f>
        <v/>
      </c>
      <c r="J2064">
        <f>IF(A2064="","",IFERROR(XLOOKUP(A2064,Tickets[TripKey],Tickets[Capacity]),0))</f>
        <v/>
      </c>
      <c r="K2064">
        <f>IF(A2064="","",I2064*J2064)</f>
        <v/>
      </c>
      <c r="L2064">
        <f>IF(A2064="","",IFERROR(MINIFS(Tickets[Trip Start Time],Tickets[TripKey],A2064),""))</f>
        <v/>
      </c>
    </row>
    <row r="2065">
      <c r="B2065" s="8">
        <f>IF(A2065="","",IFERROR(DATEVALUE(TEXTBEFORE(A2065,"|")),--LEFT(A2065,10)))</f>
        <v/>
      </c>
      <c r="C2065">
        <f>IF(A2065="","",TEXTBEFORE(TEXTAFTER(A2065,"|"),"|"))</f>
        <v/>
      </c>
      <c r="D2065">
        <f>IF(A2065="","",TEXTAFTER(A2065,"|",2))</f>
        <v/>
      </c>
      <c r="E2065">
        <f>IF(A2065="","",SUMIF(Tickets[TripKey],A2065,Tickets[TP]))</f>
        <v/>
      </c>
      <c r="F2065">
        <f>IF(A2065="","",SUMIF(Tickets[TripKey],A2065,Tickets[Revenue]))</f>
        <v/>
      </c>
      <c r="G2065">
        <f>IF(A2065="","",SUMIF(Tickets[TripKey],A2065,Tickets[PK]))</f>
        <v/>
      </c>
      <c r="H2065">
        <f>IF(A2065="","",IFERROR(XLOOKUP(A2065,Tickets[TripKey],Tickets[VehClean]),""))</f>
        <v/>
      </c>
      <c r="I2065">
        <f>IF(A2065="","",IFERROR(XLOOKUP(A2065,Tickets[TripKey],Tickets[RouteLen]),0))</f>
        <v/>
      </c>
      <c r="J2065">
        <f>IF(A2065="","",IFERROR(XLOOKUP(A2065,Tickets[TripKey],Tickets[Capacity]),0))</f>
        <v/>
      </c>
      <c r="K2065">
        <f>IF(A2065="","",I2065*J2065)</f>
        <v/>
      </c>
      <c r="L2065">
        <f>IF(A2065="","",IFERROR(MINIFS(Tickets[Trip Start Time],Tickets[TripKey],A2065),""))</f>
        <v/>
      </c>
    </row>
    <row r="2066">
      <c r="B2066" s="8">
        <f>IF(A2066="","",IFERROR(DATEVALUE(TEXTBEFORE(A2066,"|")),--LEFT(A2066,10)))</f>
        <v/>
      </c>
      <c r="C2066">
        <f>IF(A2066="","",TEXTBEFORE(TEXTAFTER(A2066,"|"),"|"))</f>
        <v/>
      </c>
      <c r="D2066">
        <f>IF(A2066="","",TEXTAFTER(A2066,"|",2))</f>
        <v/>
      </c>
      <c r="E2066">
        <f>IF(A2066="","",SUMIF(Tickets[TripKey],A2066,Tickets[TP]))</f>
        <v/>
      </c>
      <c r="F2066">
        <f>IF(A2066="","",SUMIF(Tickets[TripKey],A2066,Tickets[Revenue]))</f>
        <v/>
      </c>
      <c r="G2066">
        <f>IF(A2066="","",SUMIF(Tickets[TripKey],A2066,Tickets[PK]))</f>
        <v/>
      </c>
      <c r="H2066">
        <f>IF(A2066="","",IFERROR(XLOOKUP(A2066,Tickets[TripKey],Tickets[VehClean]),""))</f>
        <v/>
      </c>
      <c r="I2066">
        <f>IF(A2066="","",IFERROR(XLOOKUP(A2066,Tickets[TripKey],Tickets[RouteLen]),0))</f>
        <v/>
      </c>
      <c r="J2066">
        <f>IF(A2066="","",IFERROR(XLOOKUP(A2066,Tickets[TripKey],Tickets[Capacity]),0))</f>
        <v/>
      </c>
      <c r="K2066">
        <f>IF(A2066="","",I2066*J2066)</f>
        <v/>
      </c>
      <c r="L2066">
        <f>IF(A2066="","",IFERROR(MINIFS(Tickets[Trip Start Time],Tickets[TripKey],A2066),""))</f>
        <v/>
      </c>
    </row>
    <row r="2067">
      <c r="B2067" s="8">
        <f>IF(A2067="","",IFERROR(DATEVALUE(TEXTBEFORE(A2067,"|")),--LEFT(A2067,10)))</f>
        <v/>
      </c>
      <c r="C2067">
        <f>IF(A2067="","",TEXTBEFORE(TEXTAFTER(A2067,"|"),"|"))</f>
        <v/>
      </c>
      <c r="D2067">
        <f>IF(A2067="","",TEXTAFTER(A2067,"|",2))</f>
        <v/>
      </c>
      <c r="E2067">
        <f>IF(A2067="","",SUMIF(Tickets[TripKey],A2067,Tickets[TP]))</f>
        <v/>
      </c>
      <c r="F2067">
        <f>IF(A2067="","",SUMIF(Tickets[TripKey],A2067,Tickets[Revenue]))</f>
        <v/>
      </c>
      <c r="G2067">
        <f>IF(A2067="","",SUMIF(Tickets[TripKey],A2067,Tickets[PK]))</f>
        <v/>
      </c>
      <c r="H2067">
        <f>IF(A2067="","",IFERROR(XLOOKUP(A2067,Tickets[TripKey],Tickets[VehClean]),""))</f>
        <v/>
      </c>
      <c r="I2067">
        <f>IF(A2067="","",IFERROR(XLOOKUP(A2067,Tickets[TripKey],Tickets[RouteLen]),0))</f>
        <v/>
      </c>
      <c r="J2067">
        <f>IF(A2067="","",IFERROR(XLOOKUP(A2067,Tickets[TripKey],Tickets[Capacity]),0))</f>
        <v/>
      </c>
      <c r="K2067">
        <f>IF(A2067="","",I2067*J2067)</f>
        <v/>
      </c>
      <c r="L2067">
        <f>IF(A2067="","",IFERROR(MINIFS(Tickets[Trip Start Time],Tickets[TripKey],A2067),""))</f>
        <v/>
      </c>
    </row>
    <row r="2068">
      <c r="B2068" s="8">
        <f>IF(A2068="","",IFERROR(DATEVALUE(TEXTBEFORE(A2068,"|")),--LEFT(A2068,10)))</f>
        <v/>
      </c>
      <c r="C2068">
        <f>IF(A2068="","",TEXTBEFORE(TEXTAFTER(A2068,"|"),"|"))</f>
        <v/>
      </c>
      <c r="D2068">
        <f>IF(A2068="","",TEXTAFTER(A2068,"|",2))</f>
        <v/>
      </c>
      <c r="E2068">
        <f>IF(A2068="","",SUMIF(Tickets[TripKey],A2068,Tickets[TP]))</f>
        <v/>
      </c>
      <c r="F2068">
        <f>IF(A2068="","",SUMIF(Tickets[TripKey],A2068,Tickets[Revenue]))</f>
        <v/>
      </c>
      <c r="G2068">
        <f>IF(A2068="","",SUMIF(Tickets[TripKey],A2068,Tickets[PK]))</f>
        <v/>
      </c>
      <c r="H2068">
        <f>IF(A2068="","",IFERROR(XLOOKUP(A2068,Tickets[TripKey],Tickets[VehClean]),""))</f>
        <v/>
      </c>
      <c r="I2068">
        <f>IF(A2068="","",IFERROR(XLOOKUP(A2068,Tickets[TripKey],Tickets[RouteLen]),0))</f>
        <v/>
      </c>
      <c r="J2068">
        <f>IF(A2068="","",IFERROR(XLOOKUP(A2068,Tickets[TripKey],Tickets[Capacity]),0))</f>
        <v/>
      </c>
      <c r="K2068">
        <f>IF(A2068="","",I2068*J2068)</f>
        <v/>
      </c>
      <c r="L2068">
        <f>IF(A2068="","",IFERROR(MINIFS(Tickets[Trip Start Time],Tickets[TripKey],A2068),""))</f>
        <v/>
      </c>
    </row>
    <row r="2069">
      <c r="B2069" s="8">
        <f>IF(A2069="","",IFERROR(DATEVALUE(TEXTBEFORE(A2069,"|")),--LEFT(A2069,10)))</f>
        <v/>
      </c>
      <c r="C2069">
        <f>IF(A2069="","",TEXTBEFORE(TEXTAFTER(A2069,"|"),"|"))</f>
        <v/>
      </c>
      <c r="D2069">
        <f>IF(A2069="","",TEXTAFTER(A2069,"|",2))</f>
        <v/>
      </c>
      <c r="E2069">
        <f>IF(A2069="","",SUMIF(Tickets[TripKey],A2069,Tickets[TP]))</f>
        <v/>
      </c>
      <c r="F2069">
        <f>IF(A2069="","",SUMIF(Tickets[TripKey],A2069,Tickets[Revenue]))</f>
        <v/>
      </c>
      <c r="G2069">
        <f>IF(A2069="","",SUMIF(Tickets[TripKey],A2069,Tickets[PK]))</f>
        <v/>
      </c>
      <c r="H2069">
        <f>IF(A2069="","",IFERROR(XLOOKUP(A2069,Tickets[TripKey],Tickets[VehClean]),""))</f>
        <v/>
      </c>
      <c r="I2069">
        <f>IF(A2069="","",IFERROR(XLOOKUP(A2069,Tickets[TripKey],Tickets[RouteLen]),0))</f>
        <v/>
      </c>
      <c r="J2069">
        <f>IF(A2069="","",IFERROR(XLOOKUP(A2069,Tickets[TripKey],Tickets[Capacity]),0))</f>
        <v/>
      </c>
      <c r="K2069">
        <f>IF(A2069="","",I2069*J2069)</f>
        <v/>
      </c>
      <c r="L2069">
        <f>IF(A2069="","",IFERROR(MINIFS(Tickets[Trip Start Time],Tickets[TripKey],A2069),""))</f>
        <v/>
      </c>
    </row>
    <row r="2070">
      <c r="B2070" s="8">
        <f>IF(A2070="","",IFERROR(DATEVALUE(TEXTBEFORE(A2070,"|")),--LEFT(A2070,10)))</f>
        <v/>
      </c>
      <c r="C2070">
        <f>IF(A2070="","",TEXTBEFORE(TEXTAFTER(A2070,"|"),"|"))</f>
        <v/>
      </c>
      <c r="D2070">
        <f>IF(A2070="","",TEXTAFTER(A2070,"|",2))</f>
        <v/>
      </c>
      <c r="E2070">
        <f>IF(A2070="","",SUMIF(Tickets[TripKey],A2070,Tickets[TP]))</f>
        <v/>
      </c>
      <c r="F2070">
        <f>IF(A2070="","",SUMIF(Tickets[TripKey],A2070,Tickets[Revenue]))</f>
        <v/>
      </c>
      <c r="G2070">
        <f>IF(A2070="","",SUMIF(Tickets[TripKey],A2070,Tickets[PK]))</f>
        <v/>
      </c>
      <c r="H2070">
        <f>IF(A2070="","",IFERROR(XLOOKUP(A2070,Tickets[TripKey],Tickets[VehClean]),""))</f>
        <v/>
      </c>
      <c r="I2070">
        <f>IF(A2070="","",IFERROR(XLOOKUP(A2070,Tickets[TripKey],Tickets[RouteLen]),0))</f>
        <v/>
      </c>
      <c r="J2070">
        <f>IF(A2070="","",IFERROR(XLOOKUP(A2070,Tickets[TripKey],Tickets[Capacity]),0))</f>
        <v/>
      </c>
      <c r="K2070">
        <f>IF(A2070="","",I2070*J2070)</f>
        <v/>
      </c>
      <c r="L2070">
        <f>IF(A2070="","",IFERROR(MINIFS(Tickets[Trip Start Time],Tickets[TripKey],A2070),""))</f>
        <v/>
      </c>
    </row>
    <row r="2071">
      <c r="B2071" s="8">
        <f>IF(A2071="","",IFERROR(DATEVALUE(TEXTBEFORE(A2071,"|")),--LEFT(A2071,10)))</f>
        <v/>
      </c>
      <c r="C2071">
        <f>IF(A2071="","",TEXTBEFORE(TEXTAFTER(A2071,"|"),"|"))</f>
        <v/>
      </c>
      <c r="D2071">
        <f>IF(A2071="","",TEXTAFTER(A2071,"|",2))</f>
        <v/>
      </c>
      <c r="E2071">
        <f>IF(A2071="","",SUMIF(Tickets[TripKey],A2071,Tickets[TP]))</f>
        <v/>
      </c>
      <c r="F2071">
        <f>IF(A2071="","",SUMIF(Tickets[TripKey],A2071,Tickets[Revenue]))</f>
        <v/>
      </c>
      <c r="G2071">
        <f>IF(A2071="","",SUMIF(Tickets[TripKey],A2071,Tickets[PK]))</f>
        <v/>
      </c>
      <c r="H2071">
        <f>IF(A2071="","",IFERROR(XLOOKUP(A2071,Tickets[TripKey],Tickets[VehClean]),""))</f>
        <v/>
      </c>
      <c r="I2071">
        <f>IF(A2071="","",IFERROR(XLOOKUP(A2071,Tickets[TripKey],Tickets[RouteLen]),0))</f>
        <v/>
      </c>
      <c r="J2071">
        <f>IF(A2071="","",IFERROR(XLOOKUP(A2071,Tickets[TripKey],Tickets[Capacity]),0))</f>
        <v/>
      </c>
      <c r="K2071">
        <f>IF(A2071="","",I2071*J2071)</f>
        <v/>
      </c>
      <c r="L2071">
        <f>IF(A2071="","",IFERROR(MINIFS(Tickets[Trip Start Time],Tickets[TripKey],A2071),""))</f>
        <v/>
      </c>
    </row>
    <row r="2072">
      <c r="B2072" s="8">
        <f>IF(A2072="","",IFERROR(DATEVALUE(TEXTBEFORE(A2072,"|")),--LEFT(A2072,10)))</f>
        <v/>
      </c>
      <c r="C2072">
        <f>IF(A2072="","",TEXTBEFORE(TEXTAFTER(A2072,"|"),"|"))</f>
        <v/>
      </c>
      <c r="D2072">
        <f>IF(A2072="","",TEXTAFTER(A2072,"|",2))</f>
        <v/>
      </c>
      <c r="E2072">
        <f>IF(A2072="","",SUMIF(Tickets[TripKey],A2072,Tickets[TP]))</f>
        <v/>
      </c>
      <c r="F2072">
        <f>IF(A2072="","",SUMIF(Tickets[TripKey],A2072,Tickets[Revenue]))</f>
        <v/>
      </c>
      <c r="G2072">
        <f>IF(A2072="","",SUMIF(Tickets[TripKey],A2072,Tickets[PK]))</f>
        <v/>
      </c>
      <c r="H2072">
        <f>IF(A2072="","",IFERROR(XLOOKUP(A2072,Tickets[TripKey],Tickets[VehClean]),""))</f>
        <v/>
      </c>
      <c r="I2072">
        <f>IF(A2072="","",IFERROR(XLOOKUP(A2072,Tickets[TripKey],Tickets[RouteLen]),0))</f>
        <v/>
      </c>
      <c r="J2072">
        <f>IF(A2072="","",IFERROR(XLOOKUP(A2072,Tickets[TripKey],Tickets[Capacity]),0))</f>
        <v/>
      </c>
      <c r="K2072">
        <f>IF(A2072="","",I2072*J2072)</f>
        <v/>
      </c>
      <c r="L2072">
        <f>IF(A2072="","",IFERROR(MINIFS(Tickets[Trip Start Time],Tickets[TripKey],A2072),""))</f>
        <v/>
      </c>
    </row>
    <row r="2073">
      <c r="B2073" s="8">
        <f>IF(A2073="","",IFERROR(DATEVALUE(TEXTBEFORE(A2073,"|")),--LEFT(A2073,10)))</f>
        <v/>
      </c>
      <c r="C2073">
        <f>IF(A2073="","",TEXTBEFORE(TEXTAFTER(A2073,"|"),"|"))</f>
        <v/>
      </c>
      <c r="D2073">
        <f>IF(A2073="","",TEXTAFTER(A2073,"|",2))</f>
        <v/>
      </c>
      <c r="E2073">
        <f>IF(A2073="","",SUMIF(Tickets[TripKey],A2073,Tickets[TP]))</f>
        <v/>
      </c>
      <c r="F2073">
        <f>IF(A2073="","",SUMIF(Tickets[TripKey],A2073,Tickets[Revenue]))</f>
        <v/>
      </c>
      <c r="G2073">
        <f>IF(A2073="","",SUMIF(Tickets[TripKey],A2073,Tickets[PK]))</f>
        <v/>
      </c>
      <c r="H2073">
        <f>IF(A2073="","",IFERROR(XLOOKUP(A2073,Tickets[TripKey],Tickets[VehClean]),""))</f>
        <v/>
      </c>
      <c r="I2073">
        <f>IF(A2073="","",IFERROR(XLOOKUP(A2073,Tickets[TripKey],Tickets[RouteLen]),0))</f>
        <v/>
      </c>
      <c r="J2073">
        <f>IF(A2073="","",IFERROR(XLOOKUP(A2073,Tickets[TripKey],Tickets[Capacity]),0))</f>
        <v/>
      </c>
      <c r="K2073">
        <f>IF(A2073="","",I2073*J2073)</f>
        <v/>
      </c>
      <c r="L2073">
        <f>IF(A2073="","",IFERROR(MINIFS(Tickets[Trip Start Time],Tickets[TripKey],A2073),""))</f>
        <v/>
      </c>
    </row>
    <row r="2074">
      <c r="B2074" s="8">
        <f>IF(A2074="","",IFERROR(DATEVALUE(TEXTBEFORE(A2074,"|")),--LEFT(A2074,10)))</f>
        <v/>
      </c>
      <c r="C2074">
        <f>IF(A2074="","",TEXTBEFORE(TEXTAFTER(A2074,"|"),"|"))</f>
        <v/>
      </c>
      <c r="D2074">
        <f>IF(A2074="","",TEXTAFTER(A2074,"|",2))</f>
        <v/>
      </c>
      <c r="E2074">
        <f>IF(A2074="","",SUMIF(Tickets[TripKey],A2074,Tickets[TP]))</f>
        <v/>
      </c>
      <c r="F2074">
        <f>IF(A2074="","",SUMIF(Tickets[TripKey],A2074,Tickets[Revenue]))</f>
        <v/>
      </c>
      <c r="G2074">
        <f>IF(A2074="","",SUMIF(Tickets[TripKey],A2074,Tickets[PK]))</f>
        <v/>
      </c>
      <c r="H2074">
        <f>IF(A2074="","",IFERROR(XLOOKUP(A2074,Tickets[TripKey],Tickets[VehClean]),""))</f>
        <v/>
      </c>
      <c r="I2074">
        <f>IF(A2074="","",IFERROR(XLOOKUP(A2074,Tickets[TripKey],Tickets[RouteLen]),0))</f>
        <v/>
      </c>
      <c r="J2074">
        <f>IF(A2074="","",IFERROR(XLOOKUP(A2074,Tickets[TripKey],Tickets[Capacity]),0))</f>
        <v/>
      </c>
      <c r="K2074">
        <f>IF(A2074="","",I2074*J2074)</f>
        <v/>
      </c>
      <c r="L2074">
        <f>IF(A2074="","",IFERROR(MINIFS(Tickets[Trip Start Time],Tickets[TripKey],A2074),""))</f>
        <v/>
      </c>
    </row>
    <row r="2075">
      <c r="B2075" s="8">
        <f>IF(A2075="","",IFERROR(DATEVALUE(TEXTBEFORE(A2075,"|")),--LEFT(A2075,10)))</f>
        <v/>
      </c>
      <c r="C2075">
        <f>IF(A2075="","",TEXTBEFORE(TEXTAFTER(A2075,"|"),"|"))</f>
        <v/>
      </c>
      <c r="D2075">
        <f>IF(A2075="","",TEXTAFTER(A2075,"|",2))</f>
        <v/>
      </c>
      <c r="E2075">
        <f>IF(A2075="","",SUMIF(Tickets[TripKey],A2075,Tickets[TP]))</f>
        <v/>
      </c>
      <c r="F2075">
        <f>IF(A2075="","",SUMIF(Tickets[TripKey],A2075,Tickets[Revenue]))</f>
        <v/>
      </c>
      <c r="G2075">
        <f>IF(A2075="","",SUMIF(Tickets[TripKey],A2075,Tickets[PK]))</f>
        <v/>
      </c>
      <c r="H2075">
        <f>IF(A2075="","",IFERROR(XLOOKUP(A2075,Tickets[TripKey],Tickets[VehClean]),""))</f>
        <v/>
      </c>
      <c r="I2075">
        <f>IF(A2075="","",IFERROR(XLOOKUP(A2075,Tickets[TripKey],Tickets[RouteLen]),0))</f>
        <v/>
      </c>
      <c r="J2075">
        <f>IF(A2075="","",IFERROR(XLOOKUP(A2075,Tickets[TripKey],Tickets[Capacity]),0))</f>
        <v/>
      </c>
      <c r="K2075">
        <f>IF(A2075="","",I2075*J2075)</f>
        <v/>
      </c>
      <c r="L2075">
        <f>IF(A2075="","",IFERROR(MINIFS(Tickets[Trip Start Time],Tickets[TripKey],A2075),""))</f>
        <v/>
      </c>
    </row>
    <row r="2076">
      <c r="B2076" s="8">
        <f>IF(A2076="","",IFERROR(DATEVALUE(TEXTBEFORE(A2076,"|")),--LEFT(A2076,10)))</f>
        <v/>
      </c>
      <c r="C2076">
        <f>IF(A2076="","",TEXTBEFORE(TEXTAFTER(A2076,"|"),"|"))</f>
        <v/>
      </c>
      <c r="D2076">
        <f>IF(A2076="","",TEXTAFTER(A2076,"|",2))</f>
        <v/>
      </c>
      <c r="E2076">
        <f>IF(A2076="","",SUMIF(Tickets[TripKey],A2076,Tickets[TP]))</f>
        <v/>
      </c>
      <c r="F2076">
        <f>IF(A2076="","",SUMIF(Tickets[TripKey],A2076,Tickets[Revenue]))</f>
        <v/>
      </c>
      <c r="G2076">
        <f>IF(A2076="","",SUMIF(Tickets[TripKey],A2076,Tickets[PK]))</f>
        <v/>
      </c>
      <c r="H2076">
        <f>IF(A2076="","",IFERROR(XLOOKUP(A2076,Tickets[TripKey],Tickets[VehClean]),""))</f>
        <v/>
      </c>
      <c r="I2076">
        <f>IF(A2076="","",IFERROR(XLOOKUP(A2076,Tickets[TripKey],Tickets[RouteLen]),0))</f>
        <v/>
      </c>
      <c r="J2076">
        <f>IF(A2076="","",IFERROR(XLOOKUP(A2076,Tickets[TripKey],Tickets[Capacity]),0))</f>
        <v/>
      </c>
      <c r="K2076">
        <f>IF(A2076="","",I2076*J2076)</f>
        <v/>
      </c>
      <c r="L2076">
        <f>IF(A2076="","",IFERROR(MINIFS(Tickets[Trip Start Time],Tickets[TripKey],A2076),""))</f>
        <v/>
      </c>
    </row>
    <row r="2077">
      <c r="B2077" s="8">
        <f>IF(A2077="","",IFERROR(DATEVALUE(TEXTBEFORE(A2077,"|")),--LEFT(A2077,10)))</f>
        <v/>
      </c>
      <c r="C2077">
        <f>IF(A2077="","",TEXTBEFORE(TEXTAFTER(A2077,"|"),"|"))</f>
        <v/>
      </c>
      <c r="D2077">
        <f>IF(A2077="","",TEXTAFTER(A2077,"|",2))</f>
        <v/>
      </c>
      <c r="E2077">
        <f>IF(A2077="","",SUMIF(Tickets[TripKey],A2077,Tickets[TP]))</f>
        <v/>
      </c>
      <c r="F2077">
        <f>IF(A2077="","",SUMIF(Tickets[TripKey],A2077,Tickets[Revenue]))</f>
        <v/>
      </c>
      <c r="G2077">
        <f>IF(A2077="","",SUMIF(Tickets[TripKey],A2077,Tickets[PK]))</f>
        <v/>
      </c>
      <c r="H2077">
        <f>IF(A2077="","",IFERROR(XLOOKUP(A2077,Tickets[TripKey],Tickets[VehClean]),""))</f>
        <v/>
      </c>
      <c r="I2077">
        <f>IF(A2077="","",IFERROR(XLOOKUP(A2077,Tickets[TripKey],Tickets[RouteLen]),0))</f>
        <v/>
      </c>
      <c r="J2077">
        <f>IF(A2077="","",IFERROR(XLOOKUP(A2077,Tickets[TripKey],Tickets[Capacity]),0))</f>
        <v/>
      </c>
      <c r="K2077">
        <f>IF(A2077="","",I2077*J2077)</f>
        <v/>
      </c>
      <c r="L2077">
        <f>IF(A2077="","",IFERROR(MINIFS(Tickets[Trip Start Time],Tickets[TripKey],A2077),""))</f>
        <v/>
      </c>
    </row>
    <row r="2078">
      <c r="B2078" s="8">
        <f>IF(A2078="","",IFERROR(DATEVALUE(TEXTBEFORE(A2078,"|")),--LEFT(A2078,10)))</f>
        <v/>
      </c>
      <c r="C2078">
        <f>IF(A2078="","",TEXTBEFORE(TEXTAFTER(A2078,"|"),"|"))</f>
        <v/>
      </c>
      <c r="D2078">
        <f>IF(A2078="","",TEXTAFTER(A2078,"|",2))</f>
        <v/>
      </c>
      <c r="E2078">
        <f>IF(A2078="","",SUMIF(Tickets[TripKey],A2078,Tickets[TP]))</f>
        <v/>
      </c>
      <c r="F2078">
        <f>IF(A2078="","",SUMIF(Tickets[TripKey],A2078,Tickets[Revenue]))</f>
        <v/>
      </c>
      <c r="G2078">
        <f>IF(A2078="","",SUMIF(Tickets[TripKey],A2078,Tickets[PK]))</f>
        <v/>
      </c>
      <c r="H2078">
        <f>IF(A2078="","",IFERROR(XLOOKUP(A2078,Tickets[TripKey],Tickets[VehClean]),""))</f>
        <v/>
      </c>
      <c r="I2078">
        <f>IF(A2078="","",IFERROR(XLOOKUP(A2078,Tickets[TripKey],Tickets[RouteLen]),0))</f>
        <v/>
      </c>
      <c r="J2078">
        <f>IF(A2078="","",IFERROR(XLOOKUP(A2078,Tickets[TripKey],Tickets[Capacity]),0))</f>
        <v/>
      </c>
      <c r="K2078">
        <f>IF(A2078="","",I2078*J2078)</f>
        <v/>
      </c>
      <c r="L2078">
        <f>IF(A2078="","",IFERROR(MINIFS(Tickets[Trip Start Time],Tickets[TripKey],A2078),""))</f>
        <v/>
      </c>
    </row>
    <row r="2079">
      <c r="B2079" s="8">
        <f>IF(A2079="","",IFERROR(DATEVALUE(TEXTBEFORE(A2079,"|")),--LEFT(A2079,10)))</f>
        <v/>
      </c>
      <c r="C2079">
        <f>IF(A2079="","",TEXTBEFORE(TEXTAFTER(A2079,"|"),"|"))</f>
        <v/>
      </c>
      <c r="D2079">
        <f>IF(A2079="","",TEXTAFTER(A2079,"|",2))</f>
        <v/>
      </c>
      <c r="E2079">
        <f>IF(A2079="","",SUMIF(Tickets[TripKey],A2079,Tickets[TP]))</f>
        <v/>
      </c>
      <c r="F2079">
        <f>IF(A2079="","",SUMIF(Tickets[TripKey],A2079,Tickets[Revenue]))</f>
        <v/>
      </c>
      <c r="G2079">
        <f>IF(A2079="","",SUMIF(Tickets[TripKey],A2079,Tickets[PK]))</f>
        <v/>
      </c>
      <c r="H2079">
        <f>IF(A2079="","",IFERROR(XLOOKUP(A2079,Tickets[TripKey],Tickets[VehClean]),""))</f>
        <v/>
      </c>
      <c r="I2079">
        <f>IF(A2079="","",IFERROR(XLOOKUP(A2079,Tickets[TripKey],Tickets[RouteLen]),0))</f>
        <v/>
      </c>
      <c r="J2079">
        <f>IF(A2079="","",IFERROR(XLOOKUP(A2079,Tickets[TripKey],Tickets[Capacity]),0))</f>
        <v/>
      </c>
      <c r="K2079">
        <f>IF(A2079="","",I2079*J2079)</f>
        <v/>
      </c>
      <c r="L2079">
        <f>IF(A2079="","",IFERROR(MINIFS(Tickets[Trip Start Time],Tickets[TripKey],A2079),""))</f>
        <v/>
      </c>
    </row>
    <row r="2080">
      <c r="B2080" s="8">
        <f>IF(A2080="","",IFERROR(DATEVALUE(TEXTBEFORE(A2080,"|")),--LEFT(A2080,10)))</f>
        <v/>
      </c>
      <c r="C2080">
        <f>IF(A2080="","",TEXTBEFORE(TEXTAFTER(A2080,"|"),"|"))</f>
        <v/>
      </c>
      <c r="D2080">
        <f>IF(A2080="","",TEXTAFTER(A2080,"|",2))</f>
        <v/>
      </c>
      <c r="E2080">
        <f>IF(A2080="","",SUMIF(Tickets[TripKey],A2080,Tickets[TP]))</f>
        <v/>
      </c>
      <c r="F2080">
        <f>IF(A2080="","",SUMIF(Tickets[TripKey],A2080,Tickets[Revenue]))</f>
        <v/>
      </c>
      <c r="G2080">
        <f>IF(A2080="","",SUMIF(Tickets[TripKey],A2080,Tickets[PK]))</f>
        <v/>
      </c>
      <c r="H2080">
        <f>IF(A2080="","",IFERROR(XLOOKUP(A2080,Tickets[TripKey],Tickets[VehClean]),""))</f>
        <v/>
      </c>
      <c r="I2080">
        <f>IF(A2080="","",IFERROR(XLOOKUP(A2080,Tickets[TripKey],Tickets[RouteLen]),0))</f>
        <v/>
      </c>
      <c r="J2080">
        <f>IF(A2080="","",IFERROR(XLOOKUP(A2080,Tickets[TripKey],Tickets[Capacity]),0))</f>
        <v/>
      </c>
      <c r="K2080">
        <f>IF(A2080="","",I2080*J2080)</f>
        <v/>
      </c>
      <c r="L2080">
        <f>IF(A2080="","",IFERROR(MINIFS(Tickets[Trip Start Time],Tickets[TripKey],A2080),""))</f>
        <v/>
      </c>
    </row>
    <row r="2081">
      <c r="B2081" s="8">
        <f>IF(A2081="","",IFERROR(DATEVALUE(TEXTBEFORE(A2081,"|")),--LEFT(A2081,10)))</f>
        <v/>
      </c>
      <c r="C2081">
        <f>IF(A2081="","",TEXTBEFORE(TEXTAFTER(A2081,"|"),"|"))</f>
        <v/>
      </c>
      <c r="D2081">
        <f>IF(A2081="","",TEXTAFTER(A2081,"|",2))</f>
        <v/>
      </c>
      <c r="E2081">
        <f>IF(A2081="","",SUMIF(Tickets[TripKey],A2081,Tickets[TP]))</f>
        <v/>
      </c>
      <c r="F2081">
        <f>IF(A2081="","",SUMIF(Tickets[TripKey],A2081,Tickets[Revenue]))</f>
        <v/>
      </c>
      <c r="G2081">
        <f>IF(A2081="","",SUMIF(Tickets[TripKey],A2081,Tickets[PK]))</f>
        <v/>
      </c>
      <c r="H2081">
        <f>IF(A2081="","",IFERROR(XLOOKUP(A2081,Tickets[TripKey],Tickets[VehClean]),""))</f>
        <v/>
      </c>
      <c r="I2081">
        <f>IF(A2081="","",IFERROR(XLOOKUP(A2081,Tickets[TripKey],Tickets[RouteLen]),0))</f>
        <v/>
      </c>
      <c r="J2081">
        <f>IF(A2081="","",IFERROR(XLOOKUP(A2081,Tickets[TripKey],Tickets[Capacity]),0))</f>
        <v/>
      </c>
      <c r="K2081">
        <f>IF(A2081="","",I2081*J2081)</f>
        <v/>
      </c>
      <c r="L2081">
        <f>IF(A2081="","",IFERROR(MINIFS(Tickets[Trip Start Time],Tickets[TripKey],A2081),""))</f>
        <v/>
      </c>
    </row>
    <row r="2082">
      <c r="B2082" s="8">
        <f>IF(A2082="","",IFERROR(DATEVALUE(TEXTBEFORE(A2082,"|")),--LEFT(A2082,10)))</f>
        <v/>
      </c>
      <c r="C2082">
        <f>IF(A2082="","",TEXTBEFORE(TEXTAFTER(A2082,"|"),"|"))</f>
        <v/>
      </c>
      <c r="D2082">
        <f>IF(A2082="","",TEXTAFTER(A2082,"|",2))</f>
        <v/>
      </c>
      <c r="E2082">
        <f>IF(A2082="","",SUMIF(Tickets[TripKey],A2082,Tickets[TP]))</f>
        <v/>
      </c>
      <c r="F2082">
        <f>IF(A2082="","",SUMIF(Tickets[TripKey],A2082,Tickets[Revenue]))</f>
        <v/>
      </c>
      <c r="G2082">
        <f>IF(A2082="","",SUMIF(Tickets[TripKey],A2082,Tickets[PK]))</f>
        <v/>
      </c>
      <c r="H2082">
        <f>IF(A2082="","",IFERROR(XLOOKUP(A2082,Tickets[TripKey],Tickets[VehClean]),""))</f>
        <v/>
      </c>
      <c r="I2082">
        <f>IF(A2082="","",IFERROR(XLOOKUP(A2082,Tickets[TripKey],Tickets[RouteLen]),0))</f>
        <v/>
      </c>
      <c r="J2082">
        <f>IF(A2082="","",IFERROR(XLOOKUP(A2082,Tickets[TripKey],Tickets[Capacity]),0))</f>
        <v/>
      </c>
      <c r="K2082">
        <f>IF(A2082="","",I2082*J2082)</f>
        <v/>
      </c>
      <c r="L2082">
        <f>IF(A2082="","",IFERROR(MINIFS(Tickets[Trip Start Time],Tickets[TripKey],A2082),""))</f>
        <v/>
      </c>
    </row>
    <row r="2083">
      <c r="B2083" s="8">
        <f>IF(A2083="","",IFERROR(DATEVALUE(TEXTBEFORE(A2083,"|")),--LEFT(A2083,10)))</f>
        <v/>
      </c>
      <c r="C2083">
        <f>IF(A2083="","",TEXTBEFORE(TEXTAFTER(A2083,"|"),"|"))</f>
        <v/>
      </c>
      <c r="D2083">
        <f>IF(A2083="","",TEXTAFTER(A2083,"|",2))</f>
        <v/>
      </c>
      <c r="E2083">
        <f>IF(A2083="","",SUMIF(Tickets[TripKey],A2083,Tickets[TP]))</f>
        <v/>
      </c>
      <c r="F2083">
        <f>IF(A2083="","",SUMIF(Tickets[TripKey],A2083,Tickets[Revenue]))</f>
        <v/>
      </c>
      <c r="G2083">
        <f>IF(A2083="","",SUMIF(Tickets[TripKey],A2083,Tickets[PK]))</f>
        <v/>
      </c>
      <c r="H2083">
        <f>IF(A2083="","",IFERROR(XLOOKUP(A2083,Tickets[TripKey],Tickets[VehClean]),""))</f>
        <v/>
      </c>
      <c r="I2083">
        <f>IF(A2083="","",IFERROR(XLOOKUP(A2083,Tickets[TripKey],Tickets[RouteLen]),0))</f>
        <v/>
      </c>
      <c r="J2083">
        <f>IF(A2083="","",IFERROR(XLOOKUP(A2083,Tickets[TripKey],Tickets[Capacity]),0))</f>
        <v/>
      </c>
      <c r="K2083">
        <f>IF(A2083="","",I2083*J2083)</f>
        <v/>
      </c>
      <c r="L2083">
        <f>IF(A2083="","",IFERROR(MINIFS(Tickets[Trip Start Time],Tickets[TripKey],A2083),""))</f>
        <v/>
      </c>
    </row>
    <row r="2084">
      <c r="B2084" s="8">
        <f>IF(A2084="","",IFERROR(DATEVALUE(TEXTBEFORE(A2084,"|")),--LEFT(A2084,10)))</f>
        <v/>
      </c>
      <c r="C2084">
        <f>IF(A2084="","",TEXTBEFORE(TEXTAFTER(A2084,"|"),"|"))</f>
        <v/>
      </c>
      <c r="D2084">
        <f>IF(A2084="","",TEXTAFTER(A2084,"|",2))</f>
        <v/>
      </c>
      <c r="E2084">
        <f>IF(A2084="","",SUMIF(Tickets[TripKey],A2084,Tickets[TP]))</f>
        <v/>
      </c>
      <c r="F2084">
        <f>IF(A2084="","",SUMIF(Tickets[TripKey],A2084,Tickets[Revenue]))</f>
        <v/>
      </c>
      <c r="G2084">
        <f>IF(A2084="","",SUMIF(Tickets[TripKey],A2084,Tickets[PK]))</f>
        <v/>
      </c>
      <c r="H2084">
        <f>IF(A2084="","",IFERROR(XLOOKUP(A2084,Tickets[TripKey],Tickets[VehClean]),""))</f>
        <v/>
      </c>
      <c r="I2084">
        <f>IF(A2084="","",IFERROR(XLOOKUP(A2084,Tickets[TripKey],Tickets[RouteLen]),0))</f>
        <v/>
      </c>
      <c r="J2084">
        <f>IF(A2084="","",IFERROR(XLOOKUP(A2084,Tickets[TripKey],Tickets[Capacity]),0))</f>
        <v/>
      </c>
      <c r="K2084">
        <f>IF(A2084="","",I2084*J2084)</f>
        <v/>
      </c>
      <c r="L2084">
        <f>IF(A2084="","",IFERROR(MINIFS(Tickets[Trip Start Time],Tickets[TripKey],A2084),""))</f>
        <v/>
      </c>
    </row>
    <row r="2085">
      <c r="B2085" s="8">
        <f>IF(A2085="","",IFERROR(DATEVALUE(TEXTBEFORE(A2085,"|")),--LEFT(A2085,10)))</f>
        <v/>
      </c>
      <c r="C2085">
        <f>IF(A2085="","",TEXTBEFORE(TEXTAFTER(A2085,"|"),"|"))</f>
        <v/>
      </c>
      <c r="D2085">
        <f>IF(A2085="","",TEXTAFTER(A2085,"|",2))</f>
        <v/>
      </c>
      <c r="E2085">
        <f>IF(A2085="","",SUMIF(Tickets[TripKey],A2085,Tickets[TP]))</f>
        <v/>
      </c>
      <c r="F2085">
        <f>IF(A2085="","",SUMIF(Tickets[TripKey],A2085,Tickets[Revenue]))</f>
        <v/>
      </c>
      <c r="G2085">
        <f>IF(A2085="","",SUMIF(Tickets[TripKey],A2085,Tickets[PK]))</f>
        <v/>
      </c>
      <c r="H2085">
        <f>IF(A2085="","",IFERROR(XLOOKUP(A2085,Tickets[TripKey],Tickets[VehClean]),""))</f>
        <v/>
      </c>
      <c r="I2085">
        <f>IF(A2085="","",IFERROR(XLOOKUP(A2085,Tickets[TripKey],Tickets[RouteLen]),0))</f>
        <v/>
      </c>
      <c r="J2085">
        <f>IF(A2085="","",IFERROR(XLOOKUP(A2085,Tickets[TripKey],Tickets[Capacity]),0))</f>
        <v/>
      </c>
      <c r="K2085">
        <f>IF(A2085="","",I2085*J2085)</f>
        <v/>
      </c>
      <c r="L2085">
        <f>IF(A2085="","",IFERROR(MINIFS(Tickets[Trip Start Time],Tickets[TripKey],A2085),""))</f>
        <v/>
      </c>
    </row>
    <row r="2086">
      <c r="B2086" s="8">
        <f>IF(A2086="","",IFERROR(DATEVALUE(TEXTBEFORE(A2086,"|")),--LEFT(A2086,10)))</f>
        <v/>
      </c>
      <c r="C2086">
        <f>IF(A2086="","",TEXTBEFORE(TEXTAFTER(A2086,"|"),"|"))</f>
        <v/>
      </c>
      <c r="D2086">
        <f>IF(A2086="","",TEXTAFTER(A2086,"|",2))</f>
        <v/>
      </c>
      <c r="E2086">
        <f>IF(A2086="","",SUMIF(Tickets[TripKey],A2086,Tickets[TP]))</f>
        <v/>
      </c>
      <c r="F2086">
        <f>IF(A2086="","",SUMIF(Tickets[TripKey],A2086,Tickets[Revenue]))</f>
        <v/>
      </c>
      <c r="G2086">
        <f>IF(A2086="","",SUMIF(Tickets[TripKey],A2086,Tickets[PK]))</f>
        <v/>
      </c>
      <c r="H2086">
        <f>IF(A2086="","",IFERROR(XLOOKUP(A2086,Tickets[TripKey],Tickets[VehClean]),""))</f>
        <v/>
      </c>
      <c r="I2086">
        <f>IF(A2086="","",IFERROR(XLOOKUP(A2086,Tickets[TripKey],Tickets[RouteLen]),0))</f>
        <v/>
      </c>
      <c r="J2086">
        <f>IF(A2086="","",IFERROR(XLOOKUP(A2086,Tickets[TripKey],Tickets[Capacity]),0))</f>
        <v/>
      </c>
      <c r="K2086">
        <f>IF(A2086="","",I2086*J2086)</f>
        <v/>
      </c>
      <c r="L2086">
        <f>IF(A2086="","",IFERROR(MINIFS(Tickets[Trip Start Time],Tickets[TripKey],A2086),""))</f>
        <v/>
      </c>
    </row>
    <row r="2087">
      <c r="B2087" s="8">
        <f>IF(A2087="","",IFERROR(DATEVALUE(TEXTBEFORE(A2087,"|")),--LEFT(A2087,10)))</f>
        <v/>
      </c>
      <c r="C2087">
        <f>IF(A2087="","",TEXTBEFORE(TEXTAFTER(A2087,"|"),"|"))</f>
        <v/>
      </c>
      <c r="D2087">
        <f>IF(A2087="","",TEXTAFTER(A2087,"|",2))</f>
        <v/>
      </c>
      <c r="E2087">
        <f>IF(A2087="","",SUMIF(Tickets[TripKey],A2087,Tickets[TP]))</f>
        <v/>
      </c>
      <c r="F2087">
        <f>IF(A2087="","",SUMIF(Tickets[TripKey],A2087,Tickets[Revenue]))</f>
        <v/>
      </c>
      <c r="G2087">
        <f>IF(A2087="","",SUMIF(Tickets[TripKey],A2087,Tickets[PK]))</f>
        <v/>
      </c>
      <c r="H2087">
        <f>IF(A2087="","",IFERROR(XLOOKUP(A2087,Tickets[TripKey],Tickets[VehClean]),""))</f>
        <v/>
      </c>
      <c r="I2087">
        <f>IF(A2087="","",IFERROR(XLOOKUP(A2087,Tickets[TripKey],Tickets[RouteLen]),0))</f>
        <v/>
      </c>
      <c r="J2087">
        <f>IF(A2087="","",IFERROR(XLOOKUP(A2087,Tickets[TripKey],Tickets[Capacity]),0))</f>
        <v/>
      </c>
      <c r="K2087">
        <f>IF(A2087="","",I2087*J2087)</f>
        <v/>
      </c>
      <c r="L2087">
        <f>IF(A2087="","",IFERROR(MINIFS(Tickets[Trip Start Time],Tickets[TripKey],A2087),""))</f>
        <v/>
      </c>
    </row>
    <row r="2088">
      <c r="B2088" s="8">
        <f>IF(A2088="","",IFERROR(DATEVALUE(TEXTBEFORE(A2088,"|")),--LEFT(A2088,10)))</f>
        <v/>
      </c>
      <c r="C2088">
        <f>IF(A2088="","",TEXTBEFORE(TEXTAFTER(A2088,"|"),"|"))</f>
        <v/>
      </c>
      <c r="D2088">
        <f>IF(A2088="","",TEXTAFTER(A2088,"|",2))</f>
        <v/>
      </c>
      <c r="E2088">
        <f>IF(A2088="","",SUMIF(Tickets[TripKey],A2088,Tickets[TP]))</f>
        <v/>
      </c>
      <c r="F2088">
        <f>IF(A2088="","",SUMIF(Tickets[TripKey],A2088,Tickets[Revenue]))</f>
        <v/>
      </c>
      <c r="G2088">
        <f>IF(A2088="","",SUMIF(Tickets[TripKey],A2088,Tickets[PK]))</f>
        <v/>
      </c>
      <c r="H2088">
        <f>IF(A2088="","",IFERROR(XLOOKUP(A2088,Tickets[TripKey],Tickets[VehClean]),""))</f>
        <v/>
      </c>
      <c r="I2088">
        <f>IF(A2088="","",IFERROR(XLOOKUP(A2088,Tickets[TripKey],Tickets[RouteLen]),0))</f>
        <v/>
      </c>
      <c r="J2088">
        <f>IF(A2088="","",IFERROR(XLOOKUP(A2088,Tickets[TripKey],Tickets[Capacity]),0))</f>
        <v/>
      </c>
      <c r="K2088">
        <f>IF(A2088="","",I2088*J2088)</f>
        <v/>
      </c>
      <c r="L2088">
        <f>IF(A2088="","",IFERROR(MINIFS(Tickets[Trip Start Time],Tickets[TripKey],A2088),""))</f>
        <v/>
      </c>
    </row>
    <row r="2089">
      <c r="B2089" s="8">
        <f>IF(A2089="","",IFERROR(DATEVALUE(TEXTBEFORE(A2089,"|")),--LEFT(A2089,10)))</f>
        <v/>
      </c>
      <c r="C2089">
        <f>IF(A2089="","",TEXTBEFORE(TEXTAFTER(A2089,"|"),"|"))</f>
        <v/>
      </c>
      <c r="D2089">
        <f>IF(A2089="","",TEXTAFTER(A2089,"|",2))</f>
        <v/>
      </c>
      <c r="E2089">
        <f>IF(A2089="","",SUMIF(Tickets[TripKey],A2089,Tickets[TP]))</f>
        <v/>
      </c>
      <c r="F2089">
        <f>IF(A2089="","",SUMIF(Tickets[TripKey],A2089,Tickets[Revenue]))</f>
        <v/>
      </c>
      <c r="G2089">
        <f>IF(A2089="","",SUMIF(Tickets[TripKey],A2089,Tickets[PK]))</f>
        <v/>
      </c>
      <c r="H2089">
        <f>IF(A2089="","",IFERROR(XLOOKUP(A2089,Tickets[TripKey],Tickets[VehClean]),""))</f>
        <v/>
      </c>
      <c r="I2089">
        <f>IF(A2089="","",IFERROR(XLOOKUP(A2089,Tickets[TripKey],Tickets[RouteLen]),0))</f>
        <v/>
      </c>
      <c r="J2089">
        <f>IF(A2089="","",IFERROR(XLOOKUP(A2089,Tickets[TripKey],Tickets[Capacity]),0))</f>
        <v/>
      </c>
      <c r="K2089">
        <f>IF(A2089="","",I2089*J2089)</f>
        <v/>
      </c>
      <c r="L2089">
        <f>IF(A2089="","",IFERROR(MINIFS(Tickets[Trip Start Time],Tickets[TripKey],A2089),""))</f>
        <v/>
      </c>
    </row>
    <row r="2090">
      <c r="B2090" s="8">
        <f>IF(A2090="","",IFERROR(DATEVALUE(TEXTBEFORE(A2090,"|")),--LEFT(A2090,10)))</f>
        <v/>
      </c>
      <c r="C2090">
        <f>IF(A2090="","",TEXTBEFORE(TEXTAFTER(A2090,"|"),"|"))</f>
        <v/>
      </c>
      <c r="D2090">
        <f>IF(A2090="","",TEXTAFTER(A2090,"|",2))</f>
        <v/>
      </c>
      <c r="E2090">
        <f>IF(A2090="","",SUMIF(Tickets[TripKey],A2090,Tickets[TP]))</f>
        <v/>
      </c>
      <c r="F2090">
        <f>IF(A2090="","",SUMIF(Tickets[TripKey],A2090,Tickets[Revenue]))</f>
        <v/>
      </c>
      <c r="G2090">
        <f>IF(A2090="","",SUMIF(Tickets[TripKey],A2090,Tickets[PK]))</f>
        <v/>
      </c>
      <c r="H2090">
        <f>IF(A2090="","",IFERROR(XLOOKUP(A2090,Tickets[TripKey],Tickets[VehClean]),""))</f>
        <v/>
      </c>
      <c r="I2090">
        <f>IF(A2090="","",IFERROR(XLOOKUP(A2090,Tickets[TripKey],Tickets[RouteLen]),0))</f>
        <v/>
      </c>
      <c r="J2090">
        <f>IF(A2090="","",IFERROR(XLOOKUP(A2090,Tickets[TripKey],Tickets[Capacity]),0))</f>
        <v/>
      </c>
      <c r="K2090">
        <f>IF(A2090="","",I2090*J2090)</f>
        <v/>
      </c>
      <c r="L2090">
        <f>IF(A2090="","",IFERROR(MINIFS(Tickets[Trip Start Time],Tickets[TripKey],A2090),""))</f>
        <v/>
      </c>
    </row>
    <row r="2091">
      <c r="B2091" s="8">
        <f>IF(A2091="","",IFERROR(DATEVALUE(TEXTBEFORE(A2091,"|")),--LEFT(A2091,10)))</f>
        <v/>
      </c>
      <c r="C2091">
        <f>IF(A2091="","",TEXTBEFORE(TEXTAFTER(A2091,"|"),"|"))</f>
        <v/>
      </c>
      <c r="D2091">
        <f>IF(A2091="","",TEXTAFTER(A2091,"|",2))</f>
        <v/>
      </c>
      <c r="E2091">
        <f>IF(A2091="","",SUMIF(Tickets[TripKey],A2091,Tickets[TP]))</f>
        <v/>
      </c>
      <c r="F2091">
        <f>IF(A2091="","",SUMIF(Tickets[TripKey],A2091,Tickets[Revenue]))</f>
        <v/>
      </c>
      <c r="G2091">
        <f>IF(A2091="","",SUMIF(Tickets[TripKey],A2091,Tickets[PK]))</f>
        <v/>
      </c>
      <c r="H2091">
        <f>IF(A2091="","",IFERROR(XLOOKUP(A2091,Tickets[TripKey],Tickets[VehClean]),""))</f>
        <v/>
      </c>
      <c r="I2091">
        <f>IF(A2091="","",IFERROR(XLOOKUP(A2091,Tickets[TripKey],Tickets[RouteLen]),0))</f>
        <v/>
      </c>
      <c r="J2091">
        <f>IF(A2091="","",IFERROR(XLOOKUP(A2091,Tickets[TripKey],Tickets[Capacity]),0))</f>
        <v/>
      </c>
      <c r="K2091">
        <f>IF(A2091="","",I2091*J2091)</f>
        <v/>
      </c>
      <c r="L2091">
        <f>IF(A2091="","",IFERROR(MINIFS(Tickets[Trip Start Time],Tickets[TripKey],A2091),""))</f>
        <v/>
      </c>
    </row>
    <row r="2092">
      <c r="B2092" s="8">
        <f>IF(A2092="","",IFERROR(DATEVALUE(TEXTBEFORE(A2092,"|")),--LEFT(A2092,10)))</f>
        <v/>
      </c>
      <c r="C2092">
        <f>IF(A2092="","",TEXTBEFORE(TEXTAFTER(A2092,"|"),"|"))</f>
        <v/>
      </c>
      <c r="D2092">
        <f>IF(A2092="","",TEXTAFTER(A2092,"|",2))</f>
        <v/>
      </c>
      <c r="E2092">
        <f>IF(A2092="","",SUMIF(Tickets[TripKey],A2092,Tickets[TP]))</f>
        <v/>
      </c>
      <c r="F2092">
        <f>IF(A2092="","",SUMIF(Tickets[TripKey],A2092,Tickets[Revenue]))</f>
        <v/>
      </c>
      <c r="G2092">
        <f>IF(A2092="","",SUMIF(Tickets[TripKey],A2092,Tickets[PK]))</f>
        <v/>
      </c>
      <c r="H2092">
        <f>IF(A2092="","",IFERROR(XLOOKUP(A2092,Tickets[TripKey],Tickets[VehClean]),""))</f>
        <v/>
      </c>
      <c r="I2092">
        <f>IF(A2092="","",IFERROR(XLOOKUP(A2092,Tickets[TripKey],Tickets[RouteLen]),0))</f>
        <v/>
      </c>
      <c r="J2092">
        <f>IF(A2092="","",IFERROR(XLOOKUP(A2092,Tickets[TripKey],Tickets[Capacity]),0))</f>
        <v/>
      </c>
      <c r="K2092">
        <f>IF(A2092="","",I2092*J2092)</f>
        <v/>
      </c>
      <c r="L2092">
        <f>IF(A2092="","",IFERROR(MINIFS(Tickets[Trip Start Time],Tickets[TripKey],A2092),""))</f>
        <v/>
      </c>
    </row>
    <row r="2093">
      <c r="B2093" s="8">
        <f>IF(A2093="","",IFERROR(DATEVALUE(TEXTBEFORE(A2093,"|")),--LEFT(A2093,10)))</f>
        <v/>
      </c>
      <c r="C2093">
        <f>IF(A2093="","",TEXTBEFORE(TEXTAFTER(A2093,"|"),"|"))</f>
        <v/>
      </c>
      <c r="D2093">
        <f>IF(A2093="","",TEXTAFTER(A2093,"|",2))</f>
        <v/>
      </c>
      <c r="E2093">
        <f>IF(A2093="","",SUMIF(Tickets[TripKey],A2093,Tickets[TP]))</f>
        <v/>
      </c>
      <c r="F2093">
        <f>IF(A2093="","",SUMIF(Tickets[TripKey],A2093,Tickets[Revenue]))</f>
        <v/>
      </c>
      <c r="G2093">
        <f>IF(A2093="","",SUMIF(Tickets[TripKey],A2093,Tickets[PK]))</f>
        <v/>
      </c>
      <c r="H2093">
        <f>IF(A2093="","",IFERROR(XLOOKUP(A2093,Tickets[TripKey],Tickets[VehClean]),""))</f>
        <v/>
      </c>
      <c r="I2093">
        <f>IF(A2093="","",IFERROR(XLOOKUP(A2093,Tickets[TripKey],Tickets[RouteLen]),0))</f>
        <v/>
      </c>
      <c r="J2093">
        <f>IF(A2093="","",IFERROR(XLOOKUP(A2093,Tickets[TripKey],Tickets[Capacity]),0))</f>
        <v/>
      </c>
      <c r="K2093">
        <f>IF(A2093="","",I2093*J2093)</f>
        <v/>
      </c>
      <c r="L2093">
        <f>IF(A2093="","",IFERROR(MINIFS(Tickets[Trip Start Time],Tickets[TripKey],A2093),""))</f>
        <v/>
      </c>
    </row>
    <row r="2094">
      <c r="B2094" s="8">
        <f>IF(A2094="","",IFERROR(DATEVALUE(TEXTBEFORE(A2094,"|")),--LEFT(A2094,10)))</f>
        <v/>
      </c>
      <c r="C2094">
        <f>IF(A2094="","",TEXTBEFORE(TEXTAFTER(A2094,"|"),"|"))</f>
        <v/>
      </c>
      <c r="D2094">
        <f>IF(A2094="","",TEXTAFTER(A2094,"|",2))</f>
        <v/>
      </c>
      <c r="E2094">
        <f>IF(A2094="","",SUMIF(Tickets[TripKey],A2094,Tickets[TP]))</f>
        <v/>
      </c>
      <c r="F2094">
        <f>IF(A2094="","",SUMIF(Tickets[TripKey],A2094,Tickets[Revenue]))</f>
        <v/>
      </c>
      <c r="G2094">
        <f>IF(A2094="","",SUMIF(Tickets[TripKey],A2094,Tickets[PK]))</f>
        <v/>
      </c>
      <c r="H2094">
        <f>IF(A2094="","",IFERROR(XLOOKUP(A2094,Tickets[TripKey],Tickets[VehClean]),""))</f>
        <v/>
      </c>
      <c r="I2094">
        <f>IF(A2094="","",IFERROR(XLOOKUP(A2094,Tickets[TripKey],Tickets[RouteLen]),0))</f>
        <v/>
      </c>
      <c r="J2094">
        <f>IF(A2094="","",IFERROR(XLOOKUP(A2094,Tickets[TripKey],Tickets[Capacity]),0))</f>
        <v/>
      </c>
      <c r="K2094">
        <f>IF(A2094="","",I2094*J2094)</f>
        <v/>
      </c>
      <c r="L2094">
        <f>IF(A2094="","",IFERROR(MINIFS(Tickets[Trip Start Time],Tickets[TripKey],A2094),""))</f>
        <v/>
      </c>
    </row>
    <row r="2095">
      <c r="B2095" s="8">
        <f>IF(A2095="","",IFERROR(DATEVALUE(TEXTBEFORE(A2095,"|")),--LEFT(A2095,10)))</f>
        <v/>
      </c>
      <c r="C2095">
        <f>IF(A2095="","",TEXTBEFORE(TEXTAFTER(A2095,"|"),"|"))</f>
        <v/>
      </c>
      <c r="D2095">
        <f>IF(A2095="","",TEXTAFTER(A2095,"|",2))</f>
        <v/>
      </c>
      <c r="E2095">
        <f>IF(A2095="","",SUMIF(Tickets[TripKey],A2095,Tickets[TP]))</f>
        <v/>
      </c>
      <c r="F2095">
        <f>IF(A2095="","",SUMIF(Tickets[TripKey],A2095,Tickets[Revenue]))</f>
        <v/>
      </c>
      <c r="G2095">
        <f>IF(A2095="","",SUMIF(Tickets[TripKey],A2095,Tickets[PK]))</f>
        <v/>
      </c>
      <c r="H2095">
        <f>IF(A2095="","",IFERROR(XLOOKUP(A2095,Tickets[TripKey],Tickets[VehClean]),""))</f>
        <v/>
      </c>
      <c r="I2095">
        <f>IF(A2095="","",IFERROR(XLOOKUP(A2095,Tickets[TripKey],Tickets[RouteLen]),0))</f>
        <v/>
      </c>
      <c r="J2095">
        <f>IF(A2095="","",IFERROR(XLOOKUP(A2095,Tickets[TripKey],Tickets[Capacity]),0))</f>
        <v/>
      </c>
      <c r="K2095">
        <f>IF(A2095="","",I2095*J2095)</f>
        <v/>
      </c>
      <c r="L2095">
        <f>IF(A2095="","",IFERROR(MINIFS(Tickets[Trip Start Time],Tickets[TripKey],A2095),""))</f>
        <v/>
      </c>
    </row>
    <row r="2096">
      <c r="B2096" s="8">
        <f>IF(A2096="","",IFERROR(DATEVALUE(TEXTBEFORE(A2096,"|")),--LEFT(A2096,10)))</f>
        <v/>
      </c>
      <c r="C2096">
        <f>IF(A2096="","",TEXTBEFORE(TEXTAFTER(A2096,"|"),"|"))</f>
        <v/>
      </c>
      <c r="D2096">
        <f>IF(A2096="","",TEXTAFTER(A2096,"|",2))</f>
        <v/>
      </c>
      <c r="E2096">
        <f>IF(A2096="","",SUMIF(Tickets[TripKey],A2096,Tickets[TP]))</f>
        <v/>
      </c>
      <c r="F2096">
        <f>IF(A2096="","",SUMIF(Tickets[TripKey],A2096,Tickets[Revenue]))</f>
        <v/>
      </c>
      <c r="G2096">
        <f>IF(A2096="","",SUMIF(Tickets[TripKey],A2096,Tickets[PK]))</f>
        <v/>
      </c>
      <c r="H2096">
        <f>IF(A2096="","",IFERROR(XLOOKUP(A2096,Tickets[TripKey],Tickets[VehClean]),""))</f>
        <v/>
      </c>
      <c r="I2096">
        <f>IF(A2096="","",IFERROR(XLOOKUP(A2096,Tickets[TripKey],Tickets[RouteLen]),0))</f>
        <v/>
      </c>
      <c r="J2096">
        <f>IF(A2096="","",IFERROR(XLOOKUP(A2096,Tickets[TripKey],Tickets[Capacity]),0))</f>
        <v/>
      </c>
      <c r="K2096">
        <f>IF(A2096="","",I2096*J2096)</f>
        <v/>
      </c>
      <c r="L2096">
        <f>IF(A2096="","",IFERROR(MINIFS(Tickets[Trip Start Time],Tickets[TripKey],A2096),""))</f>
        <v/>
      </c>
    </row>
    <row r="2097">
      <c r="B2097" s="8">
        <f>IF(A2097="","",IFERROR(DATEVALUE(TEXTBEFORE(A2097,"|")),--LEFT(A2097,10)))</f>
        <v/>
      </c>
      <c r="C2097">
        <f>IF(A2097="","",TEXTBEFORE(TEXTAFTER(A2097,"|"),"|"))</f>
        <v/>
      </c>
      <c r="D2097">
        <f>IF(A2097="","",TEXTAFTER(A2097,"|",2))</f>
        <v/>
      </c>
      <c r="E2097">
        <f>IF(A2097="","",SUMIF(Tickets[TripKey],A2097,Tickets[TP]))</f>
        <v/>
      </c>
      <c r="F2097">
        <f>IF(A2097="","",SUMIF(Tickets[TripKey],A2097,Tickets[Revenue]))</f>
        <v/>
      </c>
      <c r="G2097">
        <f>IF(A2097="","",SUMIF(Tickets[TripKey],A2097,Tickets[PK]))</f>
        <v/>
      </c>
      <c r="H2097">
        <f>IF(A2097="","",IFERROR(XLOOKUP(A2097,Tickets[TripKey],Tickets[VehClean]),""))</f>
        <v/>
      </c>
      <c r="I2097">
        <f>IF(A2097="","",IFERROR(XLOOKUP(A2097,Tickets[TripKey],Tickets[RouteLen]),0))</f>
        <v/>
      </c>
      <c r="J2097">
        <f>IF(A2097="","",IFERROR(XLOOKUP(A2097,Tickets[TripKey],Tickets[Capacity]),0))</f>
        <v/>
      </c>
      <c r="K2097">
        <f>IF(A2097="","",I2097*J2097)</f>
        <v/>
      </c>
      <c r="L2097">
        <f>IF(A2097="","",IFERROR(MINIFS(Tickets[Trip Start Time],Tickets[TripKey],A2097),""))</f>
        <v/>
      </c>
    </row>
    <row r="2098">
      <c r="B2098" s="8">
        <f>IF(A2098="","",IFERROR(DATEVALUE(TEXTBEFORE(A2098,"|")),--LEFT(A2098,10)))</f>
        <v/>
      </c>
      <c r="C2098">
        <f>IF(A2098="","",TEXTBEFORE(TEXTAFTER(A2098,"|"),"|"))</f>
        <v/>
      </c>
      <c r="D2098">
        <f>IF(A2098="","",TEXTAFTER(A2098,"|",2))</f>
        <v/>
      </c>
      <c r="E2098">
        <f>IF(A2098="","",SUMIF(Tickets[TripKey],A2098,Tickets[TP]))</f>
        <v/>
      </c>
      <c r="F2098">
        <f>IF(A2098="","",SUMIF(Tickets[TripKey],A2098,Tickets[Revenue]))</f>
        <v/>
      </c>
      <c r="G2098">
        <f>IF(A2098="","",SUMIF(Tickets[TripKey],A2098,Tickets[PK]))</f>
        <v/>
      </c>
      <c r="H2098">
        <f>IF(A2098="","",IFERROR(XLOOKUP(A2098,Tickets[TripKey],Tickets[VehClean]),""))</f>
        <v/>
      </c>
      <c r="I2098">
        <f>IF(A2098="","",IFERROR(XLOOKUP(A2098,Tickets[TripKey],Tickets[RouteLen]),0))</f>
        <v/>
      </c>
      <c r="J2098">
        <f>IF(A2098="","",IFERROR(XLOOKUP(A2098,Tickets[TripKey],Tickets[Capacity]),0))</f>
        <v/>
      </c>
      <c r="K2098">
        <f>IF(A2098="","",I2098*J2098)</f>
        <v/>
      </c>
      <c r="L2098">
        <f>IF(A2098="","",IFERROR(MINIFS(Tickets[Trip Start Time],Tickets[TripKey],A2098),""))</f>
        <v/>
      </c>
    </row>
    <row r="2099">
      <c r="B2099" s="8">
        <f>IF(A2099="","",IFERROR(DATEVALUE(TEXTBEFORE(A2099,"|")),--LEFT(A2099,10)))</f>
        <v/>
      </c>
      <c r="C2099">
        <f>IF(A2099="","",TEXTBEFORE(TEXTAFTER(A2099,"|"),"|"))</f>
        <v/>
      </c>
      <c r="D2099">
        <f>IF(A2099="","",TEXTAFTER(A2099,"|",2))</f>
        <v/>
      </c>
      <c r="E2099">
        <f>IF(A2099="","",SUMIF(Tickets[TripKey],A2099,Tickets[TP]))</f>
        <v/>
      </c>
      <c r="F2099">
        <f>IF(A2099="","",SUMIF(Tickets[TripKey],A2099,Tickets[Revenue]))</f>
        <v/>
      </c>
      <c r="G2099">
        <f>IF(A2099="","",SUMIF(Tickets[TripKey],A2099,Tickets[PK]))</f>
        <v/>
      </c>
      <c r="H2099">
        <f>IF(A2099="","",IFERROR(XLOOKUP(A2099,Tickets[TripKey],Tickets[VehClean]),""))</f>
        <v/>
      </c>
      <c r="I2099">
        <f>IF(A2099="","",IFERROR(XLOOKUP(A2099,Tickets[TripKey],Tickets[RouteLen]),0))</f>
        <v/>
      </c>
      <c r="J2099">
        <f>IF(A2099="","",IFERROR(XLOOKUP(A2099,Tickets[TripKey],Tickets[Capacity]),0))</f>
        <v/>
      </c>
      <c r="K2099">
        <f>IF(A2099="","",I2099*J2099)</f>
        <v/>
      </c>
      <c r="L2099">
        <f>IF(A2099="","",IFERROR(MINIFS(Tickets[Trip Start Time],Tickets[TripKey],A2099),""))</f>
        <v/>
      </c>
    </row>
    <row r="2100">
      <c r="B2100" s="8">
        <f>IF(A2100="","",IFERROR(DATEVALUE(TEXTBEFORE(A2100,"|")),--LEFT(A2100,10)))</f>
        <v/>
      </c>
      <c r="C2100">
        <f>IF(A2100="","",TEXTBEFORE(TEXTAFTER(A2100,"|"),"|"))</f>
        <v/>
      </c>
      <c r="D2100">
        <f>IF(A2100="","",TEXTAFTER(A2100,"|",2))</f>
        <v/>
      </c>
      <c r="E2100">
        <f>IF(A2100="","",SUMIF(Tickets[TripKey],A2100,Tickets[TP]))</f>
        <v/>
      </c>
      <c r="F2100">
        <f>IF(A2100="","",SUMIF(Tickets[TripKey],A2100,Tickets[Revenue]))</f>
        <v/>
      </c>
      <c r="G2100">
        <f>IF(A2100="","",SUMIF(Tickets[TripKey],A2100,Tickets[PK]))</f>
        <v/>
      </c>
      <c r="H2100">
        <f>IF(A2100="","",IFERROR(XLOOKUP(A2100,Tickets[TripKey],Tickets[VehClean]),""))</f>
        <v/>
      </c>
      <c r="I2100">
        <f>IF(A2100="","",IFERROR(XLOOKUP(A2100,Tickets[TripKey],Tickets[RouteLen]),0))</f>
        <v/>
      </c>
      <c r="J2100">
        <f>IF(A2100="","",IFERROR(XLOOKUP(A2100,Tickets[TripKey],Tickets[Capacity]),0))</f>
        <v/>
      </c>
      <c r="K2100">
        <f>IF(A2100="","",I2100*J2100)</f>
        <v/>
      </c>
      <c r="L2100">
        <f>IF(A2100="","",IFERROR(MINIFS(Tickets[Trip Start Time],Tickets[TripKey],A2100),""))</f>
        <v/>
      </c>
    </row>
    <row r="2101">
      <c r="B2101" s="8">
        <f>IF(A2101="","",IFERROR(DATEVALUE(TEXTBEFORE(A2101,"|")),--LEFT(A2101,10)))</f>
        <v/>
      </c>
      <c r="C2101">
        <f>IF(A2101="","",TEXTBEFORE(TEXTAFTER(A2101,"|"),"|"))</f>
        <v/>
      </c>
      <c r="D2101">
        <f>IF(A2101="","",TEXTAFTER(A2101,"|",2))</f>
        <v/>
      </c>
      <c r="E2101">
        <f>IF(A2101="","",SUMIF(Tickets[TripKey],A2101,Tickets[TP]))</f>
        <v/>
      </c>
      <c r="F2101">
        <f>IF(A2101="","",SUMIF(Tickets[TripKey],A2101,Tickets[Revenue]))</f>
        <v/>
      </c>
      <c r="G2101">
        <f>IF(A2101="","",SUMIF(Tickets[TripKey],A2101,Tickets[PK]))</f>
        <v/>
      </c>
      <c r="H2101">
        <f>IF(A2101="","",IFERROR(XLOOKUP(A2101,Tickets[TripKey],Tickets[VehClean]),""))</f>
        <v/>
      </c>
      <c r="I2101">
        <f>IF(A2101="","",IFERROR(XLOOKUP(A2101,Tickets[TripKey],Tickets[RouteLen]),0))</f>
        <v/>
      </c>
      <c r="J2101">
        <f>IF(A2101="","",IFERROR(XLOOKUP(A2101,Tickets[TripKey],Tickets[Capacity]),0))</f>
        <v/>
      </c>
      <c r="K2101">
        <f>IF(A2101="","",I2101*J2101)</f>
        <v/>
      </c>
      <c r="L2101">
        <f>IF(A2101="","",IFERROR(MINIFS(Tickets[Trip Start Time],Tickets[TripKey],A2101),""))</f>
        <v/>
      </c>
    </row>
    <row r="2102">
      <c r="B2102" s="8">
        <f>IF(A2102="","",IFERROR(DATEVALUE(TEXTBEFORE(A2102,"|")),--LEFT(A2102,10)))</f>
        <v/>
      </c>
      <c r="C2102">
        <f>IF(A2102="","",TEXTBEFORE(TEXTAFTER(A2102,"|"),"|"))</f>
        <v/>
      </c>
      <c r="D2102">
        <f>IF(A2102="","",TEXTAFTER(A2102,"|",2))</f>
        <v/>
      </c>
      <c r="E2102">
        <f>IF(A2102="","",SUMIF(Tickets[TripKey],A2102,Tickets[TP]))</f>
        <v/>
      </c>
      <c r="F2102">
        <f>IF(A2102="","",SUMIF(Tickets[TripKey],A2102,Tickets[Revenue]))</f>
        <v/>
      </c>
      <c r="G2102">
        <f>IF(A2102="","",SUMIF(Tickets[TripKey],A2102,Tickets[PK]))</f>
        <v/>
      </c>
      <c r="H2102">
        <f>IF(A2102="","",IFERROR(XLOOKUP(A2102,Tickets[TripKey],Tickets[VehClean]),""))</f>
        <v/>
      </c>
      <c r="I2102">
        <f>IF(A2102="","",IFERROR(XLOOKUP(A2102,Tickets[TripKey],Tickets[RouteLen]),0))</f>
        <v/>
      </c>
      <c r="J2102">
        <f>IF(A2102="","",IFERROR(XLOOKUP(A2102,Tickets[TripKey],Tickets[Capacity]),0))</f>
        <v/>
      </c>
      <c r="K2102">
        <f>IF(A2102="","",I2102*J2102)</f>
        <v/>
      </c>
      <c r="L2102">
        <f>IF(A2102="","",IFERROR(MINIFS(Tickets[Trip Start Time],Tickets[TripKey],A2102),""))</f>
        <v/>
      </c>
    </row>
    <row r="2103">
      <c r="B2103" s="8">
        <f>IF(A2103="","",IFERROR(DATEVALUE(TEXTBEFORE(A2103,"|")),--LEFT(A2103,10)))</f>
        <v/>
      </c>
      <c r="C2103">
        <f>IF(A2103="","",TEXTBEFORE(TEXTAFTER(A2103,"|"),"|"))</f>
        <v/>
      </c>
      <c r="D2103">
        <f>IF(A2103="","",TEXTAFTER(A2103,"|",2))</f>
        <v/>
      </c>
      <c r="E2103">
        <f>IF(A2103="","",SUMIF(Tickets[TripKey],A2103,Tickets[TP]))</f>
        <v/>
      </c>
      <c r="F2103">
        <f>IF(A2103="","",SUMIF(Tickets[TripKey],A2103,Tickets[Revenue]))</f>
        <v/>
      </c>
      <c r="G2103">
        <f>IF(A2103="","",SUMIF(Tickets[TripKey],A2103,Tickets[PK]))</f>
        <v/>
      </c>
      <c r="H2103">
        <f>IF(A2103="","",IFERROR(XLOOKUP(A2103,Tickets[TripKey],Tickets[VehClean]),""))</f>
        <v/>
      </c>
      <c r="I2103">
        <f>IF(A2103="","",IFERROR(XLOOKUP(A2103,Tickets[TripKey],Tickets[RouteLen]),0))</f>
        <v/>
      </c>
      <c r="J2103">
        <f>IF(A2103="","",IFERROR(XLOOKUP(A2103,Tickets[TripKey],Tickets[Capacity]),0))</f>
        <v/>
      </c>
      <c r="K2103">
        <f>IF(A2103="","",I2103*J2103)</f>
        <v/>
      </c>
      <c r="L2103">
        <f>IF(A2103="","",IFERROR(MINIFS(Tickets[Trip Start Time],Tickets[TripKey],A2103),""))</f>
        <v/>
      </c>
    </row>
    <row r="2104">
      <c r="B2104" s="8">
        <f>IF(A2104="","",IFERROR(DATEVALUE(TEXTBEFORE(A2104,"|")),--LEFT(A2104,10)))</f>
        <v/>
      </c>
      <c r="C2104">
        <f>IF(A2104="","",TEXTBEFORE(TEXTAFTER(A2104,"|"),"|"))</f>
        <v/>
      </c>
      <c r="D2104">
        <f>IF(A2104="","",TEXTAFTER(A2104,"|",2))</f>
        <v/>
      </c>
      <c r="E2104">
        <f>IF(A2104="","",SUMIF(Tickets[TripKey],A2104,Tickets[TP]))</f>
        <v/>
      </c>
      <c r="F2104">
        <f>IF(A2104="","",SUMIF(Tickets[TripKey],A2104,Tickets[Revenue]))</f>
        <v/>
      </c>
      <c r="G2104">
        <f>IF(A2104="","",SUMIF(Tickets[TripKey],A2104,Tickets[PK]))</f>
        <v/>
      </c>
      <c r="H2104">
        <f>IF(A2104="","",IFERROR(XLOOKUP(A2104,Tickets[TripKey],Tickets[VehClean]),""))</f>
        <v/>
      </c>
      <c r="I2104">
        <f>IF(A2104="","",IFERROR(XLOOKUP(A2104,Tickets[TripKey],Tickets[RouteLen]),0))</f>
        <v/>
      </c>
      <c r="J2104">
        <f>IF(A2104="","",IFERROR(XLOOKUP(A2104,Tickets[TripKey],Tickets[Capacity]),0))</f>
        <v/>
      </c>
      <c r="K2104">
        <f>IF(A2104="","",I2104*J2104)</f>
        <v/>
      </c>
      <c r="L2104">
        <f>IF(A2104="","",IFERROR(MINIFS(Tickets[Trip Start Time],Tickets[TripKey],A2104),""))</f>
        <v/>
      </c>
    </row>
    <row r="2105">
      <c r="B2105" s="8">
        <f>IF(A2105="","",IFERROR(DATEVALUE(TEXTBEFORE(A2105,"|")),--LEFT(A2105,10)))</f>
        <v/>
      </c>
      <c r="C2105">
        <f>IF(A2105="","",TEXTBEFORE(TEXTAFTER(A2105,"|"),"|"))</f>
        <v/>
      </c>
      <c r="D2105">
        <f>IF(A2105="","",TEXTAFTER(A2105,"|",2))</f>
        <v/>
      </c>
      <c r="E2105">
        <f>IF(A2105="","",SUMIF(Tickets[TripKey],A2105,Tickets[TP]))</f>
        <v/>
      </c>
      <c r="F2105">
        <f>IF(A2105="","",SUMIF(Tickets[TripKey],A2105,Tickets[Revenue]))</f>
        <v/>
      </c>
      <c r="G2105">
        <f>IF(A2105="","",SUMIF(Tickets[TripKey],A2105,Tickets[PK]))</f>
        <v/>
      </c>
      <c r="H2105">
        <f>IF(A2105="","",IFERROR(XLOOKUP(A2105,Tickets[TripKey],Tickets[VehClean]),""))</f>
        <v/>
      </c>
      <c r="I2105">
        <f>IF(A2105="","",IFERROR(XLOOKUP(A2105,Tickets[TripKey],Tickets[RouteLen]),0))</f>
        <v/>
      </c>
      <c r="J2105">
        <f>IF(A2105="","",IFERROR(XLOOKUP(A2105,Tickets[TripKey],Tickets[Capacity]),0))</f>
        <v/>
      </c>
      <c r="K2105">
        <f>IF(A2105="","",I2105*J2105)</f>
        <v/>
      </c>
      <c r="L2105">
        <f>IF(A2105="","",IFERROR(MINIFS(Tickets[Trip Start Time],Tickets[TripKey],A2105),""))</f>
        <v/>
      </c>
    </row>
    <row r="2106">
      <c r="B2106" s="8">
        <f>IF(A2106="","",IFERROR(DATEVALUE(TEXTBEFORE(A2106,"|")),--LEFT(A2106,10)))</f>
        <v/>
      </c>
      <c r="C2106">
        <f>IF(A2106="","",TEXTBEFORE(TEXTAFTER(A2106,"|"),"|"))</f>
        <v/>
      </c>
      <c r="D2106">
        <f>IF(A2106="","",TEXTAFTER(A2106,"|",2))</f>
        <v/>
      </c>
      <c r="E2106">
        <f>IF(A2106="","",SUMIF(Tickets[TripKey],A2106,Tickets[TP]))</f>
        <v/>
      </c>
      <c r="F2106">
        <f>IF(A2106="","",SUMIF(Tickets[TripKey],A2106,Tickets[Revenue]))</f>
        <v/>
      </c>
      <c r="G2106">
        <f>IF(A2106="","",SUMIF(Tickets[TripKey],A2106,Tickets[PK]))</f>
        <v/>
      </c>
      <c r="H2106">
        <f>IF(A2106="","",IFERROR(XLOOKUP(A2106,Tickets[TripKey],Tickets[VehClean]),""))</f>
        <v/>
      </c>
      <c r="I2106">
        <f>IF(A2106="","",IFERROR(XLOOKUP(A2106,Tickets[TripKey],Tickets[RouteLen]),0))</f>
        <v/>
      </c>
      <c r="J2106">
        <f>IF(A2106="","",IFERROR(XLOOKUP(A2106,Tickets[TripKey],Tickets[Capacity]),0))</f>
        <v/>
      </c>
      <c r="K2106">
        <f>IF(A2106="","",I2106*J2106)</f>
        <v/>
      </c>
      <c r="L2106">
        <f>IF(A2106="","",IFERROR(MINIFS(Tickets[Trip Start Time],Tickets[TripKey],A2106),""))</f>
        <v/>
      </c>
    </row>
    <row r="2107">
      <c r="B2107" s="8">
        <f>IF(A2107="","",IFERROR(DATEVALUE(TEXTBEFORE(A2107,"|")),--LEFT(A2107,10)))</f>
        <v/>
      </c>
      <c r="C2107">
        <f>IF(A2107="","",TEXTBEFORE(TEXTAFTER(A2107,"|"),"|"))</f>
        <v/>
      </c>
      <c r="D2107">
        <f>IF(A2107="","",TEXTAFTER(A2107,"|",2))</f>
        <v/>
      </c>
      <c r="E2107">
        <f>IF(A2107="","",SUMIF(Tickets[TripKey],A2107,Tickets[TP]))</f>
        <v/>
      </c>
      <c r="F2107">
        <f>IF(A2107="","",SUMIF(Tickets[TripKey],A2107,Tickets[Revenue]))</f>
        <v/>
      </c>
      <c r="G2107">
        <f>IF(A2107="","",SUMIF(Tickets[TripKey],A2107,Tickets[PK]))</f>
        <v/>
      </c>
      <c r="H2107">
        <f>IF(A2107="","",IFERROR(XLOOKUP(A2107,Tickets[TripKey],Tickets[VehClean]),""))</f>
        <v/>
      </c>
      <c r="I2107">
        <f>IF(A2107="","",IFERROR(XLOOKUP(A2107,Tickets[TripKey],Tickets[RouteLen]),0))</f>
        <v/>
      </c>
      <c r="J2107">
        <f>IF(A2107="","",IFERROR(XLOOKUP(A2107,Tickets[TripKey],Tickets[Capacity]),0))</f>
        <v/>
      </c>
      <c r="K2107">
        <f>IF(A2107="","",I2107*J2107)</f>
        <v/>
      </c>
      <c r="L2107">
        <f>IF(A2107="","",IFERROR(MINIFS(Tickets[Trip Start Time],Tickets[TripKey],A2107),""))</f>
        <v/>
      </c>
    </row>
    <row r="2108">
      <c r="B2108" s="8">
        <f>IF(A2108="","",IFERROR(DATEVALUE(TEXTBEFORE(A2108,"|")),--LEFT(A2108,10)))</f>
        <v/>
      </c>
      <c r="C2108">
        <f>IF(A2108="","",TEXTBEFORE(TEXTAFTER(A2108,"|"),"|"))</f>
        <v/>
      </c>
      <c r="D2108">
        <f>IF(A2108="","",TEXTAFTER(A2108,"|",2))</f>
        <v/>
      </c>
      <c r="E2108">
        <f>IF(A2108="","",SUMIF(Tickets[TripKey],A2108,Tickets[TP]))</f>
        <v/>
      </c>
      <c r="F2108">
        <f>IF(A2108="","",SUMIF(Tickets[TripKey],A2108,Tickets[Revenue]))</f>
        <v/>
      </c>
      <c r="G2108">
        <f>IF(A2108="","",SUMIF(Tickets[TripKey],A2108,Tickets[PK]))</f>
        <v/>
      </c>
      <c r="H2108">
        <f>IF(A2108="","",IFERROR(XLOOKUP(A2108,Tickets[TripKey],Tickets[VehClean]),""))</f>
        <v/>
      </c>
      <c r="I2108">
        <f>IF(A2108="","",IFERROR(XLOOKUP(A2108,Tickets[TripKey],Tickets[RouteLen]),0))</f>
        <v/>
      </c>
      <c r="J2108">
        <f>IF(A2108="","",IFERROR(XLOOKUP(A2108,Tickets[TripKey],Tickets[Capacity]),0))</f>
        <v/>
      </c>
      <c r="K2108">
        <f>IF(A2108="","",I2108*J2108)</f>
        <v/>
      </c>
      <c r="L2108">
        <f>IF(A2108="","",IFERROR(MINIFS(Tickets[Trip Start Time],Tickets[TripKey],A2108),""))</f>
        <v/>
      </c>
    </row>
    <row r="2109">
      <c r="B2109" s="8">
        <f>IF(A2109="","",IFERROR(DATEVALUE(TEXTBEFORE(A2109,"|")),--LEFT(A2109,10)))</f>
        <v/>
      </c>
      <c r="C2109">
        <f>IF(A2109="","",TEXTBEFORE(TEXTAFTER(A2109,"|"),"|"))</f>
        <v/>
      </c>
      <c r="D2109">
        <f>IF(A2109="","",TEXTAFTER(A2109,"|",2))</f>
        <v/>
      </c>
      <c r="E2109">
        <f>IF(A2109="","",SUMIF(Tickets[TripKey],A2109,Tickets[TP]))</f>
        <v/>
      </c>
      <c r="F2109">
        <f>IF(A2109="","",SUMIF(Tickets[TripKey],A2109,Tickets[Revenue]))</f>
        <v/>
      </c>
      <c r="G2109">
        <f>IF(A2109="","",SUMIF(Tickets[TripKey],A2109,Tickets[PK]))</f>
        <v/>
      </c>
      <c r="H2109">
        <f>IF(A2109="","",IFERROR(XLOOKUP(A2109,Tickets[TripKey],Tickets[VehClean]),""))</f>
        <v/>
      </c>
      <c r="I2109">
        <f>IF(A2109="","",IFERROR(XLOOKUP(A2109,Tickets[TripKey],Tickets[RouteLen]),0))</f>
        <v/>
      </c>
      <c r="J2109">
        <f>IF(A2109="","",IFERROR(XLOOKUP(A2109,Tickets[TripKey],Tickets[Capacity]),0))</f>
        <v/>
      </c>
      <c r="K2109">
        <f>IF(A2109="","",I2109*J2109)</f>
        <v/>
      </c>
      <c r="L2109">
        <f>IF(A2109="","",IFERROR(MINIFS(Tickets[Trip Start Time],Tickets[TripKey],A2109),""))</f>
        <v/>
      </c>
    </row>
    <row r="2110">
      <c r="B2110" s="8">
        <f>IF(A2110="","",IFERROR(DATEVALUE(TEXTBEFORE(A2110,"|")),--LEFT(A2110,10)))</f>
        <v/>
      </c>
      <c r="C2110">
        <f>IF(A2110="","",TEXTBEFORE(TEXTAFTER(A2110,"|"),"|"))</f>
        <v/>
      </c>
      <c r="D2110">
        <f>IF(A2110="","",TEXTAFTER(A2110,"|",2))</f>
        <v/>
      </c>
      <c r="E2110">
        <f>IF(A2110="","",SUMIF(Tickets[TripKey],A2110,Tickets[TP]))</f>
        <v/>
      </c>
      <c r="F2110">
        <f>IF(A2110="","",SUMIF(Tickets[TripKey],A2110,Tickets[Revenue]))</f>
        <v/>
      </c>
      <c r="G2110">
        <f>IF(A2110="","",SUMIF(Tickets[TripKey],A2110,Tickets[PK]))</f>
        <v/>
      </c>
      <c r="H2110">
        <f>IF(A2110="","",IFERROR(XLOOKUP(A2110,Tickets[TripKey],Tickets[VehClean]),""))</f>
        <v/>
      </c>
      <c r="I2110">
        <f>IF(A2110="","",IFERROR(XLOOKUP(A2110,Tickets[TripKey],Tickets[RouteLen]),0))</f>
        <v/>
      </c>
      <c r="J2110">
        <f>IF(A2110="","",IFERROR(XLOOKUP(A2110,Tickets[TripKey],Tickets[Capacity]),0))</f>
        <v/>
      </c>
      <c r="K2110">
        <f>IF(A2110="","",I2110*J2110)</f>
        <v/>
      </c>
      <c r="L2110">
        <f>IF(A2110="","",IFERROR(MINIFS(Tickets[Trip Start Time],Tickets[TripKey],A2110),""))</f>
        <v/>
      </c>
    </row>
    <row r="2111">
      <c r="B2111" s="8">
        <f>IF(A2111="","",IFERROR(DATEVALUE(TEXTBEFORE(A2111,"|")),--LEFT(A2111,10)))</f>
        <v/>
      </c>
      <c r="C2111">
        <f>IF(A2111="","",TEXTBEFORE(TEXTAFTER(A2111,"|"),"|"))</f>
        <v/>
      </c>
      <c r="D2111">
        <f>IF(A2111="","",TEXTAFTER(A2111,"|",2))</f>
        <v/>
      </c>
      <c r="E2111">
        <f>IF(A2111="","",SUMIF(Tickets[TripKey],A2111,Tickets[TP]))</f>
        <v/>
      </c>
      <c r="F2111">
        <f>IF(A2111="","",SUMIF(Tickets[TripKey],A2111,Tickets[Revenue]))</f>
        <v/>
      </c>
      <c r="G2111">
        <f>IF(A2111="","",SUMIF(Tickets[TripKey],A2111,Tickets[PK]))</f>
        <v/>
      </c>
      <c r="H2111">
        <f>IF(A2111="","",IFERROR(XLOOKUP(A2111,Tickets[TripKey],Tickets[VehClean]),""))</f>
        <v/>
      </c>
      <c r="I2111">
        <f>IF(A2111="","",IFERROR(XLOOKUP(A2111,Tickets[TripKey],Tickets[RouteLen]),0))</f>
        <v/>
      </c>
      <c r="J2111">
        <f>IF(A2111="","",IFERROR(XLOOKUP(A2111,Tickets[TripKey],Tickets[Capacity]),0))</f>
        <v/>
      </c>
      <c r="K2111">
        <f>IF(A2111="","",I2111*J2111)</f>
        <v/>
      </c>
      <c r="L2111">
        <f>IF(A2111="","",IFERROR(MINIFS(Tickets[Trip Start Time],Tickets[TripKey],A2111),""))</f>
        <v/>
      </c>
    </row>
    <row r="2112">
      <c r="B2112" s="8">
        <f>IF(A2112="","",IFERROR(DATEVALUE(TEXTBEFORE(A2112,"|")),--LEFT(A2112,10)))</f>
        <v/>
      </c>
      <c r="C2112">
        <f>IF(A2112="","",TEXTBEFORE(TEXTAFTER(A2112,"|"),"|"))</f>
        <v/>
      </c>
      <c r="D2112">
        <f>IF(A2112="","",TEXTAFTER(A2112,"|",2))</f>
        <v/>
      </c>
      <c r="E2112">
        <f>IF(A2112="","",SUMIF(Tickets[TripKey],A2112,Tickets[TP]))</f>
        <v/>
      </c>
      <c r="F2112">
        <f>IF(A2112="","",SUMIF(Tickets[TripKey],A2112,Tickets[Revenue]))</f>
        <v/>
      </c>
      <c r="G2112">
        <f>IF(A2112="","",SUMIF(Tickets[TripKey],A2112,Tickets[PK]))</f>
        <v/>
      </c>
      <c r="H2112">
        <f>IF(A2112="","",IFERROR(XLOOKUP(A2112,Tickets[TripKey],Tickets[VehClean]),""))</f>
        <v/>
      </c>
      <c r="I2112">
        <f>IF(A2112="","",IFERROR(XLOOKUP(A2112,Tickets[TripKey],Tickets[RouteLen]),0))</f>
        <v/>
      </c>
      <c r="J2112">
        <f>IF(A2112="","",IFERROR(XLOOKUP(A2112,Tickets[TripKey],Tickets[Capacity]),0))</f>
        <v/>
      </c>
      <c r="K2112">
        <f>IF(A2112="","",I2112*J2112)</f>
        <v/>
      </c>
      <c r="L2112">
        <f>IF(A2112="","",IFERROR(MINIFS(Tickets[Trip Start Time],Tickets[TripKey],A2112),""))</f>
        <v/>
      </c>
    </row>
    <row r="2113">
      <c r="B2113" s="8">
        <f>IF(A2113="","",IFERROR(DATEVALUE(TEXTBEFORE(A2113,"|")),--LEFT(A2113,10)))</f>
        <v/>
      </c>
      <c r="C2113">
        <f>IF(A2113="","",TEXTBEFORE(TEXTAFTER(A2113,"|"),"|"))</f>
        <v/>
      </c>
      <c r="D2113">
        <f>IF(A2113="","",TEXTAFTER(A2113,"|",2))</f>
        <v/>
      </c>
      <c r="E2113">
        <f>IF(A2113="","",SUMIF(Tickets[TripKey],A2113,Tickets[TP]))</f>
        <v/>
      </c>
      <c r="F2113">
        <f>IF(A2113="","",SUMIF(Tickets[TripKey],A2113,Tickets[Revenue]))</f>
        <v/>
      </c>
      <c r="G2113">
        <f>IF(A2113="","",SUMIF(Tickets[TripKey],A2113,Tickets[PK]))</f>
        <v/>
      </c>
      <c r="H2113">
        <f>IF(A2113="","",IFERROR(XLOOKUP(A2113,Tickets[TripKey],Tickets[VehClean]),""))</f>
        <v/>
      </c>
      <c r="I2113">
        <f>IF(A2113="","",IFERROR(XLOOKUP(A2113,Tickets[TripKey],Tickets[RouteLen]),0))</f>
        <v/>
      </c>
      <c r="J2113">
        <f>IF(A2113="","",IFERROR(XLOOKUP(A2113,Tickets[TripKey],Tickets[Capacity]),0))</f>
        <v/>
      </c>
      <c r="K2113">
        <f>IF(A2113="","",I2113*J2113)</f>
        <v/>
      </c>
      <c r="L2113">
        <f>IF(A2113="","",IFERROR(MINIFS(Tickets[Trip Start Time],Tickets[TripKey],A2113),""))</f>
        <v/>
      </c>
    </row>
    <row r="2114">
      <c r="B2114" s="8">
        <f>IF(A2114="","",IFERROR(DATEVALUE(TEXTBEFORE(A2114,"|")),--LEFT(A2114,10)))</f>
        <v/>
      </c>
      <c r="C2114">
        <f>IF(A2114="","",TEXTBEFORE(TEXTAFTER(A2114,"|"),"|"))</f>
        <v/>
      </c>
      <c r="D2114">
        <f>IF(A2114="","",TEXTAFTER(A2114,"|",2))</f>
        <v/>
      </c>
      <c r="E2114">
        <f>IF(A2114="","",SUMIF(Tickets[TripKey],A2114,Tickets[TP]))</f>
        <v/>
      </c>
      <c r="F2114">
        <f>IF(A2114="","",SUMIF(Tickets[TripKey],A2114,Tickets[Revenue]))</f>
        <v/>
      </c>
      <c r="G2114">
        <f>IF(A2114="","",SUMIF(Tickets[TripKey],A2114,Tickets[PK]))</f>
        <v/>
      </c>
      <c r="H2114">
        <f>IF(A2114="","",IFERROR(XLOOKUP(A2114,Tickets[TripKey],Tickets[VehClean]),""))</f>
        <v/>
      </c>
      <c r="I2114">
        <f>IF(A2114="","",IFERROR(XLOOKUP(A2114,Tickets[TripKey],Tickets[RouteLen]),0))</f>
        <v/>
      </c>
      <c r="J2114">
        <f>IF(A2114="","",IFERROR(XLOOKUP(A2114,Tickets[TripKey],Tickets[Capacity]),0))</f>
        <v/>
      </c>
      <c r="K2114">
        <f>IF(A2114="","",I2114*J2114)</f>
        <v/>
      </c>
      <c r="L2114">
        <f>IF(A2114="","",IFERROR(MINIFS(Tickets[Trip Start Time],Tickets[TripKey],A2114),""))</f>
        <v/>
      </c>
    </row>
    <row r="2115">
      <c r="B2115" s="8">
        <f>IF(A2115="","",IFERROR(DATEVALUE(TEXTBEFORE(A2115,"|")),--LEFT(A2115,10)))</f>
        <v/>
      </c>
      <c r="C2115">
        <f>IF(A2115="","",TEXTBEFORE(TEXTAFTER(A2115,"|"),"|"))</f>
        <v/>
      </c>
      <c r="D2115">
        <f>IF(A2115="","",TEXTAFTER(A2115,"|",2))</f>
        <v/>
      </c>
      <c r="E2115">
        <f>IF(A2115="","",SUMIF(Tickets[TripKey],A2115,Tickets[TP]))</f>
        <v/>
      </c>
      <c r="F2115">
        <f>IF(A2115="","",SUMIF(Tickets[TripKey],A2115,Tickets[Revenue]))</f>
        <v/>
      </c>
      <c r="G2115">
        <f>IF(A2115="","",SUMIF(Tickets[TripKey],A2115,Tickets[PK]))</f>
        <v/>
      </c>
      <c r="H2115">
        <f>IF(A2115="","",IFERROR(XLOOKUP(A2115,Tickets[TripKey],Tickets[VehClean]),""))</f>
        <v/>
      </c>
      <c r="I2115">
        <f>IF(A2115="","",IFERROR(XLOOKUP(A2115,Tickets[TripKey],Tickets[RouteLen]),0))</f>
        <v/>
      </c>
      <c r="J2115">
        <f>IF(A2115="","",IFERROR(XLOOKUP(A2115,Tickets[TripKey],Tickets[Capacity]),0))</f>
        <v/>
      </c>
      <c r="K2115">
        <f>IF(A2115="","",I2115*J2115)</f>
        <v/>
      </c>
      <c r="L2115">
        <f>IF(A2115="","",IFERROR(MINIFS(Tickets[Trip Start Time],Tickets[TripKey],A2115),""))</f>
        <v/>
      </c>
    </row>
    <row r="2116">
      <c r="B2116" s="8">
        <f>IF(A2116="","",IFERROR(DATEVALUE(TEXTBEFORE(A2116,"|")),--LEFT(A2116,10)))</f>
        <v/>
      </c>
      <c r="C2116">
        <f>IF(A2116="","",TEXTBEFORE(TEXTAFTER(A2116,"|"),"|"))</f>
        <v/>
      </c>
      <c r="D2116">
        <f>IF(A2116="","",TEXTAFTER(A2116,"|",2))</f>
        <v/>
      </c>
      <c r="E2116">
        <f>IF(A2116="","",SUMIF(Tickets[TripKey],A2116,Tickets[TP]))</f>
        <v/>
      </c>
      <c r="F2116">
        <f>IF(A2116="","",SUMIF(Tickets[TripKey],A2116,Tickets[Revenue]))</f>
        <v/>
      </c>
      <c r="G2116">
        <f>IF(A2116="","",SUMIF(Tickets[TripKey],A2116,Tickets[PK]))</f>
        <v/>
      </c>
      <c r="H2116">
        <f>IF(A2116="","",IFERROR(XLOOKUP(A2116,Tickets[TripKey],Tickets[VehClean]),""))</f>
        <v/>
      </c>
      <c r="I2116">
        <f>IF(A2116="","",IFERROR(XLOOKUP(A2116,Tickets[TripKey],Tickets[RouteLen]),0))</f>
        <v/>
      </c>
      <c r="J2116">
        <f>IF(A2116="","",IFERROR(XLOOKUP(A2116,Tickets[TripKey],Tickets[Capacity]),0))</f>
        <v/>
      </c>
      <c r="K2116">
        <f>IF(A2116="","",I2116*J2116)</f>
        <v/>
      </c>
      <c r="L2116">
        <f>IF(A2116="","",IFERROR(MINIFS(Tickets[Trip Start Time],Tickets[TripKey],A2116),""))</f>
        <v/>
      </c>
    </row>
    <row r="2117">
      <c r="B2117" s="8">
        <f>IF(A2117="","",IFERROR(DATEVALUE(TEXTBEFORE(A2117,"|")),--LEFT(A2117,10)))</f>
        <v/>
      </c>
      <c r="C2117">
        <f>IF(A2117="","",TEXTBEFORE(TEXTAFTER(A2117,"|"),"|"))</f>
        <v/>
      </c>
      <c r="D2117">
        <f>IF(A2117="","",TEXTAFTER(A2117,"|",2))</f>
        <v/>
      </c>
      <c r="E2117">
        <f>IF(A2117="","",SUMIF(Tickets[TripKey],A2117,Tickets[TP]))</f>
        <v/>
      </c>
      <c r="F2117">
        <f>IF(A2117="","",SUMIF(Tickets[TripKey],A2117,Tickets[Revenue]))</f>
        <v/>
      </c>
      <c r="G2117">
        <f>IF(A2117="","",SUMIF(Tickets[TripKey],A2117,Tickets[PK]))</f>
        <v/>
      </c>
      <c r="H2117">
        <f>IF(A2117="","",IFERROR(XLOOKUP(A2117,Tickets[TripKey],Tickets[VehClean]),""))</f>
        <v/>
      </c>
      <c r="I2117">
        <f>IF(A2117="","",IFERROR(XLOOKUP(A2117,Tickets[TripKey],Tickets[RouteLen]),0))</f>
        <v/>
      </c>
      <c r="J2117">
        <f>IF(A2117="","",IFERROR(XLOOKUP(A2117,Tickets[TripKey],Tickets[Capacity]),0))</f>
        <v/>
      </c>
      <c r="K2117">
        <f>IF(A2117="","",I2117*J2117)</f>
        <v/>
      </c>
      <c r="L2117">
        <f>IF(A2117="","",IFERROR(MINIFS(Tickets[Trip Start Time],Tickets[TripKey],A2117),""))</f>
        <v/>
      </c>
    </row>
    <row r="2118">
      <c r="B2118" s="8">
        <f>IF(A2118="","",IFERROR(DATEVALUE(TEXTBEFORE(A2118,"|")),--LEFT(A2118,10)))</f>
        <v/>
      </c>
      <c r="C2118">
        <f>IF(A2118="","",TEXTBEFORE(TEXTAFTER(A2118,"|"),"|"))</f>
        <v/>
      </c>
      <c r="D2118">
        <f>IF(A2118="","",TEXTAFTER(A2118,"|",2))</f>
        <v/>
      </c>
      <c r="E2118">
        <f>IF(A2118="","",SUMIF(Tickets[TripKey],A2118,Tickets[TP]))</f>
        <v/>
      </c>
      <c r="F2118">
        <f>IF(A2118="","",SUMIF(Tickets[TripKey],A2118,Tickets[Revenue]))</f>
        <v/>
      </c>
      <c r="G2118">
        <f>IF(A2118="","",SUMIF(Tickets[TripKey],A2118,Tickets[PK]))</f>
        <v/>
      </c>
      <c r="H2118">
        <f>IF(A2118="","",IFERROR(XLOOKUP(A2118,Tickets[TripKey],Tickets[VehClean]),""))</f>
        <v/>
      </c>
      <c r="I2118">
        <f>IF(A2118="","",IFERROR(XLOOKUP(A2118,Tickets[TripKey],Tickets[RouteLen]),0))</f>
        <v/>
      </c>
      <c r="J2118">
        <f>IF(A2118="","",IFERROR(XLOOKUP(A2118,Tickets[TripKey],Tickets[Capacity]),0))</f>
        <v/>
      </c>
      <c r="K2118">
        <f>IF(A2118="","",I2118*J2118)</f>
        <v/>
      </c>
      <c r="L2118">
        <f>IF(A2118="","",IFERROR(MINIFS(Tickets[Trip Start Time],Tickets[TripKey],A2118),""))</f>
        <v/>
      </c>
    </row>
    <row r="2119">
      <c r="B2119" s="8">
        <f>IF(A2119="","",IFERROR(DATEVALUE(TEXTBEFORE(A2119,"|")),--LEFT(A2119,10)))</f>
        <v/>
      </c>
      <c r="C2119">
        <f>IF(A2119="","",TEXTBEFORE(TEXTAFTER(A2119,"|"),"|"))</f>
        <v/>
      </c>
      <c r="D2119">
        <f>IF(A2119="","",TEXTAFTER(A2119,"|",2))</f>
        <v/>
      </c>
      <c r="E2119">
        <f>IF(A2119="","",SUMIF(Tickets[TripKey],A2119,Tickets[TP]))</f>
        <v/>
      </c>
      <c r="F2119">
        <f>IF(A2119="","",SUMIF(Tickets[TripKey],A2119,Tickets[Revenue]))</f>
        <v/>
      </c>
      <c r="G2119">
        <f>IF(A2119="","",SUMIF(Tickets[TripKey],A2119,Tickets[PK]))</f>
        <v/>
      </c>
      <c r="H2119">
        <f>IF(A2119="","",IFERROR(XLOOKUP(A2119,Tickets[TripKey],Tickets[VehClean]),""))</f>
        <v/>
      </c>
      <c r="I2119">
        <f>IF(A2119="","",IFERROR(XLOOKUP(A2119,Tickets[TripKey],Tickets[RouteLen]),0))</f>
        <v/>
      </c>
      <c r="J2119">
        <f>IF(A2119="","",IFERROR(XLOOKUP(A2119,Tickets[TripKey],Tickets[Capacity]),0))</f>
        <v/>
      </c>
      <c r="K2119">
        <f>IF(A2119="","",I2119*J2119)</f>
        <v/>
      </c>
      <c r="L2119">
        <f>IF(A2119="","",IFERROR(MINIFS(Tickets[Trip Start Time],Tickets[TripKey],A2119),""))</f>
        <v/>
      </c>
    </row>
    <row r="2120">
      <c r="B2120" s="8">
        <f>IF(A2120="","",IFERROR(DATEVALUE(TEXTBEFORE(A2120,"|")),--LEFT(A2120,10)))</f>
        <v/>
      </c>
      <c r="C2120">
        <f>IF(A2120="","",TEXTBEFORE(TEXTAFTER(A2120,"|"),"|"))</f>
        <v/>
      </c>
      <c r="D2120">
        <f>IF(A2120="","",TEXTAFTER(A2120,"|",2))</f>
        <v/>
      </c>
      <c r="E2120">
        <f>IF(A2120="","",SUMIF(Tickets[TripKey],A2120,Tickets[TP]))</f>
        <v/>
      </c>
      <c r="F2120">
        <f>IF(A2120="","",SUMIF(Tickets[TripKey],A2120,Tickets[Revenue]))</f>
        <v/>
      </c>
      <c r="G2120">
        <f>IF(A2120="","",SUMIF(Tickets[TripKey],A2120,Tickets[PK]))</f>
        <v/>
      </c>
      <c r="H2120">
        <f>IF(A2120="","",IFERROR(XLOOKUP(A2120,Tickets[TripKey],Tickets[VehClean]),""))</f>
        <v/>
      </c>
      <c r="I2120">
        <f>IF(A2120="","",IFERROR(XLOOKUP(A2120,Tickets[TripKey],Tickets[RouteLen]),0))</f>
        <v/>
      </c>
      <c r="J2120">
        <f>IF(A2120="","",IFERROR(XLOOKUP(A2120,Tickets[TripKey],Tickets[Capacity]),0))</f>
        <v/>
      </c>
      <c r="K2120">
        <f>IF(A2120="","",I2120*J2120)</f>
        <v/>
      </c>
      <c r="L2120">
        <f>IF(A2120="","",IFERROR(MINIFS(Tickets[Trip Start Time],Tickets[TripKey],A2120),""))</f>
        <v/>
      </c>
    </row>
    <row r="2121">
      <c r="B2121" s="8">
        <f>IF(A2121="","",IFERROR(DATEVALUE(TEXTBEFORE(A2121,"|")),--LEFT(A2121,10)))</f>
        <v/>
      </c>
      <c r="C2121">
        <f>IF(A2121="","",TEXTBEFORE(TEXTAFTER(A2121,"|"),"|"))</f>
        <v/>
      </c>
      <c r="D2121">
        <f>IF(A2121="","",TEXTAFTER(A2121,"|",2))</f>
        <v/>
      </c>
      <c r="E2121">
        <f>IF(A2121="","",SUMIF(Tickets[TripKey],A2121,Tickets[TP]))</f>
        <v/>
      </c>
      <c r="F2121">
        <f>IF(A2121="","",SUMIF(Tickets[TripKey],A2121,Tickets[Revenue]))</f>
        <v/>
      </c>
      <c r="G2121">
        <f>IF(A2121="","",SUMIF(Tickets[TripKey],A2121,Tickets[PK]))</f>
        <v/>
      </c>
      <c r="H2121">
        <f>IF(A2121="","",IFERROR(XLOOKUP(A2121,Tickets[TripKey],Tickets[VehClean]),""))</f>
        <v/>
      </c>
      <c r="I2121">
        <f>IF(A2121="","",IFERROR(XLOOKUP(A2121,Tickets[TripKey],Tickets[RouteLen]),0))</f>
        <v/>
      </c>
      <c r="J2121">
        <f>IF(A2121="","",IFERROR(XLOOKUP(A2121,Tickets[TripKey],Tickets[Capacity]),0))</f>
        <v/>
      </c>
      <c r="K2121">
        <f>IF(A2121="","",I2121*J2121)</f>
        <v/>
      </c>
      <c r="L2121">
        <f>IF(A2121="","",IFERROR(MINIFS(Tickets[Trip Start Time],Tickets[TripKey],A2121),""))</f>
        <v/>
      </c>
    </row>
    <row r="2122">
      <c r="B2122" s="8">
        <f>IF(A2122="","",IFERROR(DATEVALUE(TEXTBEFORE(A2122,"|")),--LEFT(A2122,10)))</f>
        <v/>
      </c>
      <c r="C2122">
        <f>IF(A2122="","",TEXTBEFORE(TEXTAFTER(A2122,"|"),"|"))</f>
        <v/>
      </c>
      <c r="D2122">
        <f>IF(A2122="","",TEXTAFTER(A2122,"|",2))</f>
        <v/>
      </c>
      <c r="E2122">
        <f>IF(A2122="","",SUMIF(Tickets[TripKey],A2122,Tickets[TP]))</f>
        <v/>
      </c>
      <c r="F2122">
        <f>IF(A2122="","",SUMIF(Tickets[TripKey],A2122,Tickets[Revenue]))</f>
        <v/>
      </c>
      <c r="G2122">
        <f>IF(A2122="","",SUMIF(Tickets[TripKey],A2122,Tickets[PK]))</f>
        <v/>
      </c>
      <c r="H2122">
        <f>IF(A2122="","",IFERROR(XLOOKUP(A2122,Tickets[TripKey],Tickets[VehClean]),""))</f>
        <v/>
      </c>
      <c r="I2122">
        <f>IF(A2122="","",IFERROR(XLOOKUP(A2122,Tickets[TripKey],Tickets[RouteLen]),0))</f>
        <v/>
      </c>
      <c r="J2122">
        <f>IF(A2122="","",IFERROR(XLOOKUP(A2122,Tickets[TripKey],Tickets[Capacity]),0))</f>
        <v/>
      </c>
      <c r="K2122">
        <f>IF(A2122="","",I2122*J2122)</f>
        <v/>
      </c>
      <c r="L2122">
        <f>IF(A2122="","",IFERROR(MINIFS(Tickets[Trip Start Time],Tickets[TripKey],A2122),""))</f>
        <v/>
      </c>
    </row>
    <row r="2123">
      <c r="B2123" s="8">
        <f>IF(A2123="","",IFERROR(DATEVALUE(TEXTBEFORE(A2123,"|")),--LEFT(A2123,10)))</f>
        <v/>
      </c>
      <c r="C2123">
        <f>IF(A2123="","",TEXTBEFORE(TEXTAFTER(A2123,"|"),"|"))</f>
        <v/>
      </c>
      <c r="D2123">
        <f>IF(A2123="","",TEXTAFTER(A2123,"|",2))</f>
        <v/>
      </c>
      <c r="E2123">
        <f>IF(A2123="","",SUMIF(Tickets[TripKey],A2123,Tickets[TP]))</f>
        <v/>
      </c>
      <c r="F2123">
        <f>IF(A2123="","",SUMIF(Tickets[TripKey],A2123,Tickets[Revenue]))</f>
        <v/>
      </c>
      <c r="G2123">
        <f>IF(A2123="","",SUMIF(Tickets[TripKey],A2123,Tickets[PK]))</f>
        <v/>
      </c>
      <c r="H2123">
        <f>IF(A2123="","",IFERROR(XLOOKUP(A2123,Tickets[TripKey],Tickets[VehClean]),""))</f>
        <v/>
      </c>
      <c r="I2123">
        <f>IF(A2123="","",IFERROR(XLOOKUP(A2123,Tickets[TripKey],Tickets[RouteLen]),0))</f>
        <v/>
      </c>
      <c r="J2123">
        <f>IF(A2123="","",IFERROR(XLOOKUP(A2123,Tickets[TripKey],Tickets[Capacity]),0))</f>
        <v/>
      </c>
      <c r="K2123">
        <f>IF(A2123="","",I2123*J2123)</f>
        <v/>
      </c>
      <c r="L2123">
        <f>IF(A2123="","",IFERROR(MINIFS(Tickets[Trip Start Time],Tickets[TripKey],A2123),""))</f>
        <v/>
      </c>
    </row>
    <row r="2124">
      <c r="B2124" s="8">
        <f>IF(A2124="","",IFERROR(DATEVALUE(TEXTBEFORE(A2124,"|")),--LEFT(A2124,10)))</f>
        <v/>
      </c>
      <c r="C2124">
        <f>IF(A2124="","",TEXTBEFORE(TEXTAFTER(A2124,"|"),"|"))</f>
        <v/>
      </c>
      <c r="D2124">
        <f>IF(A2124="","",TEXTAFTER(A2124,"|",2))</f>
        <v/>
      </c>
      <c r="E2124">
        <f>IF(A2124="","",SUMIF(Tickets[TripKey],A2124,Tickets[TP]))</f>
        <v/>
      </c>
      <c r="F2124">
        <f>IF(A2124="","",SUMIF(Tickets[TripKey],A2124,Tickets[Revenue]))</f>
        <v/>
      </c>
      <c r="G2124">
        <f>IF(A2124="","",SUMIF(Tickets[TripKey],A2124,Tickets[PK]))</f>
        <v/>
      </c>
      <c r="H2124">
        <f>IF(A2124="","",IFERROR(XLOOKUP(A2124,Tickets[TripKey],Tickets[VehClean]),""))</f>
        <v/>
      </c>
      <c r="I2124">
        <f>IF(A2124="","",IFERROR(XLOOKUP(A2124,Tickets[TripKey],Tickets[RouteLen]),0))</f>
        <v/>
      </c>
      <c r="J2124">
        <f>IF(A2124="","",IFERROR(XLOOKUP(A2124,Tickets[TripKey],Tickets[Capacity]),0))</f>
        <v/>
      </c>
      <c r="K2124">
        <f>IF(A2124="","",I2124*J2124)</f>
        <v/>
      </c>
      <c r="L2124">
        <f>IF(A2124="","",IFERROR(MINIFS(Tickets[Trip Start Time],Tickets[TripKey],A2124),""))</f>
        <v/>
      </c>
    </row>
    <row r="2125">
      <c r="B2125" s="8">
        <f>IF(A2125="","",IFERROR(DATEVALUE(TEXTBEFORE(A2125,"|")),--LEFT(A2125,10)))</f>
        <v/>
      </c>
      <c r="C2125">
        <f>IF(A2125="","",TEXTBEFORE(TEXTAFTER(A2125,"|"),"|"))</f>
        <v/>
      </c>
      <c r="D2125">
        <f>IF(A2125="","",TEXTAFTER(A2125,"|",2))</f>
        <v/>
      </c>
      <c r="E2125">
        <f>IF(A2125="","",SUMIF(Tickets[TripKey],A2125,Tickets[TP]))</f>
        <v/>
      </c>
      <c r="F2125">
        <f>IF(A2125="","",SUMIF(Tickets[TripKey],A2125,Tickets[Revenue]))</f>
        <v/>
      </c>
      <c r="G2125">
        <f>IF(A2125="","",SUMIF(Tickets[TripKey],A2125,Tickets[PK]))</f>
        <v/>
      </c>
      <c r="H2125">
        <f>IF(A2125="","",IFERROR(XLOOKUP(A2125,Tickets[TripKey],Tickets[VehClean]),""))</f>
        <v/>
      </c>
      <c r="I2125">
        <f>IF(A2125="","",IFERROR(XLOOKUP(A2125,Tickets[TripKey],Tickets[RouteLen]),0))</f>
        <v/>
      </c>
      <c r="J2125">
        <f>IF(A2125="","",IFERROR(XLOOKUP(A2125,Tickets[TripKey],Tickets[Capacity]),0))</f>
        <v/>
      </c>
      <c r="K2125">
        <f>IF(A2125="","",I2125*J2125)</f>
        <v/>
      </c>
      <c r="L2125">
        <f>IF(A2125="","",IFERROR(MINIFS(Tickets[Trip Start Time],Tickets[TripKey],A2125),""))</f>
        <v/>
      </c>
    </row>
    <row r="2126">
      <c r="B2126" s="8">
        <f>IF(A2126="","",IFERROR(DATEVALUE(TEXTBEFORE(A2126,"|")),--LEFT(A2126,10)))</f>
        <v/>
      </c>
      <c r="C2126">
        <f>IF(A2126="","",TEXTBEFORE(TEXTAFTER(A2126,"|"),"|"))</f>
        <v/>
      </c>
      <c r="D2126">
        <f>IF(A2126="","",TEXTAFTER(A2126,"|",2))</f>
        <v/>
      </c>
      <c r="E2126">
        <f>IF(A2126="","",SUMIF(Tickets[TripKey],A2126,Tickets[TP]))</f>
        <v/>
      </c>
      <c r="F2126">
        <f>IF(A2126="","",SUMIF(Tickets[TripKey],A2126,Tickets[Revenue]))</f>
        <v/>
      </c>
      <c r="G2126">
        <f>IF(A2126="","",SUMIF(Tickets[TripKey],A2126,Tickets[PK]))</f>
        <v/>
      </c>
      <c r="H2126">
        <f>IF(A2126="","",IFERROR(XLOOKUP(A2126,Tickets[TripKey],Tickets[VehClean]),""))</f>
        <v/>
      </c>
      <c r="I2126">
        <f>IF(A2126="","",IFERROR(XLOOKUP(A2126,Tickets[TripKey],Tickets[RouteLen]),0))</f>
        <v/>
      </c>
      <c r="J2126">
        <f>IF(A2126="","",IFERROR(XLOOKUP(A2126,Tickets[TripKey],Tickets[Capacity]),0))</f>
        <v/>
      </c>
      <c r="K2126">
        <f>IF(A2126="","",I2126*J2126)</f>
        <v/>
      </c>
      <c r="L2126">
        <f>IF(A2126="","",IFERROR(MINIFS(Tickets[Trip Start Time],Tickets[TripKey],A2126),""))</f>
        <v/>
      </c>
    </row>
    <row r="2127">
      <c r="B2127" s="8">
        <f>IF(A2127="","",IFERROR(DATEVALUE(TEXTBEFORE(A2127,"|")),--LEFT(A2127,10)))</f>
        <v/>
      </c>
      <c r="C2127">
        <f>IF(A2127="","",TEXTBEFORE(TEXTAFTER(A2127,"|"),"|"))</f>
        <v/>
      </c>
      <c r="D2127">
        <f>IF(A2127="","",TEXTAFTER(A2127,"|",2))</f>
        <v/>
      </c>
      <c r="E2127">
        <f>IF(A2127="","",SUMIF(Tickets[TripKey],A2127,Tickets[TP]))</f>
        <v/>
      </c>
      <c r="F2127">
        <f>IF(A2127="","",SUMIF(Tickets[TripKey],A2127,Tickets[Revenue]))</f>
        <v/>
      </c>
      <c r="G2127">
        <f>IF(A2127="","",SUMIF(Tickets[TripKey],A2127,Tickets[PK]))</f>
        <v/>
      </c>
      <c r="H2127">
        <f>IF(A2127="","",IFERROR(XLOOKUP(A2127,Tickets[TripKey],Tickets[VehClean]),""))</f>
        <v/>
      </c>
      <c r="I2127">
        <f>IF(A2127="","",IFERROR(XLOOKUP(A2127,Tickets[TripKey],Tickets[RouteLen]),0))</f>
        <v/>
      </c>
      <c r="J2127">
        <f>IF(A2127="","",IFERROR(XLOOKUP(A2127,Tickets[TripKey],Tickets[Capacity]),0))</f>
        <v/>
      </c>
      <c r="K2127">
        <f>IF(A2127="","",I2127*J2127)</f>
        <v/>
      </c>
      <c r="L2127">
        <f>IF(A2127="","",IFERROR(MINIFS(Tickets[Trip Start Time],Tickets[TripKey],A2127),""))</f>
        <v/>
      </c>
    </row>
    <row r="2128">
      <c r="B2128" s="8">
        <f>IF(A2128="","",IFERROR(DATEVALUE(TEXTBEFORE(A2128,"|")),--LEFT(A2128,10)))</f>
        <v/>
      </c>
      <c r="C2128">
        <f>IF(A2128="","",TEXTBEFORE(TEXTAFTER(A2128,"|"),"|"))</f>
        <v/>
      </c>
      <c r="D2128">
        <f>IF(A2128="","",TEXTAFTER(A2128,"|",2))</f>
        <v/>
      </c>
      <c r="E2128">
        <f>IF(A2128="","",SUMIF(Tickets[TripKey],A2128,Tickets[TP]))</f>
        <v/>
      </c>
      <c r="F2128">
        <f>IF(A2128="","",SUMIF(Tickets[TripKey],A2128,Tickets[Revenue]))</f>
        <v/>
      </c>
      <c r="G2128">
        <f>IF(A2128="","",SUMIF(Tickets[TripKey],A2128,Tickets[PK]))</f>
        <v/>
      </c>
      <c r="H2128">
        <f>IF(A2128="","",IFERROR(XLOOKUP(A2128,Tickets[TripKey],Tickets[VehClean]),""))</f>
        <v/>
      </c>
      <c r="I2128">
        <f>IF(A2128="","",IFERROR(XLOOKUP(A2128,Tickets[TripKey],Tickets[RouteLen]),0))</f>
        <v/>
      </c>
      <c r="J2128">
        <f>IF(A2128="","",IFERROR(XLOOKUP(A2128,Tickets[TripKey],Tickets[Capacity]),0))</f>
        <v/>
      </c>
      <c r="K2128">
        <f>IF(A2128="","",I2128*J2128)</f>
        <v/>
      </c>
      <c r="L2128">
        <f>IF(A2128="","",IFERROR(MINIFS(Tickets[Trip Start Time],Tickets[TripKey],A2128),""))</f>
        <v/>
      </c>
    </row>
    <row r="2129">
      <c r="B2129" s="8">
        <f>IF(A2129="","",IFERROR(DATEVALUE(TEXTBEFORE(A2129,"|")),--LEFT(A2129,10)))</f>
        <v/>
      </c>
      <c r="C2129">
        <f>IF(A2129="","",TEXTBEFORE(TEXTAFTER(A2129,"|"),"|"))</f>
        <v/>
      </c>
      <c r="D2129">
        <f>IF(A2129="","",TEXTAFTER(A2129,"|",2))</f>
        <v/>
      </c>
      <c r="E2129">
        <f>IF(A2129="","",SUMIF(Tickets[TripKey],A2129,Tickets[TP]))</f>
        <v/>
      </c>
      <c r="F2129">
        <f>IF(A2129="","",SUMIF(Tickets[TripKey],A2129,Tickets[Revenue]))</f>
        <v/>
      </c>
      <c r="G2129">
        <f>IF(A2129="","",SUMIF(Tickets[TripKey],A2129,Tickets[PK]))</f>
        <v/>
      </c>
      <c r="H2129">
        <f>IF(A2129="","",IFERROR(XLOOKUP(A2129,Tickets[TripKey],Tickets[VehClean]),""))</f>
        <v/>
      </c>
      <c r="I2129">
        <f>IF(A2129="","",IFERROR(XLOOKUP(A2129,Tickets[TripKey],Tickets[RouteLen]),0))</f>
        <v/>
      </c>
      <c r="J2129">
        <f>IF(A2129="","",IFERROR(XLOOKUP(A2129,Tickets[TripKey],Tickets[Capacity]),0))</f>
        <v/>
      </c>
      <c r="K2129">
        <f>IF(A2129="","",I2129*J2129)</f>
        <v/>
      </c>
      <c r="L2129">
        <f>IF(A2129="","",IFERROR(MINIFS(Tickets[Trip Start Time],Tickets[TripKey],A2129),""))</f>
        <v/>
      </c>
    </row>
    <row r="2130">
      <c r="B2130" s="8">
        <f>IF(A2130="","",IFERROR(DATEVALUE(TEXTBEFORE(A2130,"|")),--LEFT(A2130,10)))</f>
        <v/>
      </c>
      <c r="C2130">
        <f>IF(A2130="","",TEXTBEFORE(TEXTAFTER(A2130,"|"),"|"))</f>
        <v/>
      </c>
      <c r="D2130">
        <f>IF(A2130="","",TEXTAFTER(A2130,"|",2))</f>
        <v/>
      </c>
      <c r="E2130">
        <f>IF(A2130="","",SUMIF(Tickets[TripKey],A2130,Tickets[TP]))</f>
        <v/>
      </c>
      <c r="F2130">
        <f>IF(A2130="","",SUMIF(Tickets[TripKey],A2130,Tickets[Revenue]))</f>
        <v/>
      </c>
      <c r="G2130">
        <f>IF(A2130="","",SUMIF(Tickets[TripKey],A2130,Tickets[PK]))</f>
        <v/>
      </c>
      <c r="H2130">
        <f>IF(A2130="","",IFERROR(XLOOKUP(A2130,Tickets[TripKey],Tickets[VehClean]),""))</f>
        <v/>
      </c>
      <c r="I2130">
        <f>IF(A2130="","",IFERROR(XLOOKUP(A2130,Tickets[TripKey],Tickets[RouteLen]),0))</f>
        <v/>
      </c>
      <c r="J2130">
        <f>IF(A2130="","",IFERROR(XLOOKUP(A2130,Tickets[TripKey],Tickets[Capacity]),0))</f>
        <v/>
      </c>
      <c r="K2130">
        <f>IF(A2130="","",I2130*J2130)</f>
        <v/>
      </c>
      <c r="L2130">
        <f>IF(A2130="","",IFERROR(MINIFS(Tickets[Trip Start Time],Tickets[TripKey],A2130),""))</f>
        <v/>
      </c>
    </row>
    <row r="2131">
      <c r="B2131" s="8">
        <f>IF(A2131="","",IFERROR(DATEVALUE(TEXTBEFORE(A2131,"|")),--LEFT(A2131,10)))</f>
        <v/>
      </c>
      <c r="C2131">
        <f>IF(A2131="","",TEXTBEFORE(TEXTAFTER(A2131,"|"),"|"))</f>
        <v/>
      </c>
      <c r="D2131">
        <f>IF(A2131="","",TEXTAFTER(A2131,"|",2))</f>
        <v/>
      </c>
      <c r="E2131">
        <f>IF(A2131="","",SUMIF(Tickets[TripKey],A2131,Tickets[TP]))</f>
        <v/>
      </c>
      <c r="F2131">
        <f>IF(A2131="","",SUMIF(Tickets[TripKey],A2131,Tickets[Revenue]))</f>
        <v/>
      </c>
      <c r="G2131">
        <f>IF(A2131="","",SUMIF(Tickets[TripKey],A2131,Tickets[PK]))</f>
        <v/>
      </c>
      <c r="H2131">
        <f>IF(A2131="","",IFERROR(XLOOKUP(A2131,Tickets[TripKey],Tickets[VehClean]),""))</f>
        <v/>
      </c>
      <c r="I2131">
        <f>IF(A2131="","",IFERROR(XLOOKUP(A2131,Tickets[TripKey],Tickets[RouteLen]),0))</f>
        <v/>
      </c>
      <c r="J2131">
        <f>IF(A2131="","",IFERROR(XLOOKUP(A2131,Tickets[TripKey],Tickets[Capacity]),0))</f>
        <v/>
      </c>
      <c r="K2131">
        <f>IF(A2131="","",I2131*J2131)</f>
        <v/>
      </c>
      <c r="L2131">
        <f>IF(A2131="","",IFERROR(MINIFS(Tickets[Trip Start Time],Tickets[TripKey],A2131),""))</f>
        <v/>
      </c>
    </row>
    <row r="2132">
      <c r="B2132" s="8">
        <f>IF(A2132="","",IFERROR(DATEVALUE(TEXTBEFORE(A2132,"|")),--LEFT(A2132,10)))</f>
        <v/>
      </c>
      <c r="C2132">
        <f>IF(A2132="","",TEXTBEFORE(TEXTAFTER(A2132,"|"),"|"))</f>
        <v/>
      </c>
      <c r="D2132">
        <f>IF(A2132="","",TEXTAFTER(A2132,"|",2))</f>
        <v/>
      </c>
      <c r="E2132">
        <f>IF(A2132="","",SUMIF(Tickets[TripKey],A2132,Tickets[TP]))</f>
        <v/>
      </c>
      <c r="F2132">
        <f>IF(A2132="","",SUMIF(Tickets[TripKey],A2132,Tickets[Revenue]))</f>
        <v/>
      </c>
      <c r="G2132">
        <f>IF(A2132="","",SUMIF(Tickets[TripKey],A2132,Tickets[PK]))</f>
        <v/>
      </c>
      <c r="H2132">
        <f>IF(A2132="","",IFERROR(XLOOKUP(A2132,Tickets[TripKey],Tickets[VehClean]),""))</f>
        <v/>
      </c>
      <c r="I2132">
        <f>IF(A2132="","",IFERROR(XLOOKUP(A2132,Tickets[TripKey],Tickets[RouteLen]),0))</f>
        <v/>
      </c>
      <c r="J2132">
        <f>IF(A2132="","",IFERROR(XLOOKUP(A2132,Tickets[TripKey],Tickets[Capacity]),0))</f>
        <v/>
      </c>
      <c r="K2132">
        <f>IF(A2132="","",I2132*J2132)</f>
        <v/>
      </c>
      <c r="L2132">
        <f>IF(A2132="","",IFERROR(MINIFS(Tickets[Trip Start Time],Tickets[TripKey],A2132),""))</f>
        <v/>
      </c>
    </row>
    <row r="2133">
      <c r="B2133" s="8">
        <f>IF(A2133="","",IFERROR(DATEVALUE(TEXTBEFORE(A2133,"|")),--LEFT(A2133,10)))</f>
        <v/>
      </c>
      <c r="C2133">
        <f>IF(A2133="","",TEXTBEFORE(TEXTAFTER(A2133,"|"),"|"))</f>
        <v/>
      </c>
      <c r="D2133">
        <f>IF(A2133="","",TEXTAFTER(A2133,"|",2))</f>
        <v/>
      </c>
      <c r="E2133">
        <f>IF(A2133="","",SUMIF(Tickets[TripKey],A2133,Tickets[TP]))</f>
        <v/>
      </c>
      <c r="F2133">
        <f>IF(A2133="","",SUMIF(Tickets[TripKey],A2133,Tickets[Revenue]))</f>
        <v/>
      </c>
      <c r="G2133">
        <f>IF(A2133="","",SUMIF(Tickets[TripKey],A2133,Tickets[PK]))</f>
        <v/>
      </c>
      <c r="H2133">
        <f>IF(A2133="","",IFERROR(XLOOKUP(A2133,Tickets[TripKey],Tickets[VehClean]),""))</f>
        <v/>
      </c>
      <c r="I2133">
        <f>IF(A2133="","",IFERROR(XLOOKUP(A2133,Tickets[TripKey],Tickets[RouteLen]),0))</f>
        <v/>
      </c>
      <c r="J2133">
        <f>IF(A2133="","",IFERROR(XLOOKUP(A2133,Tickets[TripKey],Tickets[Capacity]),0))</f>
        <v/>
      </c>
      <c r="K2133">
        <f>IF(A2133="","",I2133*J2133)</f>
        <v/>
      </c>
      <c r="L2133">
        <f>IF(A2133="","",IFERROR(MINIFS(Tickets[Trip Start Time],Tickets[TripKey],A2133),""))</f>
        <v/>
      </c>
    </row>
    <row r="2134">
      <c r="B2134" s="8">
        <f>IF(A2134="","",IFERROR(DATEVALUE(TEXTBEFORE(A2134,"|")),--LEFT(A2134,10)))</f>
        <v/>
      </c>
      <c r="C2134">
        <f>IF(A2134="","",TEXTBEFORE(TEXTAFTER(A2134,"|"),"|"))</f>
        <v/>
      </c>
      <c r="D2134">
        <f>IF(A2134="","",TEXTAFTER(A2134,"|",2))</f>
        <v/>
      </c>
      <c r="E2134">
        <f>IF(A2134="","",SUMIF(Tickets[TripKey],A2134,Tickets[TP]))</f>
        <v/>
      </c>
      <c r="F2134">
        <f>IF(A2134="","",SUMIF(Tickets[TripKey],A2134,Tickets[Revenue]))</f>
        <v/>
      </c>
      <c r="G2134">
        <f>IF(A2134="","",SUMIF(Tickets[TripKey],A2134,Tickets[PK]))</f>
        <v/>
      </c>
      <c r="H2134">
        <f>IF(A2134="","",IFERROR(XLOOKUP(A2134,Tickets[TripKey],Tickets[VehClean]),""))</f>
        <v/>
      </c>
      <c r="I2134">
        <f>IF(A2134="","",IFERROR(XLOOKUP(A2134,Tickets[TripKey],Tickets[RouteLen]),0))</f>
        <v/>
      </c>
      <c r="J2134">
        <f>IF(A2134="","",IFERROR(XLOOKUP(A2134,Tickets[TripKey],Tickets[Capacity]),0))</f>
        <v/>
      </c>
      <c r="K2134">
        <f>IF(A2134="","",I2134*J2134)</f>
        <v/>
      </c>
      <c r="L2134">
        <f>IF(A2134="","",IFERROR(MINIFS(Tickets[Trip Start Time],Tickets[TripKey],A2134),""))</f>
        <v/>
      </c>
    </row>
    <row r="2135">
      <c r="B2135" s="8">
        <f>IF(A2135="","",IFERROR(DATEVALUE(TEXTBEFORE(A2135,"|")),--LEFT(A2135,10)))</f>
        <v/>
      </c>
      <c r="C2135">
        <f>IF(A2135="","",TEXTBEFORE(TEXTAFTER(A2135,"|"),"|"))</f>
        <v/>
      </c>
      <c r="D2135">
        <f>IF(A2135="","",TEXTAFTER(A2135,"|",2))</f>
        <v/>
      </c>
      <c r="E2135">
        <f>IF(A2135="","",SUMIF(Tickets[TripKey],A2135,Tickets[TP]))</f>
        <v/>
      </c>
      <c r="F2135">
        <f>IF(A2135="","",SUMIF(Tickets[TripKey],A2135,Tickets[Revenue]))</f>
        <v/>
      </c>
      <c r="G2135">
        <f>IF(A2135="","",SUMIF(Tickets[TripKey],A2135,Tickets[PK]))</f>
        <v/>
      </c>
      <c r="H2135">
        <f>IF(A2135="","",IFERROR(XLOOKUP(A2135,Tickets[TripKey],Tickets[VehClean]),""))</f>
        <v/>
      </c>
      <c r="I2135">
        <f>IF(A2135="","",IFERROR(XLOOKUP(A2135,Tickets[TripKey],Tickets[RouteLen]),0))</f>
        <v/>
      </c>
      <c r="J2135">
        <f>IF(A2135="","",IFERROR(XLOOKUP(A2135,Tickets[TripKey],Tickets[Capacity]),0))</f>
        <v/>
      </c>
      <c r="K2135">
        <f>IF(A2135="","",I2135*J2135)</f>
        <v/>
      </c>
      <c r="L2135">
        <f>IF(A2135="","",IFERROR(MINIFS(Tickets[Trip Start Time],Tickets[TripKey],A2135),""))</f>
        <v/>
      </c>
    </row>
    <row r="2136">
      <c r="B2136" s="8">
        <f>IF(A2136="","",IFERROR(DATEVALUE(TEXTBEFORE(A2136,"|")),--LEFT(A2136,10)))</f>
        <v/>
      </c>
      <c r="C2136">
        <f>IF(A2136="","",TEXTBEFORE(TEXTAFTER(A2136,"|"),"|"))</f>
        <v/>
      </c>
      <c r="D2136">
        <f>IF(A2136="","",TEXTAFTER(A2136,"|",2))</f>
        <v/>
      </c>
      <c r="E2136">
        <f>IF(A2136="","",SUMIF(Tickets[TripKey],A2136,Tickets[TP]))</f>
        <v/>
      </c>
      <c r="F2136">
        <f>IF(A2136="","",SUMIF(Tickets[TripKey],A2136,Tickets[Revenue]))</f>
        <v/>
      </c>
      <c r="G2136">
        <f>IF(A2136="","",SUMIF(Tickets[TripKey],A2136,Tickets[PK]))</f>
        <v/>
      </c>
      <c r="H2136">
        <f>IF(A2136="","",IFERROR(XLOOKUP(A2136,Tickets[TripKey],Tickets[VehClean]),""))</f>
        <v/>
      </c>
      <c r="I2136">
        <f>IF(A2136="","",IFERROR(XLOOKUP(A2136,Tickets[TripKey],Tickets[RouteLen]),0))</f>
        <v/>
      </c>
      <c r="J2136">
        <f>IF(A2136="","",IFERROR(XLOOKUP(A2136,Tickets[TripKey],Tickets[Capacity]),0))</f>
        <v/>
      </c>
      <c r="K2136">
        <f>IF(A2136="","",I2136*J2136)</f>
        <v/>
      </c>
      <c r="L2136">
        <f>IF(A2136="","",IFERROR(MINIFS(Tickets[Trip Start Time],Tickets[TripKey],A2136),""))</f>
        <v/>
      </c>
    </row>
    <row r="2137">
      <c r="B2137" s="8">
        <f>IF(A2137="","",IFERROR(DATEVALUE(TEXTBEFORE(A2137,"|")),--LEFT(A2137,10)))</f>
        <v/>
      </c>
      <c r="C2137">
        <f>IF(A2137="","",TEXTBEFORE(TEXTAFTER(A2137,"|"),"|"))</f>
        <v/>
      </c>
      <c r="D2137">
        <f>IF(A2137="","",TEXTAFTER(A2137,"|",2))</f>
        <v/>
      </c>
      <c r="E2137">
        <f>IF(A2137="","",SUMIF(Tickets[TripKey],A2137,Tickets[TP]))</f>
        <v/>
      </c>
      <c r="F2137">
        <f>IF(A2137="","",SUMIF(Tickets[TripKey],A2137,Tickets[Revenue]))</f>
        <v/>
      </c>
      <c r="G2137">
        <f>IF(A2137="","",SUMIF(Tickets[TripKey],A2137,Tickets[PK]))</f>
        <v/>
      </c>
      <c r="H2137">
        <f>IF(A2137="","",IFERROR(XLOOKUP(A2137,Tickets[TripKey],Tickets[VehClean]),""))</f>
        <v/>
      </c>
      <c r="I2137">
        <f>IF(A2137="","",IFERROR(XLOOKUP(A2137,Tickets[TripKey],Tickets[RouteLen]),0))</f>
        <v/>
      </c>
      <c r="J2137">
        <f>IF(A2137="","",IFERROR(XLOOKUP(A2137,Tickets[TripKey],Tickets[Capacity]),0))</f>
        <v/>
      </c>
      <c r="K2137">
        <f>IF(A2137="","",I2137*J2137)</f>
        <v/>
      </c>
      <c r="L2137">
        <f>IF(A2137="","",IFERROR(MINIFS(Tickets[Trip Start Time],Tickets[TripKey],A2137),""))</f>
        <v/>
      </c>
    </row>
    <row r="2138">
      <c r="B2138" s="8">
        <f>IF(A2138="","",IFERROR(DATEVALUE(TEXTBEFORE(A2138,"|")),--LEFT(A2138,10)))</f>
        <v/>
      </c>
      <c r="C2138">
        <f>IF(A2138="","",TEXTBEFORE(TEXTAFTER(A2138,"|"),"|"))</f>
        <v/>
      </c>
      <c r="D2138">
        <f>IF(A2138="","",TEXTAFTER(A2138,"|",2))</f>
        <v/>
      </c>
      <c r="E2138">
        <f>IF(A2138="","",SUMIF(Tickets[TripKey],A2138,Tickets[TP]))</f>
        <v/>
      </c>
      <c r="F2138">
        <f>IF(A2138="","",SUMIF(Tickets[TripKey],A2138,Tickets[Revenue]))</f>
        <v/>
      </c>
      <c r="G2138">
        <f>IF(A2138="","",SUMIF(Tickets[TripKey],A2138,Tickets[PK]))</f>
        <v/>
      </c>
      <c r="H2138">
        <f>IF(A2138="","",IFERROR(XLOOKUP(A2138,Tickets[TripKey],Tickets[VehClean]),""))</f>
        <v/>
      </c>
      <c r="I2138">
        <f>IF(A2138="","",IFERROR(XLOOKUP(A2138,Tickets[TripKey],Tickets[RouteLen]),0))</f>
        <v/>
      </c>
      <c r="J2138">
        <f>IF(A2138="","",IFERROR(XLOOKUP(A2138,Tickets[TripKey],Tickets[Capacity]),0))</f>
        <v/>
      </c>
      <c r="K2138">
        <f>IF(A2138="","",I2138*J2138)</f>
        <v/>
      </c>
      <c r="L2138">
        <f>IF(A2138="","",IFERROR(MINIFS(Tickets[Trip Start Time],Tickets[TripKey],A2138),""))</f>
        <v/>
      </c>
    </row>
    <row r="2139">
      <c r="B2139" s="8">
        <f>IF(A2139="","",IFERROR(DATEVALUE(TEXTBEFORE(A2139,"|")),--LEFT(A2139,10)))</f>
        <v/>
      </c>
      <c r="C2139">
        <f>IF(A2139="","",TEXTBEFORE(TEXTAFTER(A2139,"|"),"|"))</f>
        <v/>
      </c>
      <c r="D2139">
        <f>IF(A2139="","",TEXTAFTER(A2139,"|",2))</f>
        <v/>
      </c>
      <c r="E2139">
        <f>IF(A2139="","",SUMIF(Tickets[TripKey],A2139,Tickets[TP]))</f>
        <v/>
      </c>
      <c r="F2139">
        <f>IF(A2139="","",SUMIF(Tickets[TripKey],A2139,Tickets[Revenue]))</f>
        <v/>
      </c>
      <c r="G2139">
        <f>IF(A2139="","",SUMIF(Tickets[TripKey],A2139,Tickets[PK]))</f>
        <v/>
      </c>
      <c r="H2139">
        <f>IF(A2139="","",IFERROR(XLOOKUP(A2139,Tickets[TripKey],Tickets[VehClean]),""))</f>
        <v/>
      </c>
      <c r="I2139">
        <f>IF(A2139="","",IFERROR(XLOOKUP(A2139,Tickets[TripKey],Tickets[RouteLen]),0))</f>
        <v/>
      </c>
      <c r="J2139">
        <f>IF(A2139="","",IFERROR(XLOOKUP(A2139,Tickets[TripKey],Tickets[Capacity]),0))</f>
        <v/>
      </c>
      <c r="K2139">
        <f>IF(A2139="","",I2139*J2139)</f>
        <v/>
      </c>
      <c r="L2139">
        <f>IF(A2139="","",IFERROR(MINIFS(Tickets[Trip Start Time],Tickets[TripKey],A2139),""))</f>
        <v/>
      </c>
    </row>
    <row r="2140">
      <c r="B2140" s="8">
        <f>IF(A2140="","",IFERROR(DATEVALUE(TEXTBEFORE(A2140,"|")),--LEFT(A2140,10)))</f>
        <v/>
      </c>
      <c r="C2140">
        <f>IF(A2140="","",TEXTBEFORE(TEXTAFTER(A2140,"|"),"|"))</f>
        <v/>
      </c>
      <c r="D2140">
        <f>IF(A2140="","",TEXTAFTER(A2140,"|",2))</f>
        <v/>
      </c>
      <c r="E2140">
        <f>IF(A2140="","",SUMIF(Tickets[TripKey],A2140,Tickets[TP]))</f>
        <v/>
      </c>
      <c r="F2140">
        <f>IF(A2140="","",SUMIF(Tickets[TripKey],A2140,Tickets[Revenue]))</f>
        <v/>
      </c>
      <c r="G2140">
        <f>IF(A2140="","",SUMIF(Tickets[TripKey],A2140,Tickets[PK]))</f>
        <v/>
      </c>
      <c r="H2140">
        <f>IF(A2140="","",IFERROR(XLOOKUP(A2140,Tickets[TripKey],Tickets[VehClean]),""))</f>
        <v/>
      </c>
      <c r="I2140">
        <f>IF(A2140="","",IFERROR(XLOOKUP(A2140,Tickets[TripKey],Tickets[RouteLen]),0))</f>
        <v/>
      </c>
      <c r="J2140">
        <f>IF(A2140="","",IFERROR(XLOOKUP(A2140,Tickets[TripKey],Tickets[Capacity]),0))</f>
        <v/>
      </c>
      <c r="K2140">
        <f>IF(A2140="","",I2140*J2140)</f>
        <v/>
      </c>
      <c r="L2140">
        <f>IF(A2140="","",IFERROR(MINIFS(Tickets[Trip Start Time],Tickets[TripKey],A2140),""))</f>
        <v/>
      </c>
    </row>
    <row r="2141">
      <c r="B2141" s="8">
        <f>IF(A2141="","",IFERROR(DATEVALUE(TEXTBEFORE(A2141,"|")),--LEFT(A2141,10)))</f>
        <v/>
      </c>
      <c r="C2141">
        <f>IF(A2141="","",TEXTBEFORE(TEXTAFTER(A2141,"|"),"|"))</f>
        <v/>
      </c>
      <c r="D2141">
        <f>IF(A2141="","",TEXTAFTER(A2141,"|",2))</f>
        <v/>
      </c>
      <c r="E2141">
        <f>IF(A2141="","",SUMIF(Tickets[TripKey],A2141,Tickets[TP]))</f>
        <v/>
      </c>
      <c r="F2141">
        <f>IF(A2141="","",SUMIF(Tickets[TripKey],A2141,Tickets[Revenue]))</f>
        <v/>
      </c>
      <c r="G2141">
        <f>IF(A2141="","",SUMIF(Tickets[TripKey],A2141,Tickets[PK]))</f>
        <v/>
      </c>
      <c r="H2141">
        <f>IF(A2141="","",IFERROR(XLOOKUP(A2141,Tickets[TripKey],Tickets[VehClean]),""))</f>
        <v/>
      </c>
      <c r="I2141">
        <f>IF(A2141="","",IFERROR(XLOOKUP(A2141,Tickets[TripKey],Tickets[RouteLen]),0))</f>
        <v/>
      </c>
      <c r="J2141">
        <f>IF(A2141="","",IFERROR(XLOOKUP(A2141,Tickets[TripKey],Tickets[Capacity]),0))</f>
        <v/>
      </c>
      <c r="K2141">
        <f>IF(A2141="","",I2141*J2141)</f>
        <v/>
      </c>
      <c r="L2141">
        <f>IF(A2141="","",IFERROR(MINIFS(Tickets[Trip Start Time],Tickets[TripKey],A2141),""))</f>
        <v/>
      </c>
    </row>
    <row r="2142">
      <c r="B2142" s="8">
        <f>IF(A2142="","",IFERROR(DATEVALUE(TEXTBEFORE(A2142,"|")),--LEFT(A2142,10)))</f>
        <v/>
      </c>
      <c r="C2142">
        <f>IF(A2142="","",TEXTBEFORE(TEXTAFTER(A2142,"|"),"|"))</f>
        <v/>
      </c>
      <c r="D2142">
        <f>IF(A2142="","",TEXTAFTER(A2142,"|",2))</f>
        <v/>
      </c>
      <c r="E2142">
        <f>IF(A2142="","",SUMIF(Tickets[TripKey],A2142,Tickets[TP]))</f>
        <v/>
      </c>
      <c r="F2142">
        <f>IF(A2142="","",SUMIF(Tickets[TripKey],A2142,Tickets[Revenue]))</f>
        <v/>
      </c>
      <c r="G2142">
        <f>IF(A2142="","",SUMIF(Tickets[TripKey],A2142,Tickets[PK]))</f>
        <v/>
      </c>
      <c r="H2142">
        <f>IF(A2142="","",IFERROR(XLOOKUP(A2142,Tickets[TripKey],Tickets[VehClean]),""))</f>
        <v/>
      </c>
      <c r="I2142">
        <f>IF(A2142="","",IFERROR(XLOOKUP(A2142,Tickets[TripKey],Tickets[RouteLen]),0))</f>
        <v/>
      </c>
      <c r="J2142">
        <f>IF(A2142="","",IFERROR(XLOOKUP(A2142,Tickets[TripKey],Tickets[Capacity]),0))</f>
        <v/>
      </c>
      <c r="K2142">
        <f>IF(A2142="","",I2142*J2142)</f>
        <v/>
      </c>
      <c r="L2142">
        <f>IF(A2142="","",IFERROR(MINIFS(Tickets[Trip Start Time],Tickets[TripKey],A2142),""))</f>
        <v/>
      </c>
    </row>
    <row r="2143">
      <c r="B2143" s="8">
        <f>IF(A2143="","",IFERROR(DATEVALUE(TEXTBEFORE(A2143,"|")),--LEFT(A2143,10)))</f>
        <v/>
      </c>
      <c r="C2143">
        <f>IF(A2143="","",TEXTBEFORE(TEXTAFTER(A2143,"|"),"|"))</f>
        <v/>
      </c>
      <c r="D2143">
        <f>IF(A2143="","",TEXTAFTER(A2143,"|",2))</f>
        <v/>
      </c>
      <c r="E2143">
        <f>IF(A2143="","",SUMIF(Tickets[TripKey],A2143,Tickets[TP]))</f>
        <v/>
      </c>
      <c r="F2143">
        <f>IF(A2143="","",SUMIF(Tickets[TripKey],A2143,Tickets[Revenue]))</f>
        <v/>
      </c>
      <c r="G2143">
        <f>IF(A2143="","",SUMIF(Tickets[TripKey],A2143,Tickets[PK]))</f>
        <v/>
      </c>
      <c r="H2143">
        <f>IF(A2143="","",IFERROR(XLOOKUP(A2143,Tickets[TripKey],Tickets[VehClean]),""))</f>
        <v/>
      </c>
      <c r="I2143">
        <f>IF(A2143="","",IFERROR(XLOOKUP(A2143,Tickets[TripKey],Tickets[RouteLen]),0))</f>
        <v/>
      </c>
      <c r="J2143">
        <f>IF(A2143="","",IFERROR(XLOOKUP(A2143,Tickets[TripKey],Tickets[Capacity]),0))</f>
        <v/>
      </c>
      <c r="K2143">
        <f>IF(A2143="","",I2143*J2143)</f>
        <v/>
      </c>
      <c r="L2143">
        <f>IF(A2143="","",IFERROR(MINIFS(Tickets[Trip Start Time],Tickets[TripKey],A2143),""))</f>
        <v/>
      </c>
    </row>
    <row r="2144">
      <c r="B2144" s="8">
        <f>IF(A2144="","",IFERROR(DATEVALUE(TEXTBEFORE(A2144,"|")),--LEFT(A2144,10)))</f>
        <v/>
      </c>
      <c r="C2144">
        <f>IF(A2144="","",TEXTBEFORE(TEXTAFTER(A2144,"|"),"|"))</f>
        <v/>
      </c>
      <c r="D2144">
        <f>IF(A2144="","",TEXTAFTER(A2144,"|",2))</f>
        <v/>
      </c>
      <c r="E2144">
        <f>IF(A2144="","",SUMIF(Tickets[TripKey],A2144,Tickets[TP]))</f>
        <v/>
      </c>
      <c r="F2144">
        <f>IF(A2144="","",SUMIF(Tickets[TripKey],A2144,Tickets[Revenue]))</f>
        <v/>
      </c>
      <c r="G2144">
        <f>IF(A2144="","",SUMIF(Tickets[TripKey],A2144,Tickets[PK]))</f>
        <v/>
      </c>
      <c r="H2144">
        <f>IF(A2144="","",IFERROR(XLOOKUP(A2144,Tickets[TripKey],Tickets[VehClean]),""))</f>
        <v/>
      </c>
      <c r="I2144">
        <f>IF(A2144="","",IFERROR(XLOOKUP(A2144,Tickets[TripKey],Tickets[RouteLen]),0))</f>
        <v/>
      </c>
      <c r="J2144">
        <f>IF(A2144="","",IFERROR(XLOOKUP(A2144,Tickets[TripKey],Tickets[Capacity]),0))</f>
        <v/>
      </c>
      <c r="K2144">
        <f>IF(A2144="","",I2144*J2144)</f>
        <v/>
      </c>
      <c r="L2144">
        <f>IF(A2144="","",IFERROR(MINIFS(Tickets[Trip Start Time],Tickets[TripKey],A2144),""))</f>
        <v/>
      </c>
    </row>
    <row r="2145">
      <c r="B2145" s="8">
        <f>IF(A2145="","",IFERROR(DATEVALUE(TEXTBEFORE(A2145,"|")),--LEFT(A2145,10)))</f>
        <v/>
      </c>
      <c r="C2145">
        <f>IF(A2145="","",TEXTBEFORE(TEXTAFTER(A2145,"|"),"|"))</f>
        <v/>
      </c>
      <c r="D2145">
        <f>IF(A2145="","",TEXTAFTER(A2145,"|",2))</f>
        <v/>
      </c>
      <c r="E2145">
        <f>IF(A2145="","",SUMIF(Tickets[TripKey],A2145,Tickets[TP]))</f>
        <v/>
      </c>
      <c r="F2145">
        <f>IF(A2145="","",SUMIF(Tickets[TripKey],A2145,Tickets[Revenue]))</f>
        <v/>
      </c>
      <c r="G2145">
        <f>IF(A2145="","",SUMIF(Tickets[TripKey],A2145,Tickets[PK]))</f>
        <v/>
      </c>
      <c r="H2145">
        <f>IF(A2145="","",IFERROR(XLOOKUP(A2145,Tickets[TripKey],Tickets[VehClean]),""))</f>
        <v/>
      </c>
      <c r="I2145">
        <f>IF(A2145="","",IFERROR(XLOOKUP(A2145,Tickets[TripKey],Tickets[RouteLen]),0))</f>
        <v/>
      </c>
      <c r="J2145">
        <f>IF(A2145="","",IFERROR(XLOOKUP(A2145,Tickets[TripKey],Tickets[Capacity]),0))</f>
        <v/>
      </c>
      <c r="K2145">
        <f>IF(A2145="","",I2145*J2145)</f>
        <v/>
      </c>
      <c r="L2145">
        <f>IF(A2145="","",IFERROR(MINIFS(Tickets[Trip Start Time],Tickets[TripKey],A2145),""))</f>
        <v/>
      </c>
    </row>
    <row r="2146">
      <c r="B2146" s="8">
        <f>IF(A2146="","",IFERROR(DATEVALUE(TEXTBEFORE(A2146,"|")),--LEFT(A2146,10)))</f>
        <v/>
      </c>
      <c r="C2146">
        <f>IF(A2146="","",TEXTBEFORE(TEXTAFTER(A2146,"|"),"|"))</f>
        <v/>
      </c>
      <c r="D2146">
        <f>IF(A2146="","",TEXTAFTER(A2146,"|",2))</f>
        <v/>
      </c>
      <c r="E2146">
        <f>IF(A2146="","",SUMIF(Tickets[TripKey],A2146,Tickets[TP]))</f>
        <v/>
      </c>
      <c r="F2146">
        <f>IF(A2146="","",SUMIF(Tickets[TripKey],A2146,Tickets[Revenue]))</f>
        <v/>
      </c>
      <c r="G2146">
        <f>IF(A2146="","",SUMIF(Tickets[TripKey],A2146,Tickets[PK]))</f>
        <v/>
      </c>
      <c r="H2146">
        <f>IF(A2146="","",IFERROR(XLOOKUP(A2146,Tickets[TripKey],Tickets[VehClean]),""))</f>
        <v/>
      </c>
      <c r="I2146">
        <f>IF(A2146="","",IFERROR(XLOOKUP(A2146,Tickets[TripKey],Tickets[RouteLen]),0))</f>
        <v/>
      </c>
      <c r="J2146">
        <f>IF(A2146="","",IFERROR(XLOOKUP(A2146,Tickets[TripKey],Tickets[Capacity]),0))</f>
        <v/>
      </c>
      <c r="K2146">
        <f>IF(A2146="","",I2146*J2146)</f>
        <v/>
      </c>
      <c r="L2146">
        <f>IF(A2146="","",IFERROR(MINIFS(Tickets[Trip Start Time],Tickets[TripKey],A2146),""))</f>
        <v/>
      </c>
    </row>
    <row r="2147">
      <c r="B2147" s="8">
        <f>IF(A2147="","",IFERROR(DATEVALUE(TEXTBEFORE(A2147,"|")),--LEFT(A2147,10)))</f>
        <v/>
      </c>
      <c r="C2147">
        <f>IF(A2147="","",TEXTBEFORE(TEXTAFTER(A2147,"|"),"|"))</f>
        <v/>
      </c>
      <c r="D2147">
        <f>IF(A2147="","",TEXTAFTER(A2147,"|",2))</f>
        <v/>
      </c>
      <c r="E2147">
        <f>IF(A2147="","",SUMIF(Tickets[TripKey],A2147,Tickets[TP]))</f>
        <v/>
      </c>
      <c r="F2147">
        <f>IF(A2147="","",SUMIF(Tickets[TripKey],A2147,Tickets[Revenue]))</f>
        <v/>
      </c>
      <c r="G2147">
        <f>IF(A2147="","",SUMIF(Tickets[TripKey],A2147,Tickets[PK]))</f>
        <v/>
      </c>
      <c r="H2147">
        <f>IF(A2147="","",IFERROR(XLOOKUP(A2147,Tickets[TripKey],Tickets[VehClean]),""))</f>
        <v/>
      </c>
      <c r="I2147">
        <f>IF(A2147="","",IFERROR(XLOOKUP(A2147,Tickets[TripKey],Tickets[RouteLen]),0))</f>
        <v/>
      </c>
      <c r="J2147">
        <f>IF(A2147="","",IFERROR(XLOOKUP(A2147,Tickets[TripKey],Tickets[Capacity]),0))</f>
        <v/>
      </c>
      <c r="K2147">
        <f>IF(A2147="","",I2147*J2147)</f>
        <v/>
      </c>
      <c r="L2147">
        <f>IF(A2147="","",IFERROR(MINIFS(Tickets[Trip Start Time],Tickets[TripKey],A2147),""))</f>
        <v/>
      </c>
    </row>
    <row r="2148">
      <c r="B2148" s="8">
        <f>IF(A2148="","",IFERROR(DATEVALUE(TEXTBEFORE(A2148,"|")),--LEFT(A2148,10)))</f>
        <v/>
      </c>
      <c r="C2148">
        <f>IF(A2148="","",TEXTBEFORE(TEXTAFTER(A2148,"|"),"|"))</f>
        <v/>
      </c>
      <c r="D2148">
        <f>IF(A2148="","",TEXTAFTER(A2148,"|",2))</f>
        <v/>
      </c>
      <c r="E2148">
        <f>IF(A2148="","",SUMIF(Tickets[TripKey],A2148,Tickets[TP]))</f>
        <v/>
      </c>
      <c r="F2148">
        <f>IF(A2148="","",SUMIF(Tickets[TripKey],A2148,Tickets[Revenue]))</f>
        <v/>
      </c>
      <c r="G2148">
        <f>IF(A2148="","",SUMIF(Tickets[TripKey],A2148,Tickets[PK]))</f>
        <v/>
      </c>
      <c r="H2148">
        <f>IF(A2148="","",IFERROR(XLOOKUP(A2148,Tickets[TripKey],Tickets[VehClean]),""))</f>
        <v/>
      </c>
      <c r="I2148">
        <f>IF(A2148="","",IFERROR(XLOOKUP(A2148,Tickets[TripKey],Tickets[RouteLen]),0))</f>
        <v/>
      </c>
      <c r="J2148">
        <f>IF(A2148="","",IFERROR(XLOOKUP(A2148,Tickets[TripKey],Tickets[Capacity]),0))</f>
        <v/>
      </c>
      <c r="K2148">
        <f>IF(A2148="","",I2148*J2148)</f>
        <v/>
      </c>
      <c r="L2148">
        <f>IF(A2148="","",IFERROR(MINIFS(Tickets[Trip Start Time],Tickets[TripKey],A2148),""))</f>
        <v/>
      </c>
    </row>
    <row r="2149">
      <c r="B2149" s="8">
        <f>IF(A2149="","",IFERROR(DATEVALUE(TEXTBEFORE(A2149,"|")),--LEFT(A2149,10)))</f>
        <v/>
      </c>
      <c r="C2149">
        <f>IF(A2149="","",TEXTBEFORE(TEXTAFTER(A2149,"|"),"|"))</f>
        <v/>
      </c>
      <c r="D2149">
        <f>IF(A2149="","",TEXTAFTER(A2149,"|",2))</f>
        <v/>
      </c>
      <c r="E2149">
        <f>IF(A2149="","",SUMIF(Tickets[TripKey],A2149,Tickets[TP]))</f>
        <v/>
      </c>
      <c r="F2149">
        <f>IF(A2149="","",SUMIF(Tickets[TripKey],A2149,Tickets[Revenue]))</f>
        <v/>
      </c>
      <c r="G2149">
        <f>IF(A2149="","",SUMIF(Tickets[TripKey],A2149,Tickets[PK]))</f>
        <v/>
      </c>
      <c r="H2149">
        <f>IF(A2149="","",IFERROR(XLOOKUP(A2149,Tickets[TripKey],Tickets[VehClean]),""))</f>
        <v/>
      </c>
      <c r="I2149">
        <f>IF(A2149="","",IFERROR(XLOOKUP(A2149,Tickets[TripKey],Tickets[RouteLen]),0))</f>
        <v/>
      </c>
      <c r="J2149">
        <f>IF(A2149="","",IFERROR(XLOOKUP(A2149,Tickets[TripKey],Tickets[Capacity]),0))</f>
        <v/>
      </c>
      <c r="K2149">
        <f>IF(A2149="","",I2149*J2149)</f>
        <v/>
      </c>
      <c r="L2149">
        <f>IF(A2149="","",IFERROR(MINIFS(Tickets[Trip Start Time],Tickets[TripKey],A2149),""))</f>
        <v/>
      </c>
    </row>
    <row r="2150">
      <c r="B2150" s="8">
        <f>IF(A2150="","",IFERROR(DATEVALUE(TEXTBEFORE(A2150,"|")),--LEFT(A2150,10)))</f>
        <v/>
      </c>
      <c r="C2150">
        <f>IF(A2150="","",TEXTBEFORE(TEXTAFTER(A2150,"|"),"|"))</f>
        <v/>
      </c>
      <c r="D2150">
        <f>IF(A2150="","",TEXTAFTER(A2150,"|",2))</f>
        <v/>
      </c>
      <c r="E2150">
        <f>IF(A2150="","",SUMIF(Tickets[TripKey],A2150,Tickets[TP]))</f>
        <v/>
      </c>
      <c r="F2150">
        <f>IF(A2150="","",SUMIF(Tickets[TripKey],A2150,Tickets[Revenue]))</f>
        <v/>
      </c>
      <c r="G2150">
        <f>IF(A2150="","",SUMIF(Tickets[TripKey],A2150,Tickets[PK]))</f>
        <v/>
      </c>
      <c r="H2150">
        <f>IF(A2150="","",IFERROR(XLOOKUP(A2150,Tickets[TripKey],Tickets[VehClean]),""))</f>
        <v/>
      </c>
      <c r="I2150">
        <f>IF(A2150="","",IFERROR(XLOOKUP(A2150,Tickets[TripKey],Tickets[RouteLen]),0))</f>
        <v/>
      </c>
      <c r="J2150">
        <f>IF(A2150="","",IFERROR(XLOOKUP(A2150,Tickets[TripKey],Tickets[Capacity]),0))</f>
        <v/>
      </c>
      <c r="K2150">
        <f>IF(A2150="","",I2150*J2150)</f>
        <v/>
      </c>
      <c r="L2150">
        <f>IF(A2150="","",IFERROR(MINIFS(Tickets[Trip Start Time],Tickets[TripKey],A2150),""))</f>
        <v/>
      </c>
    </row>
    <row r="2151">
      <c r="B2151" s="8">
        <f>IF(A2151="","",IFERROR(DATEVALUE(TEXTBEFORE(A2151,"|")),--LEFT(A2151,10)))</f>
        <v/>
      </c>
      <c r="C2151">
        <f>IF(A2151="","",TEXTBEFORE(TEXTAFTER(A2151,"|"),"|"))</f>
        <v/>
      </c>
      <c r="D2151">
        <f>IF(A2151="","",TEXTAFTER(A2151,"|",2))</f>
        <v/>
      </c>
      <c r="E2151">
        <f>IF(A2151="","",SUMIF(Tickets[TripKey],A2151,Tickets[TP]))</f>
        <v/>
      </c>
      <c r="F2151">
        <f>IF(A2151="","",SUMIF(Tickets[TripKey],A2151,Tickets[Revenue]))</f>
        <v/>
      </c>
      <c r="G2151">
        <f>IF(A2151="","",SUMIF(Tickets[TripKey],A2151,Tickets[PK]))</f>
        <v/>
      </c>
      <c r="H2151">
        <f>IF(A2151="","",IFERROR(XLOOKUP(A2151,Tickets[TripKey],Tickets[VehClean]),""))</f>
        <v/>
      </c>
      <c r="I2151">
        <f>IF(A2151="","",IFERROR(XLOOKUP(A2151,Tickets[TripKey],Tickets[RouteLen]),0))</f>
        <v/>
      </c>
      <c r="J2151">
        <f>IF(A2151="","",IFERROR(XLOOKUP(A2151,Tickets[TripKey],Tickets[Capacity]),0))</f>
        <v/>
      </c>
      <c r="K2151">
        <f>IF(A2151="","",I2151*J2151)</f>
        <v/>
      </c>
      <c r="L2151">
        <f>IF(A2151="","",IFERROR(MINIFS(Tickets[Trip Start Time],Tickets[TripKey],A2151),""))</f>
        <v/>
      </c>
    </row>
    <row r="2152">
      <c r="B2152" s="8">
        <f>IF(A2152="","",IFERROR(DATEVALUE(TEXTBEFORE(A2152,"|")),--LEFT(A2152,10)))</f>
        <v/>
      </c>
      <c r="C2152">
        <f>IF(A2152="","",TEXTBEFORE(TEXTAFTER(A2152,"|"),"|"))</f>
        <v/>
      </c>
      <c r="D2152">
        <f>IF(A2152="","",TEXTAFTER(A2152,"|",2))</f>
        <v/>
      </c>
      <c r="E2152">
        <f>IF(A2152="","",SUMIF(Tickets[TripKey],A2152,Tickets[TP]))</f>
        <v/>
      </c>
      <c r="F2152">
        <f>IF(A2152="","",SUMIF(Tickets[TripKey],A2152,Tickets[Revenue]))</f>
        <v/>
      </c>
      <c r="G2152">
        <f>IF(A2152="","",SUMIF(Tickets[TripKey],A2152,Tickets[PK]))</f>
        <v/>
      </c>
      <c r="H2152">
        <f>IF(A2152="","",IFERROR(XLOOKUP(A2152,Tickets[TripKey],Tickets[VehClean]),""))</f>
        <v/>
      </c>
      <c r="I2152">
        <f>IF(A2152="","",IFERROR(XLOOKUP(A2152,Tickets[TripKey],Tickets[RouteLen]),0))</f>
        <v/>
      </c>
      <c r="J2152">
        <f>IF(A2152="","",IFERROR(XLOOKUP(A2152,Tickets[TripKey],Tickets[Capacity]),0))</f>
        <v/>
      </c>
      <c r="K2152">
        <f>IF(A2152="","",I2152*J2152)</f>
        <v/>
      </c>
      <c r="L2152">
        <f>IF(A2152="","",IFERROR(MINIFS(Tickets[Trip Start Time],Tickets[TripKey],A2152),""))</f>
        <v/>
      </c>
    </row>
    <row r="2153">
      <c r="B2153" s="8">
        <f>IF(A2153="","",IFERROR(DATEVALUE(TEXTBEFORE(A2153,"|")),--LEFT(A2153,10)))</f>
        <v/>
      </c>
      <c r="C2153">
        <f>IF(A2153="","",TEXTBEFORE(TEXTAFTER(A2153,"|"),"|"))</f>
        <v/>
      </c>
      <c r="D2153">
        <f>IF(A2153="","",TEXTAFTER(A2153,"|",2))</f>
        <v/>
      </c>
      <c r="E2153">
        <f>IF(A2153="","",SUMIF(Tickets[TripKey],A2153,Tickets[TP]))</f>
        <v/>
      </c>
      <c r="F2153">
        <f>IF(A2153="","",SUMIF(Tickets[TripKey],A2153,Tickets[Revenue]))</f>
        <v/>
      </c>
      <c r="G2153">
        <f>IF(A2153="","",SUMIF(Tickets[TripKey],A2153,Tickets[PK]))</f>
        <v/>
      </c>
      <c r="H2153">
        <f>IF(A2153="","",IFERROR(XLOOKUP(A2153,Tickets[TripKey],Tickets[VehClean]),""))</f>
        <v/>
      </c>
      <c r="I2153">
        <f>IF(A2153="","",IFERROR(XLOOKUP(A2153,Tickets[TripKey],Tickets[RouteLen]),0))</f>
        <v/>
      </c>
      <c r="J2153">
        <f>IF(A2153="","",IFERROR(XLOOKUP(A2153,Tickets[TripKey],Tickets[Capacity]),0))</f>
        <v/>
      </c>
      <c r="K2153">
        <f>IF(A2153="","",I2153*J2153)</f>
        <v/>
      </c>
      <c r="L2153">
        <f>IF(A2153="","",IFERROR(MINIFS(Tickets[Trip Start Time],Tickets[TripKey],A2153),""))</f>
        <v/>
      </c>
    </row>
    <row r="2154">
      <c r="B2154" s="8">
        <f>IF(A2154="","",IFERROR(DATEVALUE(TEXTBEFORE(A2154,"|")),--LEFT(A2154,10)))</f>
        <v/>
      </c>
      <c r="C2154">
        <f>IF(A2154="","",TEXTBEFORE(TEXTAFTER(A2154,"|"),"|"))</f>
        <v/>
      </c>
      <c r="D2154">
        <f>IF(A2154="","",TEXTAFTER(A2154,"|",2))</f>
        <v/>
      </c>
      <c r="E2154">
        <f>IF(A2154="","",SUMIF(Tickets[TripKey],A2154,Tickets[TP]))</f>
        <v/>
      </c>
      <c r="F2154">
        <f>IF(A2154="","",SUMIF(Tickets[TripKey],A2154,Tickets[Revenue]))</f>
        <v/>
      </c>
      <c r="G2154">
        <f>IF(A2154="","",SUMIF(Tickets[TripKey],A2154,Tickets[PK]))</f>
        <v/>
      </c>
      <c r="H2154">
        <f>IF(A2154="","",IFERROR(XLOOKUP(A2154,Tickets[TripKey],Tickets[VehClean]),""))</f>
        <v/>
      </c>
      <c r="I2154">
        <f>IF(A2154="","",IFERROR(XLOOKUP(A2154,Tickets[TripKey],Tickets[RouteLen]),0))</f>
        <v/>
      </c>
      <c r="J2154">
        <f>IF(A2154="","",IFERROR(XLOOKUP(A2154,Tickets[TripKey],Tickets[Capacity]),0))</f>
        <v/>
      </c>
      <c r="K2154">
        <f>IF(A2154="","",I2154*J2154)</f>
        <v/>
      </c>
      <c r="L2154">
        <f>IF(A2154="","",IFERROR(MINIFS(Tickets[Trip Start Time],Tickets[TripKey],A2154),""))</f>
        <v/>
      </c>
    </row>
    <row r="2155">
      <c r="B2155" s="8">
        <f>IF(A2155="","",IFERROR(DATEVALUE(TEXTBEFORE(A2155,"|")),--LEFT(A2155,10)))</f>
        <v/>
      </c>
      <c r="C2155">
        <f>IF(A2155="","",TEXTBEFORE(TEXTAFTER(A2155,"|"),"|"))</f>
        <v/>
      </c>
      <c r="D2155">
        <f>IF(A2155="","",TEXTAFTER(A2155,"|",2))</f>
        <v/>
      </c>
      <c r="E2155">
        <f>IF(A2155="","",SUMIF(Tickets[TripKey],A2155,Tickets[TP]))</f>
        <v/>
      </c>
      <c r="F2155">
        <f>IF(A2155="","",SUMIF(Tickets[TripKey],A2155,Tickets[Revenue]))</f>
        <v/>
      </c>
      <c r="G2155">
        <f>IF(A2155="","",SUMIF(Tickets[TripKey],A2155,Tickets[PK]))</f>
        <v/>
      </c>
      <c r="H2155">
        <f>IF(A2155="","",IFERROR(XLOOKUP(A2155,Tickets[TripKey],Tickets[VehClean]),""))</f>
        <v/>
      </c>
      <c r="I2155">
        <f>IF(A2155="","",IFERROR(XLOOKUP(A2155,Tickets[TripKey],Tickets[RouteLen]),0))</f>
        <v/>
      </c>
      <c r="J2155">
        <f>IF(A2155="","",IFERROR(XLOOKUP(A2155,Tickets[TripKey],Tickets[Capacity]),0))</f>
        <v/>
      </c>
      <c r="K2155">
        <f>IF(A2155="","",I2155*J2155)</f>
        <v/>
      </c>
      <c r="L2155">
        <f>IF(A2155="","",IFERROR(MINIFS(Tickets[Trip Start Time],Tickets[TripKey],A2155),""))</f>
        <v/>
      </c>
    </row>
    <row r="2156">
      <c r="B2156" s="8">
        <f>IF(A2156="","",IFERROR(DATEVALUE(TEXTBEFORE(A2156,"|")),--LEFT(A2156,10)))</f>
        <v/>
      </c>
      <c r="C2156">
        <f>IF(A2156="","",TEXTBEFORE(TEXTAFTER(A2156,"|"),"|"))</f>
        <v/>
      </c>
      <c r="D2156">
        <f>IF(A2156="","",TEXTAFTER(A2156,"|",2))</f>
        <v/>
      </c>
      <c r="E2156">
        <f>IF(A2156="","",SUMIF(Tickets[TripKey],A2156,Tickets[TP]))</f>
        <v/>
      </c>
      <c r="F2156">
        <f>IF(A2156="","",SUMIF(Tickets[TripKey],A2156,Tickets[Revenue]))</f>
        <v/>
      </c>
      <c r="G2156">
        <f>IF(A2156="","",SUMIF(Tickets[TripKey],A2156,Tickets[PK]))</f>
        <v/>
      </c>
      <c r="H2156">
        <f>IF(A2156="","",IFERROR(XLOOKUP(A2156,Tickets[TripKey],Tickets[VehClean]),""))</f>
        <v/>
      </c>
      <c r="I2156">
        <f>IF(A2156="","",IFERROR(XLOOKUP(A2156,Tickets[TripKey],Tickets[RouteLen]),0))</f>
        <v/>
      </c>
      <c r="J2156">
        <f>IF(A2156="","",IFERROR(XLOOKUP(A2156,Tickets[TripKey],Tickets[Capacity]),0))</f>
        <v/>
      </c>
      <c r="K2156">
        <f>IF(A2156="","",I2156*J2156)</f>
        <v/>
      </c>
      <c r="L2156">
        <f>IF(A2156="","",IFERROR(MINIFS(Tickets[Trip Start Time],Tickets[TripKey],A2156),""))</f>
        <v/>
      </c>
    </row>
    <row r="2157">
      <c r="B2157" s="8">
        <f>IF(A2157="","",IFERROR(DATEVALUE(TEXTBEFORE(A2157,"|")),--LEFT(A2157,10)))</f>
        <v/>
      </c>
      <c r="C2157">
        <f>IF(A2157="","",TEXTBEFORE(TEXTAFTER(A2157,"|"),"|"))</f>
        <v/>
      </c>
      <c r="D2157">
        <f>IF(A2157="","",TEXTAFTER(A2157,"|",2))</f>
        <v/>
      </c>
      <c r="E2157">
        <f>IF(A2157="","",SUMIF(Tickets[TripKey],A2157,Tickets[TP]))</f>
        <v/>
      </c>
      <c r="F2157">
        <f>IF(A2157="","",SUMIF(Tickets[TripKey],A2157,Tickets[Revenue]))</f>
        <v/>
      </c>
      <c r="G2157">
        <f>IF(A2157="","",SUMIF(Tickets[TripKey],A2157,Tickets[PK]))</f>
        <v/>
      </c>
      <c r="H2157">
        <f>IF(A2157="","",IFERROR(XLOOKUP(A2157,Tickets[TripKey],Tickets[VehClean]),""))</f>
        <v/>
      </c>
      <c r="I2157">
        <f>IF(A2157="","",IFERROR(XLOOKUP(A2157,Tickets[TripKey],Tickets[RouteLen]),0))</f>
        <v/>
      </c>
      <c r="J2157">
        <f>IF(A2157="","",IFERROR(XLOOKUP(A2157,Tickets[TripKey],Tickets[Capacity]),0))</f>
        <v/>
      </c>
      <c r="K2157">
        <f>IF(A2157="","",I2157*J2157)</f>
        <v/>
      </c>
      <c r="L2157">
        <f>IF(A2157="","",IFERROR(MINIFS(Tickets[Trip Start Time],Tickets[TripKey],A2157),""))</f>
        <v/>
      </c>
    </row>
    <row r="2158">
      <c r="B2158" s="8">
        <f>IF(A2158="","",IFERROR(DATEVALUE(TEXTBEFORE(A2158,"|")),--LEFT(A2158,10)))</f>
        <v/>
      </c>
      <c r="C2158">
        <f>IF(A2158="","",TEXTBEFORE(TEXTAFTER(A2158,"|"),"|"))</f>
        <v/>
      </c>
      <c r="D2158">
        <f>IF(A2158="","",TEXTAFTER(A2158,"|",2))</f>
        <v/>
      </c>
      <c r="E2158">
        <f>IF(A2158="","",SUMIF(Tickets[TripKey],A2158,Tickets[TP]))</f>
        <v/>
      </c>
      <c r="F2158">
        <f>IF(A2158="","",SUMIF(Tickets[TripKey],A2158,Tickets[Revenue]))</f>
        <v/>
      </c>
      <c r="G2158">
        <f>IF(A2158="","",SUMIF(Tickets[TripKey],A2158,Tickets[PK]))</f>
        <v/>
      </c>
      <c r="H2158">
        <f>IF(A2158="","",IFERROR(XLOOKUP(A2158,Tickets[TripKey],Tickets[VehClean]),""))</f>
        <v/>
      </c>
      <c r="I2158">
        <f>IF(A2158="","",IFERROR(XLOOKUP(A2158,Tickets[TripKey],Tickets[RouteLen]),0))</f>
        <v/>
      </c>
      <c r="J2158">
        <f>IF(A2158="","",IFERROR(XLOOKUP(A2158,Tickets[TripKey],Tickets[Capacity]),0))</f>
        <v/>
      </c>
      <c r="K2158">
        <f>IF(A2158="","",I2158*J2158)</f>
        <v/>
      </c>
      <c r="L2158">
        <f>IF(A2158="","",IFERROR(MINIFS(Tickets[Trip Start Time],Tickets[TripKey],A2158),""))</f>
        <v/>
      </c>
    </row>
    <row r="2159">
      <c r="B2159" s="8">
        <f>IF(A2159="","",IFERROR(DATEVALUE(TEXTBEFORE(A2159,"|")),--LEFT(A2159,10)))</f>
        <v/>
      </c>
      <c r="C2159">
        <f>IF(A2159="","",TEXTBEFORE(TEXTAFTER(A2159,"|"),"|"))</f>
        <v/>
      </c>
      <c r="D2159">
        <f>IF(A2159="","",TEXTAFTER(A2159,"|",2))</f>
        <v/>
      </c>
      <c r="E2159">
        <f>IF(A2159="","",SUMIF(Tickets[TripKey],A2159,Tickets[TP]))</f>
        <v/>
      </c>
      <c r="F2159">
        <f>IF(A2159="","",SUMIF(Tickets[TripKey],A2159,Tickets[Revenue]))</f>
        <v/>
      </c>
      <c r="G2159">
        <f>IF(A2159="","",SUMIF(Tickets[TripKey],A2159,Tickets[PK]))</f>
        <v/>
      </c>
      <c r="H2159">
        <f>IF(A2159="","",IFERROR(XLOOKUP(A2159,Tickets[TripKey],Tickets[VehClean]),""))</f>
        <v/>
      </c>
      <c r="I2159">
        <f>IF(A2159="","",IFERROR(XLOOKUP(A2159,Tickets[TripKey],Tickets[RouteLen]),0))</f>
        <v/>
      </c>
      <c r="J2159">
        <f>IF(A2159="","",IFERROR(XLOOKUP(A2159,Tickets[TripKey],Tickets[Capacity]),0))</f>
        <v/>
      </c>
      <c r="K2159">
        <f>IF(A2159="","",I2159*J2159)</f>
        <v/>
      </c>
      <c r="L2159">
        <f>IF(A2159="","",IFERROR(MINIFS(Tickets[Trip Start Time],Tickets[TripKey],A2159),""))</f>
        <v/>
      </c>
    </row>
    <row r="2160">
      <c r="B2160" s="8">
        <f>IF(A2160="","",IFERROR(DATEVALUE(TEXTBEFORE(A2160,"|")),--LEFT(A2160,10)))</f>
        <v/>
      </c>
      <c r="C2160">
        <f>IF(A2160="","",TEXTBEFORE(TEXTAFTER(A2160,"|"),"|"))</f>
        <v/>
      </c>
      <c r="D2160">
        <f>IF(A2160="","",TEXTAFTER(A2160,"|",2))</f>
        <v/>
      </c>
      <c r="E2160">
        <f>IF(A2160="","",SUMIF(Tickets[TripKey],A2160,Tickets[TP]))</f>
        <v/>
      </c>
      <c r="F2160">
        <f>IF(A2160="","",SUMIF(Tickets[TripKey],A2160,Tickets[Revenue]))</f>
        <v/>
      </c>
      <c r="G2160">
        <f>IF(A2160="","",SUMIF(Tickets[TripKey],A2160,Tickets[PK]))</f>
        <v/>
      </c>
      <c r="H2160">
        <f>IF(A2160="","",IFERROR(XLOOKUP(A2160,Tickets[TripKey],Tickets[VehClean]),""))</f>
        <v/>
      </c>
      <c r="I2160">
        <f>IF(A2160="","",IFERROR(XLOOKUP(A2160,Tickets[TripKey],Tickets[RouteLen]),0))</f>
        <v/>
      </c>
      <c r="J2160">
        <f>IF(A2160="","",IFERROR(XLOOKUP(A2160,Tickets[TripKey],Tickets[Capacity]),0))</f>
        <v/>
      </c>
      <c r="K2160">
        <f>IF(A2160="","",I2160*J2160)</f>
        <v/>
      </c>
      <c r="L2160">
        <f>IF(A2160="","",IFERROR(MINIFS(Tickets[Trip Start Time],Tickets[TripKey],A2160),""))</f>
        <v/>
      </c>
    </row>
    <row r="2161">
      <c r="B2161" s="8">
        <f>IF(A2161="","",IFERROR(DATEVALUE(TEXTBEFORE(A2161,"|")),--LEFT(A2161,10)))</f>
        <v/>
      </c>
      <c r="C2161">
        <f>IF(A2161="","",TEXTBEFORE(TEXTAFTER(A2161,"|"),"|"))</f>
        <v/>
      </c>
      <c r="D2161">
        <f>IF(A2161="","",TEXTAFTER(A2161,"|",2))</f>
        <v/>
      </c>
      <c r="E2161">
        <f>IF(A2161="","",SUMIF(Tickets[TripKey],A2161,Tickets[TP]))</f>
        <v/>
      </c>
      <c r="F2161">
        <f>IF(A2161="","",SUMIF(Tickets[TripKey],A2161,Tickets[Revenue]))</f>
        <v/>
      </c>
      <c r="G2161">
        <f>IF(A2161="","",SUMIF(Tickets[TripKey],A2161,Tickets[PK]))</f>
        <v/>
      </c>
      <c r="H2161">
        <f>IF(A2161="","",IFERROR(XLOOKUP(A2161,Tickets[TripKey],Tickets[VehClean]),""))</f>
        <v/>
      </c>
      <c r="I2161">
        <f>IF(A2161="","",IFERROR(XLOOKUP(A2161,Tickets[TripKey],Tickets[RouteLen]),0))</f>
        <v/>
      </c>
      <c r="J2161">
        <f>IF(A2161="","",IFERROR(XLOOKUP(A2161,Tickets[TripKey],Tickets[Capacity]),0))</f>
        <v/>
      </c>
      <c r="K2161">
        <f>IF(A2161="","",I2161*J2161)</f>
        <v/>
      </c>
      <c r="L2161">
        <f>IF(A2161="","",IFERROR(MINIFS(Tickets[Trip Start Time],Tickets[TripKey],A2161),""))</f>
        <v/>
      </c>
    </row>
    <row r="2162">
      <c r="B2162" s="8">
        <f>IF(A2162="","",IFERROR(DATEVALUE(TEXTBEFORE(A2162,"|")),--LEFT(A2162,10)))</f>
        <v/>
      </c>
      <c r="C2162">
        <f>IF(A2162="","",TEXTBEFORE(TEXTAFTER(A2162,"|"),"|"))</f>
        <v/>
      </c>
      <c r="D2162">
        <f>IF(A2162="","",TEXTAFTER(A2162,"|",2))</f>
        <v/>
      </c>
      <c r="E2162">
        <f>IF(A2162="","",SUMIF(Tickets[TripKey],A2162,Tickets[TP]))</f>
        <v/>
      </c>
      <c r="F2162">
        <f>IF(A2162="","",SUMIF(Tickets[TripKey],A2162,Tickets[Revenue]))</f>
        <v/>
      </c>
      <c r="G2162">
        <f>IF(A2162="","",SUMIF(Tickets[TripKey],A2162,Tickets[PK]))</f>
        <v/>
      </c>
      <c r="H2162">
        <f>IF(A2162="","",IFERROR(XLOOKUP(A2162,Tickets[TripKey],Tickets[VehClean]),""))</f>
        <v/>
      </c>
      <c r="I2162">
        <f>IF(A2162="","",IFERROR(XLOOKUP(A2162,Tickets[TripKey],Tickets[RouteLen]),0))</f>
        <v/>
      </c>
      <c r="J2162">
        <f>IF(A2162="","",IFERROR(XLOOKUP(A2162,Tickets[TripKey],Tickets[Capacity]),0))</f>
        <v/>
      </c>
      <c r="K2162">
        <f>IF(A2162="","",I2162*J2162)</f>
        <v/>
      </c>
      <c r="L2162">
        <f>IF(A2162="","",IFERROR(MINIFS(Tickets[Trip Start Time],Tickets[TripKey],A2162),""))</f>
        <v/>
      </c>
    </row>
    <row r="2163">
      <c r="B2163" s="8">
        <f>IF(A2163="","",IFERROR(DATEVALUE(TEXTBEFORE(A2163,"|")),--LEFT(A2163,10)))</f>
        <v/>
      </c>
      <c r="C2163">
        <f>IF(A2163="","",TEXTBEFORE(TEXTAFTER(A2163,"|"),"|"))</f>
        <v/>
      </c>
      <c r="D2163">
        <f>IF(A2163="","",TEXTAFTER(A2163,"|",2))</f>
        <v/>
      </c>
      <c r="E2163">
        <f>IF(A2163="","",SUMIF(Tickets[TripKey],A2163,Tickets[TP]))</f>
        <v/>
      </c>
      <c r="F2163">
        <f>IF(A2163="","",SUMIF(Tickets[TripKey],A2163,Tickets[Revenue]))</f>
        <v/>
      </c>
      <c r="G2163">
        <f>IF(A2163="","",SUMIF(Tickets[TripKey],A2163,Tickets[PK]))</f>
        <v/>
      </c>
      <c r="H2163">
        <f>IF(A2163="","",IFERROR(XLOOKUP(A2163,Tickets[TripKey],Tickets[VehClean]),""))</f>
        <v/>
      </c>
      <c r="I2163">
        <f>IF(A2163="","",IFERROR(XLOOKUP(A2163,Tickets[TripKey],Tickets[RouteLen]),0))</f>
        <v/>
      </c>
      <c r="J2163">
        <f>IF(A2163="","",IFERROR(XLOOKUP(A2163,Tickets[TripKey],Tickets[Capacity]),0))</f>
        <v/>
      </c>
      <c r="K2163">
        <f>IF(A2163="","",I2163*J2163)</f>
        <v/>
      </c>
      <c r="L2163">
        <f>IF(A2163="","",IFERROR(MINIFS(Tickets[Trip Start Time],Tickets[TripKey],A2163),""))</f>
        <v/>
      </c>
    </row>
    <row r="2164">
      <c r="B2164" s="8">
        <f>IF(A2164="","",IFERROR(DATEVALUE(TEXTBEFORE(A2164,"|")),--LEFT(A2164,10)))</f>
        <v/>
      </c>
      <c r="C2164">
        <f>IF(A2164="","",TEXTBEFORE(TEXTAFTER(A2164,"|"),"|"))</f>
        <v/>
      </c>
      <c r="D2164">
        <f>IF(A2164="","",TEXTAFTER(A2164,"|",2))</f>
        <v/>
      </c>
      <c r="E2164">
        <f>IF(A2164="","",SUMIF(Tickets[TripKey],A2164,Tickets[TP]))</f>
        <v/>
      </c>
      <c r="F2164">
        <f>IF(A2164="","",SUMIF(Tickets[TripKey],A2164,Tickets[Revenue]))</f>
        <v/>
      </c>
      <c r="G2164">
        <f>IF(A2164="","",SUMIF(Tickets[TripKey],A2164,Tickets[PK]))</f>
        <v/>
      </c>
      <c r="H2164">
        <f>IF(A2164="","",IFERROR(XLOOKUP(A2164,Tickets[TripKey],Tickets[VehClean]),""))</f>
        <v/>
      </c>
      <c r="I2164">
        <f>IF(A2164="","",IFERROR(XLOOKUP(A2164,Tickets[TripKey],Tickets[RouteLen]),0))</f>
        <v/>
      </c>
      <c r="J2164">
        <f>IF(A2164="","",IFERROR(XLOOKUP(A2164,Tickets[TripKey],Tickets[Capacity]),0))</f>
        <v/>
      </c>
      <c r="K2164">
        <f>IF(A2164="","",I2164*J2164)</f>
        <v/>
      </c>
      <c r="L2164">
        <f>IF(A2164="","",IFERROR(MINIFS(Tickets[Trip Start Time],Tickets[TripKey],A2164),""))</f>
        <v/>
      </c>
    </row>
    <row r="2165">
      <c r="B2165" s="8">
        <f>IF(A2165="","",IFERROR(DATEVALUE(TEXTBEFORE(A2165,"|")),--LEFT(A2165,10)))</f>
        <v/>
      </c>
      <c r="C2165">
        <f>IF(A2165="","",TEXTBEFORE(TEXTAFTER(A2165,"|"),"|"))</f>
        <v/>
      </c>
      <c r="D2165">
        <f>IF(A2165="","",TEXTAFTER(A2165,"|",2))</f>
        <v/>
      </c>
      <c r="E2165">
        <f>IF(A2165="","",SUMIF(Tickets[TripKey],A2165,Tickets[TP]))</f>
        <v/>
      </c>
      <c r="F2165">
        <f>IF(A2165="","",SUMIF(Tickets[TripKey],A2165,Tickets[Revenue]))</f>
        <v/>
      </c>
      <c r="G2165">
        <f>IF(A2165="","",SUMIF(Tickets[TripKey],A2165,Tickets[PK]))</f>
        <v/>
      </c>
      <c r="H2165">
        <f>IF(A2165="","",IFERROR(XLOOKUP(A2165,Tickets[TripKey],Tickets[VehClean]),""))</f>
        <v/>
      </c>
      <c r="I2165">
        <f>IF(A2165="","",IFERROR(XLOOKUP(A2165,Tickets[TripKey],Tickets[RouteLen]),0))</f>
        <v/>
      </c>
      <c r="J2165">
        <f>IF(A2165="","",IFERROR(XLOOKUP(A2165,Tickets[TripKey],Tickets[Capacity]),0))</f>
        <v/>
      </c>
      <c r="K2165">
        <f>IF(A2165="","",I2165*J2165)</f>
        <v/>
      </c>
      <c r="L2165">
        <f>IF(A2165="","",IFERROR(MINIFS(Tickets[Trip Start Time],Tickets[TripKey],A2165),""))</f>
        <v/>
      </c>
    </row>
    <row r="2166">
      <c r="B2166" s="8">
        <f>IF(A2166="","",IFERROR(DATEVALUE(TEXTBEFORE(A2166,"|")),--LEFT(A2166,10)))</f>
        <v/>
      </c>
      <c r="C2166">
        <f>IF(A2166="","",TEXTBEFORE(TEXTAFTER(A2166,"|"),"|"))</f>
        <v/>
      </c>
      <c r="D2166">
        <f>IF(A2166="","",TEXTAFTER(A2166,"|",2))</f>
        <v/>
      </c>
      <c r="E2166">
        <f>IF(A2166="","",SUMIF(Tickets[TripKey],A2166,Tickets[TP]))</f>
        <v/>
      </c>
      <c r="F2166">
        <f>IF(A2166="","",SUMIF(Tickets[TripKey],A2166,Tickets[Revenue]))</f>
        <v/>
      </c>
      <c r="G2166">
        <f>IF(A2166="","",SUMIF(Tickets[TripKey],A2166,Tickets[PK]))</f>
        <v/>
      </c>
      <c r="H2166">
        <f>IF(A2166="","",IFERROR(XLOOKUP(A2166,Tickets[TripKey],Tickets[VehClean]),""))</f>
        <v/>
      </c>
      <c r="I2166">
        <f>IF(A2166="","",IFERROR(XLOOKUP(A2166,Tickets[TripKey],Tickets[RouteLen]),0))</f>
        <v/>
      </c>
      <c r="J2166">
        <f>IF(A2166="","",IFERROR(XLOOKUP(A2166,Tickets[TripKey],Tickets[Capacity]),0))</f>
        <v/>
      </c>
      <c r="K2166">
        <f>IF(A2166="","",I2166*J2166)</f>
        <v/>
      </c>
      <c r="L2166">
        <f>IF(A2166="","",IFERROR(MINIFS(Tickets[Trip Start Time],Tickets[TripKey],A2166),""))</f>
        <v/>
      </c>
    </row>
    <row r="2167">
      <c r="B2167" s="8">
        <f>IF(A2167="","",IFERROR(DATEVALUE(TEXTBEFORE(A2167,"|")),--LEFT(A2167,10)))</f>
        <v/>
      </c>
      <c r="C2167">
        <f>IF(A2167="","",TEXTBEFORE(TEXTAFTER(A2167,"|"),"|"))</f>
        <v/>
      </c>
      <c r="D2167">
        <f>IF(A2167="","",TEXTAFTER(A2167,"|",2))</f>
        <v/>
      </c>
      <c r="E2167">
        <f>IF(A2167="","",SUMIF(Tickets[TripKey],A2167,Tickets[TP]))</f>
        <v/>
      </c>
      <c r="F2167">
        <f>IF(A2167="","",SUMIF(Tickets[TripKey],A2167,Tickets[Revenue]))</f>
        <v/>
      </c>
      <c r="G2167">
        <f>IF(A2167="","",SUMIF(Tickets[TripKey],A2167,Tickets[PK]))</f>
        <v/>
      </c>
      <c r="H2167">
        <f>IF(A2167="","",IFERROR(XLOOKUP(A2167,Tickets[TripKey],Tickets[VehClean]),""))</f>
        <v/>
      </c>
      <c r="I2167">
        <f>IF(A2167="","",IFERROR(XLOOKUP(A2167,Tickets[TripKey],Tickets[RouteLen]),0))</f>
        <v/>
      </c>
      <c r="J2167">
        <f>IF(A2167="","",IFERROR(XLOOKUP(A2167,Tickets[TripKey],Tickets[Capacity]),0))</f>
        <v/>
      </c>
      <c r="K2167">
        <f>IF(A2167="","",I2167*J2167)</f>
        <v/>
      </c>
      <c r="L2167">
        <f>IF(A2167="","",IFERROR(MINIFS(Tickets[Trip Start Time],Tickets[TripKey],A2167),""))</f>
        <v/>
      </c>
    </row>
    <row r="2168">
      <c r="B2168" s="8">
        <f>IF(A2168="","",IFERROR(DATEVALUE(TEXTBEFORE(A2168,"|")),--LEFT(A2168,10)))</f>
        <v/>
      </c>
      <c r="C2168">
        <f>IF(A2168="","",TEXTBEFORE(TEXTAFTER(A2168,"|"),"|"))</f>
        <v/>
      </c>
      <c r="D2168">
        <f>IF(A2168="","",TEXTAFTER(A2168,"|",2))</f>
        <v/>
      </c>
      <c r="E2168">
        <f>IF(A2168="","",SUMIF(Tickets[TripKey],A2168,Tickets[TP]))</f>
        <v/>
      </c>
      <c r="F2168">
        <f>IF(A2168="","",SUMIF(Tickets[TripKey],A2168,Tickets[Revenue]))</f>
        <v/>
      </c>
      <c r="G2168">
        <f>IF(A2168="","",SUMIF(Tickets[TripKey],A2168,Tickets[PK]))</f>
        <v/>
      </c>
      <c r="H2168">
        <f>IF(A2168="","",IFERROR(XLOOKUP(A2168,Tickets[TripKey],Tickets[VehClean]),""))</f>
        <v/>
      </c>
      <c r="I2168">
        <f>IF(A2168="","",IFERROR(XLOOKUP(A2168,Tickets[TripKey],Tickets[RouteLen]),0))</f>
        <v/>
      </c>
      <c r="J2168">
        <f>IF(A2168="","",IFERROR(XLOOKUP(A2168,Tickets[TripKey],Tickets[Capacity]),0))</f>
        <v/>
      </c>
      <c r="K2168">
        <f>IF(A2168="","",I2168*J2168)</f>
        <v/>
      </c>
      <c r="L2168">
        <f>IF(A2168="","",IFERROR(MINIFS(Tickets[Trip Start Time],Tickets[TripKey],A2168),""))</f>
        <v/>
      </c>
    </row>
    <row r="2169">
      <c r="B2169" s="8">
        <f>IF(A2169="","",IFERROR(DATEVALUE(TEXTBEFORE(A2169,"|")),--LEFT(A2169,10)))</f>
        <v/>
      </c>
      <c r="C2169">
        <f>IF(A2169="","",TEXTBEFORE(TEXTAFTER(A2169,"|"),"|"))</f>
        <v/>
      </c>
      <c r="D2169">
        <f>IF(A2169="","",TEXTAFTER(A2169,"|",2))</f>
        <v/>
      </c>
      <c r="E2169">
        <f>IF(A2169="","",SUMIF(Tickets[TripKey],A2169,Tickets[TP]))</f>
        <v/>
      </c>
      <c r="F2169">
        <f>IF(A2169="","",SUMIF(Tickets[TripKey],A2169,Tickets[Revenue]))</f>
        <v/>
      </c>
      <c r="G2169">
        <f>IF(A2169="","",SUMIF(Tickets[TripKey],A2169,Tickets[PK]))</f>
        <v/>
      </c>
      <c r="H2169">
        <f>IF(A2169="","",IFERROR(XLOOKUP(A2169,Tickets[TripKey],Tickets[VehClean]),""))</f>
        <v/>
      </c>
      <c r="I2169">
        <f>IF(A2169="","",IFERROR(XLOOKUP(A2169,Tickets[TripKey],Tickets[RouteLen]),0))</f>
        <v/>
      </c>
      <c r="J2169">
        <f>IF(A2169="","",IFERROR(XLOOKUP(A2169,Tickets[TripKey],Tickets[Capacity]),0))</f>
        <v/>
      </c>
      <c r="K2169">
        <f>IF(A2169="","",I2169*J2169)</f>
        <v/>
      </c>
      <c r="L2169">
        <f>IF(A2169="","",IFERROR(MINIFS(Tickets[Trip Start Time],Tickets[TripKey],A2169),""))</f>
        <v/>
      </c>
    </row>
    <row r="2170">
      <c r="B2170" s="8">
        <f>IF(A2170="","",IFERROR(DATEVALUE(TEXTBEFORE(A2170,"|")),--LEFT(A2170,10)))</f>
        <v/>
      </c>
      <c r="C2170">
        <f>IF(A2170="","",TEXTBEFORE(TEXTAFTER(A2170,"|"),"|"))</f>
        <v/>
      </c>
      <c r="D2170">
        <f>IF(A2170="","",TEXTAFTER(A2170,"|",2))</f>
        <v/>
      </c>
      <c r="E2170">
        <f>IF(A2170="","",SUMIF(Tickets[TripKey],A2170,Tickets[TP]))</f>
        <v/>
      </c>
      <c r="F2170">
        <f>IF(A2170="","",SUMIF(Tickets[TripKey],A2170,Tickets[Revenue]))</f>
        <v/>
      </c>
      <c r="G2170">
        <f>IF(A2170="","",SUMIF(Tickets[TripKey],A2170,Tickets[PK]))</f>
        <v/>
      </c>
      <c r="H2170">
        <f>IF(A2170="","",IFERROR(XLOOKUP(A2170,Tickets[TripKey],Tickets[VehClean]),""))</f>
        <v/>
      </c>
      <c r="I2170">
        <f>IF(A2170="","",IFERROR(XLOOKUP(A2170,Tickets[TripKey],Tickets[RouteLen]),0))</f>
        <v/>
      </c>
      <c r="J2170">
        <f>IF(A2170="","",IFERROR(XLOOKUP(A2170,Tickets[TripKey],Tickets[Capacity]),0))</f>
        <v/>
      </c>
      <c r="K2170">
        <f>IF(A2170="","",I2170*J2170)</f>
        <v/>
      </c>
      <c r="L2170">
        <f>IF(A2170="","",IFERROR(MINIFS(Tickets[Trip Start Time],Tickets[TripKey],A2170),""))</f>
        <v/>
      </c>
    </row>
    <row r="2171">
      <c r="B2171" s="8">
        <f>IF(A2171="","",IFERROR(DATEVALUE(TEXTBEFORE(A2171,"|")),--LEFT(A2171,10)))</f>
        <v/>
      </c>
      <c r="C2171">
        <f>IF(A2171="","",TEXTBEFORE(TEXTAFTER(A2171,"|"),"|"))</f>
        <v/>
      </c>
      <c r="D2171">
        <f>IF(A2171="","",TEXTAFTER(A2171,"|",2))</f>
        <v/>
      </c>
      <c r="E2171">
        <f>IF(A2171="","",SUMIF(Tickets[TripKey],A2171,Tickets[TP]))</f>
        <v/>
      </c>
      <c r="F2171">
        <f>IF(A2171="","",SUMIF(Tickets[TripKey],A2171,Tickets[Revenue]))</f>
        <v/>
      </c>
      <c r="G2171">
        <f>IF(A2171="","",SUMIF(Tickets[TripKey],A2171,Tickets[PK]))</f>
        <v/>
      </c>
      <c r="H2171">
        <f>IF(A2171="","",IFERROR(XLOOKUP(A2171,Tickets[TripKey],Tickets[VehClean]),""))</f>
        <v/>
      </c>
      <c r="I2171">
        <f>IF(A2171="","",IFERROR(XLOOKUP(A2171,Tickets[TripKey],Tickets[RouteLen]),0))</f>
        <v/>
      </c>
      <c r="J2171">
        <f>IF(A2171="","",IFERROR(XLOOKUP(A2171,Tickets[TripKey],Tickets[Capacity]),0))</f>
        <v/>
      </c>
      <c r="K2171">
        <f>IF(A2171="","",I2171*J2171)</f>
        <v/>
      </c>
      <c r="L2171">
        <f>IF(A2171="","",IFERROR(MINIFS(Tickets[Trip Start Time],Tickets[TripKey],A2171),""))</f>
        <v/>
      </c>
    </row>
    <row r="2172">
      <c r="B2172" s="8">
        <f>IF(A2172="","",IFERROR(DATEVALUE(TEXTBEFORE(A2172,"|")),--LEFT(A2172,10)))</f>
        <v/>
      </c>
      <c r="C2172">
        <f>IF(A2172="","",TEXTBEFORE(TEXTAFTER(A2172,"|"),"|"))</f>
        <v/>
      </c>
      <c r="D2172">
        <f>IF(A2172="","",TEXTAFTER(A2172,"|",2))</f>
        <v/>
      </c>
      <c r="E2172">
        <f>IF(A2172="","",SUMIF(Tickets[TripKey],A2172,Tickets[TP]))</f>
        <v/>
      </c>
      <c r="F2172">
        <f>IF(A2172="","",SUMIF(Tickets[TripKey],A2172,Tickets[Revenue]))</f>
        <v/>
      </c>
      <c r="G2172">
        <f>IF(A2172="","",SUMIF(Tickets[TripKey],A2172,Tickets[PK]))</f>
        <v/>
      </c>
      <c r="H2172">
        <f>IF(A2172="","",IFERROR(XLOOKUP(A2172,Tickets[TripKey],Tickets[VehClean]),""))</f>
        <v/>
      </c>
      <c r="I2172">
        <f>IF(A2172="","",IFERROR(XLOOKUP(A2172,Tickets[TripKey],Tickets[RouteLen]),0))</f>
        <v/>
      </c>
      <c r="J2172">
        <f>IF(A2172="","",IFERROR(XLOOKUP(A2172,Tickets[TripKey],Tickets[Capacity]),0))</f>
        <v/>
      </c>
      <c r="K2172">
        <f>IF(A2172="","",I2172*J2172)</f>
        <v/>
      </c>
      <c r="L2172">
        <f>IF(A2172="","",IFERROR(MINIFS(Tickets[Trip Start Time],Tickets[TripKey],A2172),""))</f>
        <v/>
      </c>
    </row>
    <row r="2173">
      <c r="B2173" s="8">
        <f>IF(A2173="","",IFERROR(DATEVALUE(TEXTBEFORE(A2173,"|")),--LEFT(A2173,10)))</f>
        <v/>
      </c>
      <c r="C2173">
        <f>IF(A2173="","",TEXTBEFORE(TEXTAFTER(A2173,"|"),"|"))</f>
        <v/>
      </c>
      <c r="D2173">
        <f>IF(A2173="","",TEXTAFTER(A2173,"|",2))</f>
        <v/>
      </c>
      <c r="E2173">
        <f>IF(A2173="","",SUMIF(Tickets[TripKey],A2173,Tickets[TP]))</f>
        <v/>
      </c>
      <c r="F2173">
        <f>IF(A2173="","",SUMIF(Tickets[TripKey],A2173,Tickets[Revenue]))</f>
        <v/>
      </c>
      <c r="G2173">
        <f>IF(A2173="","",SUMIF(Tickets[TripKey],A2173,Tickets[PK]))</f>
        <v/>
      </c>
      <c r="H2173">
        <f>IF(A2173="","",IFERROR(XLOOKUP(A2173,Tickets[TripKey],Tickets[VehClean]),""))</f>
        <v/>
      </c>
      <c r="I2173">
        <f>IF(A2173="","",IFERROR(XLOOKUP(A2173,Tickets[TripKey],Tickets[RouteLen]),0))</f>
        <v/>
      </c>
      <c r="J2173">
        <f>IF(A2173="","",IFERROR(XLOOKUP(A2173,Tickets[TripKey],Tickets[Capacity]),0))</f>
        <v/>
      </c>
      <c r="K2173">
        <f>IF(A2173="","",I2173*J2173)</f>
        <v/>
      </c>
      <c r="L2173">
        <f>IF(A2173="","",IFERROR(MINIFS(Tickets[Trip Start Time],Tickets[TripKey],A2173),""))</f>
        <v/>
      </c>
    </row>
    <row r="2174">
      <c r="B2174" s="8">
        <f>IF(A2174="","",IFERROR(DATEVALUE(TEXTBEFORE(A2174,"|")),--LEFT(A2174,10)))</f>
        <v/>
      </c>
      <c r="C2174">
        <f>IF(A2174="","",TEXTBEFORE(TEXTAFTER(A2174,"|"),"|"))</f>
        <v/>
      </c>
      <c r="D2174">
        <f>IF(A2174="","",TEXTAFTER(A2174,"|",2))</f>
        <v/>
      </c>
      <c r="E2174">
        <f>IF(A2174="","",SUMIF(Tickets[TripKey],A2174,Tickets[TP]))</f>
        <v/>
      </c>
      <c r="F2174">
        <f>IF(A2174="","",SUMIF(Tickets[TripKey],A2174,Tickets[Revenue]))</f>
        <v/>
      </c>
      <c r="G2174">
        <f>IF(A2174="","",SUMIF(Tickets[TripKey],A2174,Tickets[PK]))</f>
        <v/>
      </c>
      <c r="H2174">
        <f>IF(A2174="","",IFERROR(XLOOKUP(A2174,Tickets[TripKey],Tickets[VehClean]),""))</f>
        <v/>
      </c>
      <c r="I2174">
        <f>IF(A2174="","",IFERROR(XLOOKUP(A2174,Tickets[TripKey],Tickets[RouteLen]),0))</f>
        <v/>
      </c>
      <c r="J2174">
        <f>IF(A2174="","",IFERROR(XLOOKUP(A2174,Tickets[TripKey],Tickets[Capacity]),0))</f>
        <v/>
      </c>
      <c r="K2174">
        <f>IF(A2174="","",I2174*J2174)</f>
        <v/>
      </c>
      <c r="L2174">
        <f>IF(A2174="","",IFERROR(MINIFS(Tickets[Trip Start Time],Tickets[TripKey],A2174),""))</f>
        <v/>
      </c>
    </row>
    <row r="2175">
      <c r="B2175" s="8">
        <f>IF(A2175="","",IFERROR(DATEVALUE(TEXTBEFORE(A2175,"|")),--LEFT(A2175,10)))</f>
        <v/>
      </c>
      <c r="C2175">
        <f>IF(A2175="","",TEXTBEFORE(TEXTAFTER(A2175,"|"),"|"))</f>
        <v/>
      </c>
      <c r="D2175">
        <f>IF(A2175="","",TEXTAFTER(A2175,"|",2))</f>
        <v/>
      </c>
      <c r="E2175">
        <f>IF(A2175="","",SUMIF(Tickets[TripKey],A2175,Tickets[TP]))</f>
        <v/>
      </c>
      <c r="F2175">
        <f>IF(A2175="","",SUMIF(Tickets[TripKey],A2175,Tickets[Revenue]))</f>
        <v/>
      </c>
      <c r="G2175">
        <f>IF(A2175="","",SUMIF(Tickets[TripKey],A2175,Tickets[PK]))</f>
        <v/>
      </c>
      <c r="H2175">
        <f>IF(A2175="","",IFERROR(XLOOKUP(A2175,Tickets[TripKey],Tickets[VehClean]),""))</f>
        <v/>
      </c>
      <c r="I2175">
        <f>IF(A2175="","",IFERROR(XLOOKUP(A2175,Tickets[TripKey],Tickets[RouteLen]),0))</f>
        <v/>
      </c>
      <c r="J2175">
        <f>IF(A2175="","",IFERROR(XLOOKUP(A2175,Tickets[TripKey],Tickets[Capacity]),0))</f>
        <v/>
      </c>
      <c r="K2175">
        <f>IF(A2175="","",I2175*J2175)</f>
        <v/>
      </c>
      <c r="L2175">
        <f>IF(A2175="","",IFERROR(MINIFS(Tickets[Trip Start Time],Tickets[TripKey],A2175),""))</f>
        <v/>
      </c>
    </row>
    <row r="2176">
      <c r="B2176" s="8">
        <f>IF(A2176="","",IFERROR(DATEVALUE(TEXTBEFORE(A2176,"|")),--LEFT(A2176,10)))</f>
        <v/>
      </c>
      <c r="C2176">
        <f>IF(A2176="","",TEXTBEFORE(TEXTAFTER(A2176,"|"),"|"))</f>
        <v/>
      </c>
      <c r="D2176">
        <f>IF(A2176="","",TEXTAFTER(A2176,"|",2))</f>
        <v/>
      </c>
      <c r="E2176">
        <f>IF(A2176="","",SUMIF(Tickets[TripKey],A2176,Tickets[TP]))</f>
        <v/>
      </c>
      <c r="F2176">
        <f>IF(A2176="","",SUMIF(Tickets[TripKey],A2176,Tickets[Revenue]))</f>
        <v/>
      </c>
      <c r="G2176">
        <f>IF(A2176="","",SUMIF(Tickets[TripKey],A2176,Tickets[PK]))</f>
        <v/>
      </c>
      <c r="H2176">
        <f>IF(A2176="","",IFERROR(XLOOKUP(A2176,Tickets[TripKey],Tickets[VehClean]),""))</f>
        <v/>
      </c>
      <c r="I2176">
        <f>IF(A2176="","",IFERROR(XLOOKUP(A2176,Tickets[TripKey],Tickets[RouteLen]),0))</f>
        <v/>
      </c>
      <c r="J2176">
        <f>IF(A2176="","",IFERROR(XLOOKUP(A2176,Tickets[TripKey],Tickets[Capacity]),0))</f>
        <v/>
      </c>
      <c r="K2176">
        <f>IF(A2176="","",I2176*J2176)</f>
        <v/>
      </c>
      <c r="L2176">
        <f>IF(A2176="","",IFERROR(MINIFS(Tickets[Trip Start Time],Tickets[TripKey],A2176),""))</f>
        <v/>
      </c>
    </row>
    <row r="2177">
      <c r="B2177" s="8">
        <f>IF(A2177="","",IFERROR(DATEVALUE(TEXTBEFORE(A2177,"|")),--LEFT(A2177,10)))</f>
        <v/>
      </c>
      <c r="C2177">
        <f>IF(A2177="","",TEXTBEFORE(TEXTAFTER(A2177,"|"),"|"))</f>
        <v/>
      </c>
      <c r="D2177">
        <f>IF(A2177="","",TEXTAFTER(A2177,"|",2))</f>
        <v/>
      </c>
      <c r="E2177">
        <f>IF(A2177="","",SUMIF(Tickets[TripKey],A2177,Tickets[TP]))</f>
        <v/>
      </c>
      <c r="F2177">
        <f>IF(A2177="","",SUMIF(Tickets[TripKey],A2177,Tickets[Revenue]))</f>
        <v/>
      </c>
      <c r="G2177">
        <f>IF(A2177="","",SUMIF(Tickets[TripKey],A2177,Tickets[PK]))</f>
        <v/>
      </c>
      <c r="H2177">
        <f>IF(A2177="","",IFERROR(XLOOKUP(A2177,Tickets[TripKey],Tickets[VehClean]),""))</f>
        <v/>
      </c>
      <c r="I2177">
        <f>IF(A2177="","",IFERROR(XLOOKUP(A2177,Tickets[TripKey],Tickets[RouteLen]),0))</f>
        <v/>
      </c>
      <c r="J2177">
        <f>IF(A2177="","",IFERROR(XLOOKUP(A2177,Tickets[TripKey],Tickets[Capacity]),0))</f>
        <v/>
      </c>
      <c r="K2177">
        <f>IF(A2177="","",I2177*J2177)</f>
        <v/>
      </c>
      <c r="L2177">
        <f>IF(A2177="","",IFERROR(MINIFS(Tickets[Trip Start Time],Tickets[TripKey],A2177),""))</f>
        <v/>
      </c>
    </row>
    <row r="2178">
      <c r="B2178" s="8">
        <f>IF(A2178="","",IFERROR(DATEVALUE(TEXTBEFORE(A2178,"|")),--LEFT(A2178,10)))</f>
        <v/>
      </c>
      <c r="C2178">
        <f>IF(A2178="","",TEXTBEFORE(TEXTAFTER(A2178,"|"),"|"))</f>
        <v/>
      </c>
      <c r="D2178">
        <f>IF(A2178="","",TEXTAFTER(A2178,"|",2))</f>
        <v/>
      </c>
      <c r="E2178">
        <f>IF(A2178="","",SUMIF(Tickets[TripKey],A2178,Tickets[TP]))</f>
        <v/>
      </c>
      <c r="F2178">
        <f>IF(A2178="","",SUMIF(Tickets[TripKey],A2178,Tickets[Revenue]))</f>
        <v/>
      </c>
      <c r="G2178">
        <f>IF(A2178="","",SUMIF(Tickets[TripKey],A2178,Tickets[PK]))</f>
        <v/>
      </c>
      <c r="H2178">
        <f>IF(A2178="","",IFERROR(XLOOKUP(A2178,Tickets[TripKey],Tickets[VehClean]),""))</f>
        <v/>
      </c>
      <c r="I2178">
        <f>IF(A2178="","",IFERROR(XLOOKUP(A2178,Tickets[TripKey],Tickets[RouteLen]),0))</f>
        <v/>
      </c>
      <c r="J2178">
        <f>IF(A2178="","",IFERROR(XLOOKUP(A2178,Tickets[TripKey],Tickets[Capacity]),0))</f>
        <v/>
      </c>
      <c r="K2178">
        <f>IF(A2178="","",I2178*J2178)</f>
        <v/>
      </c>
      <c r="L2178">
        <f>IF(A2178="","",IFERROR(MINIFS(Tickets[Trip Start Time],Tickets[TripKey],A2178),""))</f>
        <v/>
      </c>
    </row>
    <row r="2179">
      <c r="B2179" s="8">
        <f>IF(A2179="","",IFERROR(DATEVALUE(TEXTBEFORE(A2179,"|")),--LEFT(A2179,10)))</f>
        <v/>
      </c>
      <c r="C2179">
        <f>IF(A2179="","",TEXTBEFORE(TEXTAFTER(A2179,"|"),"|"))</f>
        <v/>
      </c>
      <c r="D2179">
        <f>IF(A2179="","",TEXTAFTER(A2179,"|",2))</f>
        <v/>
      </c>
      <c r="E2179">
        <f>IF(A2179="","",SUMIF(Tickets[TripKey],A2179,Tickets[TP]))</f>
        <v/>
      </c>
      <c r="F2179">
        <f>IF(A2179="","",SUMIF(Tickets[TripKey],A2179,Tickets[Revenue]))</f>
        <v/>
      </c>
      <c r="G2179">
        <f>IF(A2179="","",SUMIF(Tickets[TripKey],A2179,Tickets[PK]))</f>
        <v/>
      </c>
      <c r="H2179">
        <f>IF(A2179="","",IFERROR(XLOOKUP(A2179,Tickets[TripKey],Tickets[VehClean]),""))</f>
        <v/>
      </c>
      <c r="I2179">
        <f>IF(A2179="","",IFERROR(XLOOKUP(A2179,Tickets[TripKey],Tickets[RouteLen]),0))</f>
        <v/>
      </c>
      <c r="J2179">
        <f>IF(A2179="","",IFERROR(XLOOKUP(A2179,Tickets[TripKey],Tickets[Capacity]),0))</f>
        <v/>
      </c>
      <c r="K2179">
        <f>IF(A2179="","",I2179*J2179)</f>
        <v/>
      </c>
      <c r="L2179">
        <f>IF(A2179="","",IFERROR(MINIFS(Tickets[Trip Start Time],Tickets[TripKey],A2179),""))</f>
        <v/>
      </c>
    </row>
    <row r="2180">
      <c r="B2180" s="8">
        <f>IF(A2180="","",IFERROR(DATEVALUE(TEXTBEFORE(A2180,"|")),--LEFT(A2180,10)))</f>
        <v/>
      </c>
      <c r="C2180">
        <f>IF(A2180="","",TEXTBEFORE(TEXTAFTER(A2180,"|"),"|"))</f>
        <v/>
      </c>
      <c r="D2180">
        <f>IF(A2180="","",TEXTAFTER(A2180,"|",2))</f>
        <v/>
      </c>
      <c r="E2180">
        <f>IF(A2180="","",SUMIF(Tickets[TripKey],A2180,Tickets[TP]))</f>
        <v/>
      </c>
      <c r="F2180">
        <f>IF(A2180="","",SUMIF(Tickets[TripKey],A2180,Tickets[Revenue]))</f>
        <v/>
      </c>
      <c r="G2180">
        <f>IF(A2180="","",SUMIF(Tickets[TripKey],A2180,Tickets[PK]))</f>
        <v/>
      </c>
      <c r="H2180">
        <f>IF(A2180="","",IFERROR(XLOOKUP(A2180,Tickets[TripKey],Tickets[VehClean]),""))</f>
        <v/>
      </c>
      <c r="I2180">
        <f>IF(A2180="","",IFERROR(XLOOKUP(A2180,Tickets[TripKey],Tickets[RouteLen]),0))</f>
        <v/>
      </c>
      <c r="J2180">
        <f>IF(A2180="","",IFERROR(XLOOKUP(A2180,Tickets[TripKey],Tickets[Capacity]),0))</f>
        <v/>
      </c>
      <c r="K2180">
        <f>IF(A2180="","",I2180*J2180)</f>
        <v/>
      </c>
      <c r="L2180">
        <f>IF(A2180="","",IFERROR(MINIFS(Tickets[Trip Start Time],Tickets[TripKey],A2180),""))</f>
        <v/>
      </c>
    </row>
    <row r="2181">
      <c r="B2181" s="8">
        <f>IF(A2181="","",IFERROR(DATEVALUE(TEXTBEFORE(A2181,"|")),--LEFT(A2181,10)))</f>
        <v/>
      </c>
      <c r="C2181">
        <f>IF(A2181="","",TEXTBEFORE(TEXTAFTER(A2181,"|"),"|"))</f>
        <v/>
      </c>
      <c r="D2181">
        <f>IF(A2181="","",TEXTAFTER(A2181,"|",2))</f>
        <v/>
      </c>
      <c r="E2181">
        <f>IF(A2181="","",SUMIF(Tickets[TripKey],A2181,Tickets[TP]))</f>
        <v/>
      </c>
      <c r="F2181">
        <f>IF(A2181="","",SUMIF(Tickets[TripKey],A2181,Tickets[Revenue]))</f>
        <v/>
      </c>
      <c r="G2181">
        <f>IF(A2181="","",SUMIF(Tickets[TripKey],A2181,Tickets[PK]))</f>
        <v/>
      </c>
      <c r="H2181">
        <f>IF(A2181="","",IFERROR(XLOOKUP(A2181,Tickets[TripKey],Tickets[VehClean]),""))</f>
        <v/>
      </c>
      <c r="I2181">
        <f>IF(A2181="","",IFERROR(XLOOKUP(A2181,Tickets[TripKey],Tickets[RouteLen]),0))</f>
        <v/>
      </c>
      <c r="J2181">
        <f>IF(A2181="","",IFERROR(XLOOKUP(A2181,Tickets[TripKey],Tickets[Capacity]),0))</f>
        <v/>
      </c>
      <c r="K2181">
        <f>IF(A2181="","",I2181*J2181)</f>
        <v/>
      </c>
      <c r="L2181">
        <f>IF(A2181="","",IFERROR(MINIFS(Tickets[Trip Start Time],Tickets[TripKey],A2181),""))</f>
        <v/>
      </c>
    </row>
    <row r="2182">
      <c r="B2182" s="8">
        <f>IF(A2182="","",IFERROR(DATEVALUE(TEXTBEFORE(A2182,"|")),--LEFT(A2182,10)))</f>
        <v/>
      </c>
      <c r="C2182">
        <f>IF(A2182="","",TEXTBEFORE(TEXTAFTER(A2182,"|"),"|"))</f>
        <v/>
      </c>
      <c r="D2182">
        <f>IF(A2182="","",TEXTAFTER(A2182,"|",2))</f>
        <v/>
      </c>
      <c r="E2182">
        <f>IF(A2182="","",SUMIF(Tickets[TripKey],A2182,Tickets[TP]))</f>
        <v/>
      </c>
      <c r="F2182">
        <f>IF(A2182="","",SUMIF(Tickets[TripKey],A2182,Tickets[Revenue]))</f>
        <v/>
      </c>
      <c r="G2182">
        <f>IF(A2182="","",SUMIF(Tickets[TripKey],A2182,Tickets[PK]))</f>
        <v/>
      </c>
      <c r="H2182">
        <f>IF(A2182="","",IFERROR(XLOOKUP(A2182,Tickets[TripKey],Tickets[VehClean]),""))</f>
        <v/>
      </c>
      <c r="I2182">
        <f>IF(A2182="","",IFERROR(XLOOKUP(A2182,Tickets[TripKey],Tickets[RouteLen]),0))</f>
        <v/>
      </c>
      <c r="J2182">
        <f>IF(A2182="","",IFERROR(XLOOKUP(A2182,Tickets[TripKey],Tickets[Capacity]),0))</f>
        <v/>
      </c>
      <c r="K2182">
        <f>IF(A2182="","",I2182*J2182)</f>
        <v/>
      </c>
      <c r="L2182">
        <f>IF(A2182="","",IFERROR(MINIFS(Tickets[Trip Start Time],Tickets[TripKey],A2182),""))</f>
        <v/>
      </c>
    </row>
    <row r="2183">
      <c r="B2183" s="8">
        <f>IF(A2183="","",IFERROR(DATEVALUE(TEXTBEFORE(A2183,"|")),--LEFT(A2183,10)))</f>
        <v/>
      </c>
      <c r="C2183">
        <f>IF(A2183="","",TEXTBEFORE(TEXTAFTER(A2183,"|"),"|"))</f>
        <v/>
      </c>
      <c r="D2183">
        <f>IF(A2183="","",TEXTAFTER(A2183,"|",2))</f>
        <v/>
      </c>
      <c r="E2183">
        <f>IF(A2183="","",SUMIF(Tickets[TripKey],A2183,Tickets[TP]))</f>
        <v/>
      </c>
      <c r="F2183">
        <f>IF(A2183="","",SUMIF(Tickets[TripKey],A2183,Tickets[Revenue]))</f>
        <v/>
      </c>
      <c r="G2183">
        <f>IF(A2183="","",SUMIF(Tickets[TripKey],A2183,Tickets[PK]))</f>
        <v/>
      </c>
      <c r="H2183">
        <f>IF(A2183="","",IFERROR(XLOOKUP(A2183,Tickets[TripKey],Tickets[VehClean]),""))</f>
        <v/>
      </c>
      <c r="I2183">
        <f>IF(A2183="","",IFERROR(XLOOKUP(A2183,Tickets[TripKey],Tickets[RouteLen]),0))</f>
        <v/>
      </c>
      <c r="J2183">
        <f>IF(A2183="","",IFERROR(XLOOKUP(A2183,Tickets[TripKey],Tickets[Capacity]),0))</f>
        <v/>
      </c>
      <c r="K2183">
        <f>IF(A2183="","",I2183*J2183)</f>
        <v/>
      </c>
      <c r="L2183">
        <f>IF(A2183="","",IFERROR(MINIFS(Tickets[Trip Start Time],Tickets[TripKey],A2183),""))</f>
        <v/>
      </c>
    </row>
    <row r="2184">
      <c r="B2184" s="8">
        <f>IF(A2184="","",IFERROR(DATEVALUE(TEXTBEFORE(A2184,"|")),--LEFT(A2184,10)))</f>
        <v/>
      </c>
      <c r="C2184">
        <f>IF(A2184="","",TEXTBEFORE(TEXTAFTER(A2184,"|"),"|"))</f>
        <v/>
      </c>
      <c r="D2184">
        <f>IF(A2184="","",TEXTAFTER(A2184,"|",2))</f>
        <v/>
      </c>
      <c r="E2184">
        <f>IF(A2184="","",SUMIF(Tickets[TripKey],A2184,Tickets[TP]))</f>
        <v/>
      </c>
      <c r="F2184">
        <f>IF(A2184="","",SUMIF(Tickets[TripKey],A2184,Tickets[Revenue]))</f>
        <v/>
      </c>
      <c r="G2184">
        <f>IF(A2184="","",SUMIF(Tickets[TripKey],A2184,Tickets[PK]))</f>
        <v/>
      </c>
      <c r="H2184">
        <f>IF(A2184="","",IFERROR(XLOOKUP(A2184,Tickets[TripKey],Tickets[VehClean]),""))</f>
        <v/>
      </c>
      <c r="I2184">
        <f>IF(A2184="","",IFERROR(XLOOKUP(A2184,Tickets[TripKey],Tickets[RouteLen]),0))</f>
        <v/>
      </c>
      <c r="J2184">
        <f>IF(A2184="","",IFERROR(XLOOKUP(A2184,Tickets[TripKey],Tickets[Capacity]),0))</f>
        <v/>
      </c>
      <c r="K2184">
        <f>IF(A2184="","",I2184*J2184)</f>
        <v/>
      </c>
      <c r="L2184">
        <f>IF(A2184="","",IFERROR(MINIFS(Tickets[Trip Start Time],Tickets[TripKey],A2184),""))</f>
        <v/>
      </c>
    </row>
    <row r="2185">
      <c r="B2185" s="8">
        <f>IF(A2185="","",IFERROR(DATEVALUE(TEXTBEFORE(A2185,"|")),--LEFT(A2185,10)))</f>
        <v/>
      </c>
      <c r="C2185">
        <f>IF(A2185="","",TEXTBEFORE(TEXTAFTER(A2185,"|"),"|"))</f>
        <v/>
      </c>
      <c r="D2185">
        <f>IF(A2185="","",TEXTAFTER(A2185,"|",2))</f>
        <v/>
      </c>
      <c r="E2185">
        <f>IF(A2185="","",SUMIF(Tickets[TripKey],A2185,Tickets[TP]))</f>
        <v/>
      </c>
      <c r="F2185">
        <f>IF(A2185="","",SUMIF(Tickets[TripKey],A2185,Tickets[Revenue]))</f>
        <v/>
      </c>
      <c r="G2185">
        <f>IF(A2185="","",SUMIF(Tickets[TripKey],A2185,Tickets[PK]))</f>
        <v/>
      </c>
      <c r="H2185">
        <f>IF(A2185="","",IFERROR(XLOOKUP(A2185,Tickets[TripKey],Tickets[VehClean]),""))</f>
        <v/>
      </c>
      <c r="I2185">
        <f>IF(A2185="","",IFERROR(XLOOKUP(A2185,Tickets[TripKey],Tickets[RouteLen]),0))</f>
        <v/>
      </c>
      <c r="J2185">
        <f>IF(A2185="","",IFERROR(XLOOKUP(A2185,Tickets[TripKey],Tickets[Capacity]),0))</f>
        <v/>
      </c>
      <c r="K2185">
        <f>IF(A2185="","",I2185*J2185)</f>
        <v/>
      </c>
      <c r="L2185">
        <f>IF(A2185="","",IFERROR(MINIFS(Tickets[Trip Start Time],Tickets[TripKey],A2185),""))</f>
        <v/>
      </c>
    </row>
    <row r="2186">
      <c r="B2186" s="8">
        <f>IF(A2186="","",IFERROR(DATEVALUE(TEXTBEFORE(A2186,"|")),--LEFT(A2186,10)))</f>
        <v/>
      </c>
      <c r="C2186">
        <f>IF(A2186="","",TEXTBEFORE(TEXTAFTER(A2186,"|"),"|"))</f>
        <v/>
      </c>
      <c r="D2186">
        <f>IF(A2186="","",TEXTAFTER(A2186,"|",2))</f>
        <v/>
      </c>
      <c r="E2186">
        <f>IF(A2186="","",SUMIF(Tickets[TripKey],A2186,Tickets[TP]))</f>
        <v/>
      </c>
      <c r="F2186">
        <f>IF(A2186="","",SUMIF(Tickets[TripKey],A2186,Tickets[Revenue]))</f>
        <v/>
      </c>
      <c r="G2186">
        <f>IF(A2186="","",SUMIF(Tickets[TripKey],A2186,Tickets[PK]))</f>
        <v/>
      </c>
      <c r="H2186">
        <f>IF(A2186="","",IFERROR(XLOOKUP(A2186,Tickets[TripKey],Tickets[VehClean]),""))</f>
        <v/>
      </c>
      <c r="I2186">
        <f>IF(A2186="","",IFERROR(XLOOKUP(A2186,Tickets[TripKey],Tickets[RouteLen]),0))</f>
        <v/>
      </c>
      <c r="J2186">
        <f>IF(A2186="","",IFERROR(XLOOKUP(A2186,Tickets[TripKey],Tickets[Capacity]),0))</f>
        <v/>
      </c>
      <c r="K2186">
        <f>IF(A2186="","",I2186*J2186)</f>
        <v/>
      </c>
      <c r="L2186">
        <f>IF(A2186="","",IFERROR(MINIFS(Tickets[Trip Start Time],Tickets[TripKey],A2186),""))</f>
        <v/>
      </c>
    </row>
    <row r="2187">
      <c r="B2187" s="8">
        <f>IF(A2187="","",IFERROR(DATEVALUE(TEXTBEFORE(A2187,"|")),--LEFT(A2187,10)))</f>
        <v/>
      </c>
      <c r="C2187">
        <f>IF(A2187="","",TEXTBEFORE(TEXTAFTER(A2187,"|"),"|"))</f>
        <v/>
      </c>
      <c r="D2187">
        <f>IF(A2187="","",TEXTAFTER(A2187,"|",2))</f>
        <v/>
      </c>
      <c r="E2187">
        <f>IF(A2187="","",SUMIF(Tickets[TripKey],A2187,Tickets[TP]))</f>
        <v/>
      </c>
      <c r="F2187">
        <f>IF(A2187="","",SUMIF(Tickets[TripKey],A2187,Tickets[Revenue]))</f>
        <v/>
      </c>
      <c r="G2187">
        <f>IF(A2187="","",SUMIF(Tickets[TripKey],A2187,Tickets[PK]))</f>
        <v/>
      </c>
      <c r="H2187">
        <f>IF(A2187="","",IFERROR(XLOOKUP(A2187,Tickets[TripKey],Tickets[VehClean]),""))</f>
        <v/>
      </c>
      <c r="I2187">
        <f>IF(A2187="","",IFERROR(XLOOKUP(A2187,Tickets[TripKey],Tickets[RouteLen]),0))</f>
        <v/>
      </c>
      <c r="J2187">
        <f>IF(A2187="","",IFERROR(XLOOKUP(A2187,Tickets[TripKey],Tickets[Capacity]),0))</f>
        <v/>
      </c>
      <c r="K2187">
        <f>IF(A2187="","",I2187*J2187)</f>
        <v/>
      </c>
      <c r="L2187">
        <f>IF(A2187="","",IFERROR(MINIFS(Tickets[Trip Start Time],Tickets[TripKey],A2187),""))</f>
        <v/>
      </c>
    </row>
    <row r="2188">
      <c r="B2188" s="8">
        <f>IF(A2188="","",IFERROR(DATEVALUE(TEXTBEFORE(A2188,"|")),--LEFT(A2188,10)))</f>
        <v/>
      </c>
      <c r="C2188">
        <f>IF(A2188="","",TEXTBEFORE(TEXTAFTER(A2188,"|"),"|"))</f>
        <v/>
      </c>
      <c r="D2188">
        <f>IF(A2188="","",TEXTAFTER(A2188,"|",2))</f>
        <v/>
      </c>
      <c r="E2188">
        <f>IF(A2188="","",SUMIF(Tickets[TripKey],A2188,Tickets[TP]))</f>
        <v/>
      </c>
      <c r="F2188">
        <f>IF(A2188="","",SUMIF(Tickets[TripKey],A2188,Tickets[Revenue]))</f>
        <v/>
      </c>
      <c r="G2188">
        <f>IF(A2188="","",SUMIF(Tickets[TripKey],A2188,Tickets[PK]))</f>
        <v/>
      </c>
      <c r="H2188">
        <f>IF(A2188="","",IFERROR(XLOOKUP(A2188,Tickets[TripKey],Tickets[VehClean]),""))</f>
        <v/>
      </c>
      <c r="I2188">
        <f>IF(A2188="","",IFERROR(XLOOKUP(A2188,Tickets[TripKey],Tickets[RouteLen]),0))</f>
        <v/>
      </c>
      <c r="J2188">
        <f>IF(A2188="","",IFERROR(XLOOKUP(A2188,Tickets[TripKey],Tickets[Capacity]),0))</f>
        <v/>
      </c>
      <c r="K2188">
        <f>IF(A2188="","",I2188*J2188)</f>
        <v/>
      </c>
      <c r="L2188">
        <f>IF(A2188="","",IFERROR(MINIFS(Tickets[Trip Start Time],Tickets[TripKey],A2188),""))</f>
        <v/>
      </c>
    </row>
    <row r="2189">
      <c r="B2189" s="8">
        <f>IF(A2189="","",IFERROR(DATEVALUE(TEXTBEFORE(A2189,"|")),--LEFT(A2189,10)))</f>
        <v/>
      </c>
      <c r="C2189">
        <f>IF(A2189="","",TEXTBEFORE(TEXTAFTER(A2189,"|"),"|"))</f>
        <v/>
      </c>
      <c r="D2189">
        <f>IF(A2189="","",TEXTAFTER(A2189,"|",2))</f>
        <v/>
      </c>
      <c r="E2189">
        <f>IF(A2189="","",SUMIF(Tickets[TripKey],A2189,Tickets[TP]))</f>
        <v/>
      </c>
      <c r="F2189">
        <f>IF(A2189="","",SUMIF(Tickets[TripKey],A2189,Tickets[Revenue]))</f>
        <v/>
      </c>
      <c r="G2189">
        <f>IF(A2189="","",SUMIF(Tickets[TripKey],A2189,Tickets[PK]))</f>
        <v/>
      </c>
      <c r="H2189">
        <f>IF(A2189="","",IFERROR(XLOOKUP(A2189,Tickets[TripKey],Tickets[VehClean]),""))</f>
        <v/>
      </c>
      <c r="I2189">
        <f>IF(A2189="","",IFERROR(XLOOKUP(A2189,Tickets[TripKey],Tickets[RouteLen]),0))</f>
        <v/>
      </c>
      <c r="J2189">
        <f>IF(A2189="","",IFERROR(XLOOKUP(A2189,Tickets[TripKey],Tickets[Capacity]),0))</f>
        <v/>
      </c>
      <c r="K2189">
        <f>IF(A2189="","",I2189*J2189)</f>
        <v/>
      </c>
      <c r="L2189">
        <f>IF(A2189="","",IFERROR(MINIFS(Tickets[Trip Start Time],Tickets[TripKey],A2189),""))</f>
        <v/>
      </c>
    </row>
    <row r="2190">
      <c r="B2190" s="8">
        <f>IF(A2190="","",IFERROR(DATEVALUE(TEXTBEFORE(A2190,"|")),--LEFT(A2190,10)))</f>
        <v/>
      </c>
      <c r="C2190">
        <f>IF(A2190="","",TEXTBEFORE(TEXTAFTER(A2190,"|"),"|"))</f>
        <v/>
      </c>
      <c r="D2190">
        <f>IF(A2190="","",TEXTAFTER(A2190,"|",2))</f>
        <v/>
      </c>
      <c r="E2190">
        <f>IF(A2190="","",SUMIF(Tickets[TripKey],A2190,Tickets[TP]))</f>
        <v/>
      </c>
      <c r="F2190">
        <f>IF(A2190="","",SUMIF(Tickets[TripKey],A2190,Tickets[Revenue]))</f>
        <v/>
      </c>
      <c r="G2190">
        <f>IF(A2190="","",SUMIF(Tickets[TripKey],A2190,Tickets[PK]))</f>
        <v/>
      </c>
      <c r="H2190">
        <f>IF(A2190="","",IFERROR(XLOOKUP(A2190,Tickets[TripKey],Tickets[VehClean]),""))</f>
        <v/>
      </c>
      <c r="I2190">
        <f>IF(A2190="","",IFERROR(XLOOKUP(A2190,Tickets[TripKey],Tickets[RouteLen]),0))</f>
        <v/>
      </c>
      <c r="J2190">
        <f>IF(A2190="","",IFERROR(XLOOKUP(A2190,Tickets[TripKey],Tickets[Capacity]),0))</f>
        <v/>
      </c>
      <c r="K2190">
        <f>IF(A2190="","",I2190*J2190)</f>
        <v/>
      </c>
      <c r="L2190">
        <f>IF(A2190="","",IFERROR(MINIFS(Tickets[Trip Start Time],Tickets[TripKey],A2190),""))</f>
        <v/>
      </c>
    </row>
    <row r="2191">
      <c r="B2191" s="8">
        <f>IF(A2191="","",IFERROR(DATEVALUE(TEXTBEFORE(A2191,"|")),--LEFT(A2191,10)))</f>
        <v/>
      </c>
      <c r="C2191">
        <f>IF(A2191="","",TEXTBEFORE(TEXTAFTER(A2191,"|"),"|"))</f>
        <v/>
      </c>
      <c r="D2191">
        <f>IF(A2191="","",TEXTAFTER(A2191,"|",2))</f>
        <v/>
      </c>
      <c r="E2191">
        <f>IF(A2191="","",SUMIF(Tickets[TripKey],A2191,Tickets[TP]))</f>
        <v/>
      </c>
      <c r="F2191">
        <f>IF(A2191="","",SUMIF(Tickets[TripKey],A2191,Tickets[Revenue]))</f>
        <v/>
      </c>
      <c r="G2191">
        <f>IF(A2191="","",SUMIF(Tickets[TripKey],A2191,Tickets[PK]))</f>
        <v/>
      </c>
      <c r="H2191">
        <f>IF(A2191="","",IFERROR(XLOOKUP(A2191,Tickets[TripKey],Tickets[VehClean]),""))</f>
        <v/>
      </c>
      <c r="I2191">
        <f>IF(A2191="","",IFERROR(XLOOKUP(A2191,Tickets[TripKey],Tickets[RouteLen]),0))</f>
        <v/>
      </c>
      <c r="J2191">
        <f>IF(A2191="","",IFERROR(XLOOKUP(A2191,Tickets[TripKey],Tickets[Capacity]),0))</f>
        <v/>
      </c>
      <c r="K2191">
        <f>IF(A2191="","",I2191*J2191)</f>
        <v/>
      </c>
      <c r="L2191">
        <f>IF(A2191="","",IFERROR(MINIFS(Tickets[Trip Start Time],Tickets[TripKey],A2191),""))</f>
        <v/>
      </c>
    </row>
    <row r="2192">
      <c r="B2192" s="8">
        <f>IF(A2192="","",IFERROR(DATEVALUE(TEXTBEFORE(A2192,"|")),--LEFT(A2192,10)))</f>
        <v/>
      </c>
      <c r="C2192">
        <f>IF(A2192="","",TEXTBEFORE(TEXTAFTER(A2192,"|"),"|"))</f>
        <v/>
      </c>
      <c r="D2192">
        <f>IF(A2192="","",TEXTAFTER(A2192,"|",2))</f>
        <v/>
      </c>
      <c r="E2192">
        <f>IF(A2192="","",SUMIF(Tickets[TripKey],A2192,Tickets[TP]))</f>
        <v/>
      </c>
      <c r="F2192">
        <f>IF(A2192="","",SUMIF(Tickets[TripKey],A2192,Tickets[Revenue]))</f>
        <v/>
      </c>
      <c r="G2192">
        <f>IF(A2192="","",SUMIF(Tickets[TripKey],A2192,Tickets[PK]))</f>
        <v/>
      </c>
      <c r="H2192">
        <f>IF(A2192="","",IFERROR(XLOOKUP(A2192,Tickets[TripKey],Tickets[VehClean]),""))</f>
        <v/>
      </c>
      <c r="I2192">
        <f>IF(A2192="","",IFERROR(XLOOKUP(A2192,Tickets[TripKey],Tickets[RouteLen]),0))</f>
        <v/>
      </c>
      <c r="J2192">
        <f>IF(A2192="","",IFERROR(XLOOKUP(A2192,Tickets[TripKey],Tickets[Capacity]),0))</f>
        <v/>
      </c>
      <c r="K2192">
        <f>IF(A2192="","",I2192*J2192)</f>
        <v/>
      </c>
      <c r="L2192">
        <f>IF(A2192="","",IFERROR(MINIFS(Tickets[Trip Start Time],Tickets[TripKey],A2192),""))</f>
        <v/>
      </c>
    </row>
    <row r="2193">
      <c r="B2193" s="8">
        <f>IF(A2193="","",IFERROR(DATEVALUE(TEXTBEFORE(A2193,"|")),--LEFT(A2193,10)))</f>
        <v/>
      </c>
      <c r="C2193">
        <f>IF(A2193="","",TEXTBEFORE(TEXTAFTER(A2193,"|"),"|"))</f>
        <v/>
      </c>
      <c r="D2193">
        <f>IF(A2193="","",TEXTAFTER(A2193,"|",2))</f>
        <v/>
      </c>
      <c r="E2193">
        <f>IF(A2193="","",SUMIF(Tickets[TripKey],A2193,Tickets[TP]))</f>
        <v/>
      </c>
      <c r="F2193">
        <f>IF(A2193="","",SUMIF(Tickets[TripKey],A2193,Tickets[Revenue]))</f>
        <v/>
      </c>
      <c r="G2193">
        <f>IF(A2193="","",SUMIF(Tickets[TripKey],A2193,Tickets[PK]))</f>
        <v/>
      </c>
      <c r="H2193">
        <f>IF(A2193="","",IFERROR(XLOOKUP(A2193,Tickets[TripKey],Tickets[VehClean]),""))</f>
        <v/>
      </c>
      <c r="I2193">
        <f>IF(A2193="","",IFERROR(XLOOKUP(A2193,Tickets[TripKey],Tickets[RouteLen]),0))</f>
        <v/>
      </c>
      <c r="J2193">
        <f>IF(A2193="","",IFERROR(XLOOKUP(A2193,Tickets[TripKey],Tickets[Capacity]),0))</f>
        <v/>
      </c>
      <c r="K2193">
        <f>IF(A2193="","",I2193*J2193)</f>
        <v/>
      </c>
      <c r="L2193">
        <f>IF(A2193="","",IFERROR(MINIFS(Tickets[Trip Start Time],Tickets[TripKey],A2193),""))</f>
        <v/>
      </c>
    </row>
    <row r="2194">
      <c r="B2194" s="8">
        <f>IF(A2194="","",IFERROR(DATEVALUE(TEXTBEFORE(A2194,"|")),--LEFT(A2194,10)))</f>
        <v/>
      </c>
      <c r="C2194">
        <f>IF(A2194="","",TEXTBEFORE(TEXTAFTER(A2194,"|"),"|"))</f>
        <v/>
      </c>
      <c r="D2194">
        <f>IF(A2194="","",TEXTAFTER(A2194,"|",2))</f>
        <v/>
      </c>
      <c r="E2194">
        <f>IF(A2194="","",SUMIF(Tickets[TripKey],A2194,Tickets[TP]))</f>
        <v/>
      </c>
      <c r="F2194">
        <f>IF(A2194="","",SUMIF(Tickets[TripKey],A2194,Tickets[Revenue]))</f>
        <v/>
      </c>
      <c r="G2194">
        <f>IF(A2194="","",SUMIF(Tickets[TripKey],A2194,Tickets[PK]))</f>
        <v/>
      </c>
      <c r="H2194">
        <f>IF(A2194="","",IFERROR(XLOOKUP(A2194,Tickets[TripKey],Tickets[VehClean]),""))</f>
        <v/>
      </c>
      <c r="I2194">
        <f>IF(A2194="","",IFERROR(XLOOKUP(A2194,Tickets[TripKey],Tickets[RouteLen]),0))</f>
        <v/>
      </c>
      <c r="J2194">
        <f>IF(A2194="","",IFERROR(XLOOKUP(A2194,Tickets[TripKey],Tickets[Capacity]),0))</f>
        <v/>
      </c>
      <c r="K2194">
        <f>IF(A2194="","",I2194*J2194)</f>
        <v/>
      </c>
      <c r="L2194">
        <f>IF(A2194="","",IFERROR(MINIFS(Tickets[Trip Start Time],Tickets[TripKey],A2194),""))</f>
        <v/>
      </c>
    </row>
    <row r="2195">
      <c r="B2195" s="8">
        <f>IF(A2195="","",IFERROR(DATEVALUE(TEXTBEFORE(A2195,"|")),--LEFT(A2195,10)))</f>
        <v/>
      </c>
      <c r="C2195">
        <f>IF(A2195="","",TEXTBEFORE(TEXTAFTER(A2195,"|"),"|"))</f>
        <v/>
      </c>
      <c r="D2195">
        <f>IF(A2195="","",TEXTAFTER(A2195,"|",2))</f>
        <v/>
      </c>
      <c r="E2195">
        <f>IF(A2195="","",SUMIF(Tickets[TripKey],A2195,Tickets[TP]))</f>
        <v/>
      </c>
      <c r="F2195">
        <f>IF(A2195="","",SUMIF(Tickets[TripKey],A2195,Tickets[Revenue]))</f>
        <v/>
      </c>
      <c r="G2195">
        <f>IF(A2195="","",SUMIF(Tickets[TripKey],A2195,Tickets[PK]))</f>
        <v/>
      </c>
      <c r="H2195">
        <f>IF(A2195="","",IFERROR(XLOOKUP(A2195,Tickets[TripKey],Tickets[VehClean]),""))</f>
        <v/>
      </c>
      <c r="I2195">
        <f>IF(A2195="","",IFERROR(XLOOKUP(A2195,Tickets[TripKey],Tickets[RouteLen]),0))</f>
        <v/>
      </c>
      <c r="J2195">
        <f>IF(A2195="","",IFERROR(XLOOKUP(A2195,Tickets[TripKey],Tickets[Capacity]),0))</f>
        <v/>
      </c>
      <c r="K2195">
        <f>IF(A2195="","",I2195*J2195)</f>
        <v/>
      </c>
      <c r="L2195">
        <f>IF(A2195="","",IFERROR(MINIFS(Tickets[Trip Start Time],Tickets[TripKey],A2195),""))</f>
        <v/>
      </c>
    </row>
    <row r="2196">
      <c r="B2196" s="8">
        <f>IF(A2196="","",IFERROR(DATEVALUE(TEXTBEFORE(A2196,"|")),--LEFT(A2196,10)))</f>
        <v/>
      </c>
      <c r="C2196">
        <f>IF(A2196="","",TEXTBEFORE(TEXTAFTER(A2196,"|"),"|"))</f>
        <v/>
      </c>
      <c r="D2196">
        <f>IF(A2196="","",TEXTAFTER(A2196,"|",2))</f>
        <v/>
      </c>
      <c r="E2196">
        <f>IF(A2196="","",SUMIF(Tickets[TripKey],A2196,Tickets[TP]))</f>
        <v/>
      </c>
      <c r="F2196">
        <f>IF(A2196="","",SUMIF(Tickets[TripKey],A2196,Tickets[Revenue]))</f>
        <v/>
      </c>
      <c r="G2196">
        <f>IF(A2196="","",SUMIF(Tickets[TripKey],A2196,Tickets[PK]))</f>
        <v/>
      </c>
      <c r="H2196">
        <f>IF(A2196="","",IFERROR(XLOOKUP(A2196,Tickets[TripKey],Tickets[VehClean]),""))</f>
        <v/>
      </c>
      <c r="I2196">
        <f>IF(A2196="","",IFERROR(XLOOKUP(A2196,Tickets[TripKey],Tickets[RouteLen]),0))</f>
        <v/>
      </c>
      <c r="J2196">
        <f>IF(A2196="","",IFERROR(XLOOKUP(A2196,Tickets[TripKey],Tickets[Capacity]),0))</f>
        <v/>
      </c>
      <c r="K2196">
        <f>IF(A2196="","",I2196*J2196)</f>
        <v/>
      </c>
      <c r="L2196">
        <f>IF(A2196="","",IFERROR(MINIFS(Tickets[Trip Start Time],Tickets[TripKey],A2196),""))</f>
        <v/>
      </c>
    </row>
    <row r="2197">
      <c r="B2197" s="8">
        <f>IF(A2197="","",IFERROR(DATEVALUE(TEXTBEFORE(A2197,"|")),--LEFT(A2197,10)))</f>
        <v/>
      </c>
      <c r="C2197">
        <f>IF(A2197="","",TEXTBEFORE(TEXTAFTER(A2197,"|"),"|"))</f>
        <v/>
      </c>
      <c r="D2197">
        <f>IF(A2197="","",TEXTAFTER(A2197,"|",2))</f>
        <v/>
      </c>
      <c r="E2197">
        <f>IF(A2197="","",SUMIF(Tickets[TripKey],A2197,Tickets[TP]))</f>
        <v/>
      </c>
      <c r="F2197">
        <f>IF(A2197="","",SUMIF(Tickets[TripKey],A2197,Tickets[Revenue]))</f>
        <v/>
      </c>
      <c r="G2197">
        <f>IF(A2197="","",SUMIF(Tickets[TripKey],A2197,Tickets[PK]))</f>
        <v/>
      </c>
      <c r="H2197">
        <f>IF(A2197="","",IFERROR(XLOOKUP(A2197,Tickets[TripKey],Tickets[VehClean]),""))</f>
        <v/>
      </c>
      <c r="I2197">
        <f>IF(A2197="","",IFERROR(XLOOKUP(A2197,Tickets[TripKey],Tickets[RouteLen]),0))</f>
        <v/>
      </c>
      <c r="J2197">
        <f>IF(A2197="","",IFERROR(XLOOKUP(A2197,Tickets[TripKey],Tickets[Capacity]),0))</f>
        <v/>
      </c>
      <c r="K2197">
        <f>IF(A2197="","",I2197*J2197)</f>
        <v/>
      </c>
      <c r="L2197">
        <f>IF(A2197="","",IFERROR(MINIFS(Tickets[Trip Start Time],Tickets[TripKey],A2197),""))</f>
        <v/>
      </c>
    </row>
    <row r="2198">
      <c r="B2198" s="8">
        <f>IF(A2198="","",IFERROR(DATEVALUE(TEXTBEFORE(A2198,"|")),--LEFT(A2198,10)))</f>
        <v/>
      </c>
      <c r="C2198">
        <f>IF(A2198="","",TEXTBEFORE(TEXTAFTER(A2198,"|"),"|"))</f>
        <v/>
      </c>
      <c r="D2198">
        <f>IF(A2198="","",TEXTAFTER(A2198,"|",2))</f>
        <v/>
      </c>
      <c r="E2198">
        <f>IF(A2198="","",SUMIF(Tickets[TripKey],A2198,Tickets[TP]))</f>
        <v/>
      </c>
      <c r="F2198">
        <f>IF(A2198="","",SUMIF(Tickets[TripKey],A2198,Tickets[Revenue]))</f>
        <v/>
      </c>
      <c r="G2198">
        <f>IF(A2198="","",SUMIF(Tickets[TripKey],A2198,Tickets[PK]))</f>
        <v/>
      </c>
      <c r="H2198">
        <f>IF(A2198="","",IFERROR(XLOOKUP(A2198,Tickets[TripKey],Tickets[VehClean]),""))</f>
        <v/>
      </c>
      <c r="I2198">
        <f>IF(A2198="","",IFERROR(XLOOKUP(A2198,Tickets[TripKey],Tickets[RouteLen]),0))</f>
        <v/>
      </c>
      <c r="J2198">
        <f>IF(A2198="","",IFERROR(XLOOKUP(A2198,Tickets[TripKey],Tickets[Capacity]),0))</f>
        <v/>
      </c>
      <c r="K2198">
        <f>IF(A2198="","",I2198*J2198)</f>
        <v/>
      </c>
      <c r="L2198">
        <f>IF(A2198="","",IFERROR(MINIFS(Tickets[Trip Start Time],Tickets[TripKey],A2198),""))</f>
        <v/>
      </c>
    </row>
    <row r="2199">
      <c r="B2199" s="8">
        <f>IF(A2199="","",IFERROR(DATEVALUE(TEXTBEFORE(A2199,"|")),--LEFT(A2199,10)))</f>
        <v/>
      </c>
      <c r="C2199">
        <f>IF(A2199="","",TEXTBEFORE(TEXTAFTER(A2199,"|"),"|"))</f>
        <v/>
      </c>
      <c r="D2199">
        <f>IF(A2199="","",TEXTAFTER(A2199,"|",2))</f>
        <v/>
      </c>
      <c r="E2199">
        <f>IF(A2199="","",SUMIF(Tickets[TripKey],A2199,Tickets[TP]))</f>
        <v/>
      </c>
      <c r="F2199">
        <f>IF(A2199="","",SUMIF(Tickets[TripKey],A2199,Tickets[Revenue]))</f>
        <v/>
      </c>
      <c r="G2199">
        <f>IF(A2199="","",SUMIF(Tickets[TripKey],A2199,Tickets[PK]))</f>
        <v/>
      </c>
      <c r="H2199">
        <f>IF(A2199="","",IFERROR(XLOOKUP(A2199,Tickets[TripKey],Tickets[VehClean]),""))</f>
        <v/>
      </c>
      <c r="I2199">
        <f>IF(A2199="","",IFERROR(XLOOKUP(A2199,Tickets[TripKey],Tickets[RouteLen]),0))</f>
        <v/>
      </c>
      <c r="J2199">
        <f>IF(A2199="","",IFERROR(XLOOKUP(A2199,Tickets[TripKey],Tickets[Capacity]),0))</f>
        <v/>
      </c>
      <c r="K2199">
        <f>IF(A2199="","",I2199*J2199)</f>
        <v/>
      </c>
      <c r="L2199">
        <f>IF(A2199="","",IFERROR(MINIFS(Tickets[Trip Start Time],Tickets[TripKey],A2199),""))</f>
        <v/>
      </c>
    </row>
    <row r="2200">
      <c r="B2200" s="8">
        <f>IF(A2200="","",IFERROR(DATEVALUE(TEXTBEFORE(A2200,"|")),--LEFT(A2200,10)))</f>
        <v/>
      </c>
      <c r="C2200">
        <f>IF(A2200="","",TEXTBEFORE(TEXTAFTER(A2200,"|"),"|"))</f>
        <v/>
      </c>
      <c r="D2200">
        <f>IF(A2200="","",TEXTAFTER(A2200,"|",2))</f>
        <v/>
      </c>
      <c r="E2200">
        <f>IF(A2200="","",SUMIF(Tickets[TripKey],A2200,Tickets[TP]))</f>
        <v/>
      </c>
      <c r="F2200">
        <f>IF(A2200="","",SUMIF(Tickets[TripKey],A2200,Tickets[Revenue]))</f>
        <v/>
      </c>
      <c r="G2200">
        <f>IF(A2200="","",SUMIF(Tickets[TripKey],A2200,Tickets[PK]))</f>
        <v/>
      </c>
      <c r="H2200">
        <f>IF(A2200="","",IFERROR(XLOOKUP(A2200,Tickets[TripKey],Tickets[VehClean]),""))</f>
        <v/>
      </c>
      <c r="I2200">
        <f>IF(A2200="","",IFERROR(XLOOKUP(A2200,Tickets[TripKey],Tickets[RouteLen]),0))</f>
        <v/>
      </c>
      <c r="J2200">
        <f>IF(A2200="","",IFERROR(XLOOKUP(A2200,Tickets[TripKey],Tickets[Capacity]),0))</f>
        <v/>
      </c>
      <c r="K2200">
        <f>IF(A2200="","",I2200*J2200)</f>
        <v/>
      </c>
      <c r="L2200">
        <f>IF(A2200="","",IFERROR(MINIFS(Tickets[Trip Start Time],Tickets[TripKey],A2200),""))</f>
        <v/>
      </c>
    </row>
    <row r="2201">
      <c r="B2201" s="8">
        <f>IF(A2201="","",IFERROR(DATEVALUE(TEXTBEFORE(A2201,"|")),--LEFT(A2201,10)))</f>
        <v/>
      </c>
      <c r="C2201">
        <f>IF(A2201="","",TEXTBEFORE(TEXTAFTER(A2201,"|"),"|"))</f>
        <v/>
      </c>
      <c r="D2201">
        <f>IF(A2201="","",TEXTAFTER(A2201,"|",2))</f>
        <v/>
      </c>
      <c r="E2201">
        <f>IF(A2201="","",SUMIF(Tickets[TripKey],A2201,Tickets[TP]))</f>
        <v/>
      </c>
      <c r="F2201">
        <f>IF(A2201="","",SUMIF(Tickets[TripKey],A2201,Tickets[Revenue]))</f>
        <v/>
      </c>
      <c r="G2201">
        <f>IF(A2201="","",SUMIF(Tickets[TripKey],A2201,Tickets[PK]))</f>
        <v/>
      </c>
      <c r="H2201">
        <f>IF(A2201="","",IFERROR(XLOOKUP(A2201,Tickets[TripKey],Tickets[VehClean]),""))</f>
        <v/>
      </c>
      <c r="I2201">
        <f>IF(A2201="","",IFERROR(XLOOKUP(A2201,Tickets[TripKey],Tickets[RouteLen]),0))</f>
        <v/>
      </c>
      <c r="J2201">
        <f>IF(A2201="","",IFERROR(XLOOKUP(A2201,Tickets[TripKey],Tickets[Capacity]),0))</f>
        <v/>
      </c>
      <c r="K2201">
        <f>IF(A2201="","",I2201*J2201)</f>
        <v/>
      </c>
      <c r="L2201">
        <f>IF(A2201="","",IFERROR(MINIFS(Tickets[Trip Start Time],Tickets[TripKey],A2201),""))</f>
        <v/>
      </c>
    </row>
    <row r="2202">
      <c r="B2202" s="8">
        <f>IF(A2202="","",IFERROR(DATEVALUE(TEXTBEFORE(A2202,"|")),--LEFT(A2202,10)))</f>
        <v/>
      </c>
      <c r="C2202">
        <f>IF(A2202="","",TEXTBEFORE(TEXTAFTER(A2202,"|"),"|"))</f>
        <v/>
      </c>
      <c r="D2202">
        <f>IF(A2202="","",TEXTAFTER(A2202,"|",2))</f>
        <v/>
      </c>
      <c r="E2202">
        <f>IF(A2202="","",SUMIF(Tickets[TripKey],A2202,Tickets[TP]))</f>
        <v/>
      </c>
      <c r="F2202">
        <f>IF(A2202="","",SUMIF(Tickets[TripKey],A2202,Tickets[Revenue]))</f>
        <v/>
      </c>
      <c r="G2202">
        <f>IF(A2202="","",SUMIF(Tickets[TripKey],A2202,Tickets[PK]))</f>
        <v/>
      </c>
      <c r="H2202">
        <f>IF(A2202="","",IFERROR(XLOOKUP(A2202,Tickets[TripKey],Tickets[VehClean]),""))</f>
        <v/>
      </c>
      <c r="I2202">
        <f>IF(A2202="","",IFERROR(XLOOKUP(A2202,Tickets[TripKey],Tickets[RouteLen]),0))</f>
        <v/>
      </c>
      <c r="J2202">
        <f>IF(A2202="","",IFERROR(XLOOKUP(A2202,Tickets[TripKey],Tickets[Capacity]),0))</f>
        <v/>
      </c>
      <c r="K2202">
        <f>IF(A2202="","",I2202*J2202)</f>
        <v/>
      </c>
      <c r="L2202">
        <f>IF(A2202="","",IFERROR(MINIFS(Tickets[Trip Start Time],Tickets[TripKey],A2202),""))</f>
        <v/>
      </c>
    </row>
    <row r="2203">
      <c r="B2203" s="8">
        <f>IF(A2203="","",IFERROR(DATEVALUE(TEXTBEFORE(A2203,"|")),--LEFT(A2203,10)))</f>
        <v/>
      </c>
      <c r="C2203">
        <f>IF(A2203="","",TEXTBEFORE(TEXTAFTER(A2203,"|"),"|"))</f>
        <v/>
      </c>
      <c r="D2203">
        <f>IF(A2203="","",TEXTAFTER(A2203,"|",2))</f>
        <v/>
      </c>
      <c r="E2203">
        <f>IF(A2203="","",SUMIF(Tickets[TripKey],A2203,Tickets[TP]))</f>
        <v/>
      </c>
      <c r="F2203">
        <f>IF(A2203="","",SUMIF(Tickets[TripKey],A2203,Tickets[Revenue]))</f>
        <v/>
      </c>
      <c r="G2203">
        <f>IF(A2203="","",SUMIF(Tickets[TripKey],A2203,Tickets[PK]))</f>
        <v/>
      </c>
      <c r="H2203">
        <f>IF(A2203="","",IFERROR(XLOOKUP(A2203,Tickets[TripKey],Tickets[VehClean]),""))</f>
        <v/>
      </c>
      <c r="I2203">
        <f>IF(A2203="","",IFERROR(XLOOKUP(A2203,Tickets[TripKey],Tickets[RouteLen]),0))</f>
        <v/>
      </c>
      <c r="J2203">
        <f>IF(A2203="","",IFERROR(XLOOKUP(A2203,Tickets[TripKey],Tickets[Capacity]),0))</f>
        <v/>
      </c>
      <c r="K2203">
        <f>IF(A2203="","",I2203*J2203)</f>
        <v/>
      </c>
      <c r="L2203">
        <f>IF(A2203="","",IFERROR(MINIFS(Tickets[Trip Start Time],Tickets[TripKey],A2203),""))</f>
        <v/>
      </c>
    </row>
    <row r="2204">
      <c r="B2204" s="8">
        <f>IF(A2204="","",IFERROR(DATEVALUE(TEXTBEFORE(A2204,"|")),--LEFT(A2204,10)))</f>
        <v/>
      </c>
      <c r="C2204">
        <f>IF(A2204="","",TEXTBEFORE(TEXTAFTER(A2204,"|"),"|"))</f>
        <v/>
      </c>
      <c r="D2204">
        <f>IF(A2204="","",TEXTAFTER(A2204,"|",2))</f>
        <v/>
      </c>
      <c r="E2204">
        <f>IF(A2204="","",SUMIF(Tickets[TripKey],A2204,Tickets[TP]))</f>
        <v/>
      </c>
      <c r="F2204">
        <f>IF(A2204="","",SUMIF(Tickets[TripKey],A2204,Tickets[Revenue]))</f>
        <v/>
      </c>
      <c r="G2204">
        <f>IF(A2204="","",SUMIF(Tickets[TripKey],A2204,Tickets[PK]))</f>
        <v/>
      </c>
      <c r="H2204">
        <f>IF(A2204="","",IFERROR(XLOOKUP(A2204,Tickets[TripKey],Tickets[VehClean]),""))</f>
        <v/>
      </c>
      <c r="I2204">
        <f>IF(A2204="","",IFERROR(XLOOKUP(A2204,Tickets[TripKey],Tickets[RouteLen]),0))</f>
        <v/>
      </c>
      <c r="J2204">
        <f>IF(A2204="","",IFERROR(XLOOKUP(A2204,Tickets[TripKey],Tickets[Capacity]),0))</f>
        <v/>
      </c>
      <c r="K2204">
        <f>IF(A2204="","",I2204*J2204)</f>
        <v/>
      </c>
      <c r="L2204">
        <f>IF(A2204="","",IFERROR(MINIFS(Tickets[Trip Start Time],Tickets[TripKey],A2204),""))</f>
        <v/>
      </c>
    </row>
    <row r="2205">
      <c r="B2205" s="8">
        <f>IF(A2205="","",IFERROR(DATEVALUE(TEXTBEFORE(A2205,"|")),--LEFT(A2205,10)))</f>
        <v/>
      </c>
      <c r="C2205">
        <f>IF(A2205="","",TEXTBEFORE(TEXTAFTER(A2205,"|"),"|"))</f>
        <v/>
      </c>
      <c r="D2205">
        <f>IF(A2205="","",TEXTAFTER(A2205,"|",2))</f>
        <v/>
      </c>
      <c r="E2205">
        <f>IF(A2205="","",SUMIF(Tickets[TripKey],A2205,Tickets[TP]))</f>
        <v/>
      </c>
      <c r="F2205">
        <f>IF(A2205="","",SUMIF(Tickets[TripKey],A2205,Tickets[Revenue]))</f>
        <v/>
      </c>
      <c r="G2205">
        <f>IF(A2205="","",SUMIF(Tickets[TripKey],A2205,Tickets[PK]))</f>
        <v/>
      </c>
      <c r="H2205">
        <f>IF(A2205="","",IFERROR(XLOOKUP(A2205,Tickets[TripKey],Tickets[VehClean]),""))</f>
        <v/>
      </c>
      <c r="I2205">
        <f>IF(A2205="","",IFERROR(XLOOKUP(A2205,Tickets[TripKey],Tickets[RouteLen]),0))</f>
        <v/>
      </c>
      <c r="J2205">
        <f>IF(A2205="","",IFERROR(XLOOKUP(A2205,Tickets[TripKey],Tickets[Capacity]),0))</f>
        <v/>
      </c>
      <c r="K2205">
        <f>IF(A2205="","",I2205*J2205)</f>
        <v/>
      </c>
      <c r="L2205">
        <f>IF(A2205="","",IFERROR(MINIFS(Tickets[Trip Start Time],Tickets[TripKey],A2205),""))</f>
        <v/>
      </c>
    </row>
    <row r="2206">
      <c r="B2206" s="8">
        <f>IF(A2206="","",IFERROR(DATEVALUE(TEXTBEFORE(A2206,"|")),--LEFT(A2206,10)))</f>
        <v/>
      </c>
      <c r="C2206">
        <f>IF(A2206="","",TEXTBEFORE(TEXTAFTER(A2206,"|"),"|"))</f>
        <v/>
      </c>
      <c r="D2206">
        <f>IF(A2206="","",TEXTAFTER(A2206,"|",2))</f>
        <v/>
      </c>
      <c r="E2206">
        <f>IF(A2206="","",SUMIF(Tickets[TripKey],A2206,Tickets[TP]))</f>
        <v/>
      </c>
      <c r="F2206">
        <f>IF(A2206="","",SUMIF(Tickets[TripKey],A2206,Tickets[Revenue]))</f>
        <v/>
      </c>
      <c r="G2206">
        <f>IF(A2206="","",SUMIF(Tickets[TripKey],A2206,Tickets[PK]))</f>
        <v/>
      </c>
      <c r="H2206">
        <f>IF(A2206="","",IFERROR(XLOOKUP(A2206,Tickets[TripKey],Tickets[VehClean]),""))</f>
        <v/>
      </c>
      <c r="I2206">
        <f>IF(A2206="","",IFERROR(XLOOKUP(A2206,Tickets[TripKey],Tickets[RouteLen]),0))</f>
        <v/>
      </c>
      <c r="J2206">
        <f>IF(A2206="","",IFERROR(XLOOKUP(A2206,Tickets[TripKey],Tickets[Capacity]),0))</f>
        <v/>
      </c>
      <c r="K2206">
        <f>IF(A2206="","",I2206*J2206)</f>
        <v/>
      </c>
      <c r="L2206">
        <f>IF(A2206="","",IFERROR(MINIFS(Tickets[Trip Start Time],Tickets[TripKey],A2206),""))</f>
        <v/>
      </c>
    </row>
    <row r="2207">
      <c r="B2207" s="8">
        <f>IF(A2207="","",IFERROR(DATEVALUE(TEXTBEFORE(A2207,"|")),--LEFT(A2207,10)))</f>
        <v/>
      </c>
      <c r="C2207">
        <f>IF(A2207="","",TEXTBEFORE(TEXTAFTER(A2207,"|"),"|"))</f>
        <v/>
      </c>
      <c r="D2207">
        <f>IF(A2207="","",TEXTAFTER(A2207,"|",2))</f>
        <v/>
      </c>
      <c r="E2207">
        <f>IF(A2207="","",SUMIF(Tickets[TripKey],A2207,Tickets[TP]))</f>
        <v/>
      </c>
      <c r="F2207">
        <f>IF(A2207="","",SUMIF(Tickets[TripKey],A2207,Tickets[Revenue]))</f>
        <v/>
      </c>
      <c r="G2207">
        <f>IF(A2207="","",SUMIF(Tickets[TripKey],A2207,Tickets[PK]))</f>
        <v/>
      </c>
      <c r="H2207">
        <f>IF(A2207="","",IFERROR(XLOOKUP(A2207,Tickets[TripKey],Tickets[VehClean]),""))</f>
        <v/>
      </c>
      <c r="I2207">
        <f>IF(A2207="","",IFERROR(XLOOKUP(A2207,Tickets[TripKey],Tickets[RouteLen]),0))</f>
        <v/>
      </c>
      <c r="J2207">
        <f>IF(A2207="","",IFERROR(XLOOKUP(A2207,Tickets[TripKey],Tickets[Capacity]),0))</f>
        <v/>
      </c>
      <c r="K2207">
        <f>IF(A2207="","",I2207*J2207)</f>
        <v/>
      </c>
      <c r="L2207">
        <f>IF(A2207="","",IFERROR(MINIFS(Tickets[Trip Start Time],Tickets[TripKey],A2207),""))</f>
        <v/>
      </c>
    </row>
    <row r="2208">
      <c r="B2208" s="8">
        <f>IF(A2208="","",IFERROR(DATEVALUE(TEXTBEFORE(A2208,"|")),--LEFT(A2208,10)))</f>
        <v/>
      </c>
      <c r="C2208">
        <f>IF(A2208="","",TEXTBEFORE(TEXTAFTER(A2208,"|"),"|"))</f>
        <v/>
      </c>
      <c r="D2208">
        <f>IF(A2208="","",TEXTAFTER(A2208,"|",2))</f>
        <v/>
      </c>
      <c r="E2208">
        <f>IF(A2208="","",SUMIF(Tickets[TripKey],A2208,Tickets[TP]))</f>
        <v/>
      </c>
      <c r="F2208">
        <f>IF(A2208="","",SUMIF(Tickets[TripKey],A2208,Tickets[Revenue]))</f>
        <v/>
      </c>
      <c r="G2208">
        <f>IF(A2208="","",SUMIF(Tickets[TripKey],A2208,Tickets[PK]))</f>
        <v/>
      </c>
      <c r="H2208">
        <f>IF(A2208="","",IFERROR(XLOOKUP(A2208,Tickets[TripKey],Tickets[VehClean]),""))</f>
        <v/>
      </c>
      <c r="I2208">
        <f>IF(A2208="","",IFERROR(XLOOKUP(A2208,Tickets[TripKey],Tickets[RouteLen]),0))</f>
        <v/>
      </c>
      <c r="J2208">
        <f>IF(A2208="","",IFERROR(XLOOKUP(A2208,Tickets[TripKey],Tickets[Capacity]),0))</f>
        <v/>
      </c>
      <c r="K2208">
        <f>IF(A2208="","",I2208*J2208)</f>
        <v/>
      </c>
      <c r="L2208">
        <f>IF(A2208="","",IFERROR(MINIFS(Tickets[Trip Start Time],Tickets[TripKey],A2208),""))</f>
        <v/>
      </c>
    </row>
    <row r="2209">
      <c r="B2209" s="8">
        <f>IF(A2209="","",IFERROR(DATEVALUE(TEXTBEFORE(A2209,"|")),--LEFT(A2209,10)))</f>
        <v/>
      </c>
      <c r="C2209">
        <f>IF(A2209="","",TEXTBEFORE(TEXTAFTER(A2209,"|"),"|"))</f>
        <v/>
      </c>
      <c r="D2209">
        <f>IF(A2209="","",TEXTAFTER(A2209,"|",2))</f>
        <v/>
      </c>
      <c r="E2209">
        <f>IF(A2209="","",SUMIF(Tickets[TripKey],A2209,Tickets[TP]))</f>
        <v/>
      </c>
      <c r="F2209">
        <f>IF(A2209="","",SUMIF(Tickets[TripKey],A2209,Tickets[Revenue]))</f>
        <v/>
      </c>
      <c r="G2209">
        <f>IF(A2209="","",SUMIF(Tickets[TripKey],A2209,Tickets[PK]))</f>
        <v/>
      </c>
      <c r="H2209">
        <f>IF(A2209="","",IFERROR(XLOOKUP(A2209,Tickets[TripKey],Tickets[VehClean]),""))</f>
        <v/>
      </c>
      <c r="I2209">
        <f>IF(A2209="","",IFERROR(XLOOKUP(A2209,Tickets[TripKey],Tickets[RouteLen]),0))</f>
        <v/>
      </c>
      <c r="J2209">
        <f>IF(A2209="","",IFERROR(XLOOKUP(A2209,Tickets[TripKey],Tickets[Capacity]),0))</f>
        <v/>
      </c>
      <c r="K2209">
        <f>IF(A2209="","",I2209*J2209)</f>
        <v/>
      </c>
      <c r="L2209">
        <f>IF(A2209="","",IFERROR(MINIFS(Tickets[Trip Start Time],Tickets[TripKey],A2209),""))</f>
        <v/>
      </c>
    </row>
    <row r="2210">
      <c r="B2210" s="8">
        <f>IF(A2210="","",IFERROR(DATEVALUE(TEXTBEFORE(A2210,"|")),--LEFT(A2210,10)))</f>
        <v/>
      </c>
      <c r="C2210">
        <f>IF(A2210="","",TEXTBEFORE(TEXTAFTER(A2210,"|"),"|"))</f>
        <v/>
      </c>
      <c r="D2210">
        <f>IF(A2210="","",TEXTAFTER(A2210,"|",2))</f>
        <v/>
      </c>
      <c r="E2210">
        <f>IF(A2210="","",SUMIF(Tickets[TripKey],A2210,Tickets[TP]))</f>
        <v/>
      </c>
      <c r="F2210">
        <f>IF(A2210="","",SUMIF(Tickets[TripKey],A2210,Tickets[Revenue]))</f>
        <v/>
      </c>
      <c r="G2210">
        <f>IF(A2210="","",SUMIF(Tickets[TripKey],A2210,Tickets[PK]))</f>
        <v/>
      </c>
      <c r="H2210">
        <f>IF(A2210="","",IFERROR(XLOOKUP(A2210,Tickets[TripKey],Tickets[VehClean]),""))</f>
        <v/>
      </c>
      <c r="I2210">
        <f>IF(A2210="","",IFERROR(XLOOKUP(A2210,Tickets[TripKey],Tickets[RouteLen]),0))</f>
        <v/>
      </c>
      <c r="J2210">
        <f>IF(A2210="","",IFERROR(XLOOKUP(A2210,Tickets[TripKey],Tickets[Capacity]),0))</f>
        <v/>
      </c>
      <c r="K2210">
        <f>IF(A2210="","",I2210*J2210)</f>
        <v/>
      </c>
      <c r="L2210">
        <f>IF(A2210="","",IFERROR(MINIFS(Tickets[Trip Start Time],Tickets[TripKey],A2210),""))</f>
        <v/>
      </c>
    </row>
    <row r="2211">
      <c r="B2211" s="8">
        <f>IF(A2211="","",IFERROR(DATEVALUE(TEXTBEFORE(A2211,"|")),--LEFT(A2211,10)))</f>
        <v/>
      </c>
      <c r="C2211">
        <f>IF(A2211="","",TEXTBEFORE(TEXTAFTER(A2211,"|"),"|"))</f>
        <v/>
      </c>
      <c r="D2211">
        <f>IF(A2211="","",TEXTAFTER(A2211,"|",2))</f>
        <v/>
      </c>
      <c r="E2211">
        <f>IF(A2211="","",SUMIF(Tickets[TripKey],A2211,Tickets[TP]))</f>
        <v/>
      </c>
      <c r="F2211">
        <f>IF(A2211="","",SUMIF(Tickets[TripKey],A2211,Tickets[Revenue]))</f>
        <v/>
      </c>
      <c r="G2211">
        <f>IF(A2211="","",SUMIF(Tickets[TripKey],A2211,Tickets[PK]))</f>
        <v/>
      </c>
      <c r="H2211">
        <f>IF(A2211="","",IFERROR(XLOOKUP(A2211,Tickets[TripKey],Tickets[VehClean]),""))</f>
        <v/>
      </c>
      <c r="I2211">
        <f>IF(A2211="","",IFERROR(XLOOKUP(A2211,Tickets[TripKey],Tickets[RouteLen]),0))</f>
        <v/>
      </c>
      <c r="J2211">
        <f>IF(A2211="","",IFERROR(XLOOKUP(A2211,Tickets[TripKey],Tickets[Capacity]),0))</f>
        <v/>
      </c>
      <c r="K2211">
        <f>IF(A2211="","",I2211*J2211)</f>
        <v/>
      </c>
      <c r="L2211">
        <f>IF(A2211="","",IFERROR(MINIFS(Tickets[Trip Start Time],Tickets[TripKey],A2211),""))</f>
        <v/>
      </c>
    </row>
    <row r="2212">
      <c r="B2212" s="8">
        <f>IF(A2212="","",IFERROR(DATEVALUE(TEXTBEFORE(A2212,"|")),--LEFT(A2212,10)))</f>
        <v/>
      </c>
      <c r="C2212">
        <f>IF(A2212="","",TEXTBEFORE(TEXTAFTER(A2212,"|"),"|"))</f>
        <v/>
      </c>
      <c r="D2212">
        <f>IF(A2212="","",TEXTAFTER(A2212,"|",2))</f>
        <v/>
      </c>
      <c r="E2212">
        <f>IF(A2212="","",SUMIF(Tickets[TripKey],A2212,Tickets[TP]))</f>
        <v/>
      </c>
      <c r="F2212">
        <f>IF(A2212="","",SUMIF(Tickets[TripKey],A2212,Tickets[Revenue]))</f>
        <v/>
      </c>
      <c r="G2212">
        <f>IF(A2212="","",SUMIF(Tickets[TripKey],A2212,Tickets[PK]))</f>
        <v/>
      </c>
      <c r="H2212">
        <f>IF(A2212="","",IFERROR(XLOOKUP(A2212,Tickets[TripKey],Tickets[VehClean]),""))</f>
        <v/>
      </c>
      <c r="I2212">
        <f>IF(A2212="","",IFERROR(XLOOKUP(A2212,Tickets[TripKey],Tickets[RouteLen]),0))</f>
        <v/>
      </c>
      <c r="J2212">
        <f>IF(A2212="","",IFERROR(XLOOKUP(A2212,Tickets[TripKey],Tickets[Capacity]),0))</f>
        <v/>
      </c>
      <c r="K2212">
        <f>IF(A2212="","",I2212*J2212)</f>
        <v/>
      </c>
      <c r="L2212">
        <f>IF(A2212="","",IFERROR(MINIFS(Tickets[Trip Start Time],Tickets[TripKey],A2212),""))</f>
        <v/>
      </c>
    </row>
    <row r="2213">
      <c r="B2213" s="8">
        <f>IF(A2213="","",IFERROR(DATEVALUE(TEXTBEFORE(A2213,"|")),--LEFT(A2213,10)))</f>
        <v/>
      </c>
      <c r="C2213">
        <f>IF(A2213="","",TEXTBEFORE(TEXTAFTER(A2213,"|"),"|"))</f>
        <v/>
      </c>
      <c r="D2213">
        <f>IF(A2213="","",TEXTAFTER(A2213,"|",2))</f>
        <v/>
      </c>
      <c r="E2213">
        <f>IF(A2213="","",SUMIF(Tickets[TripKey],A2213,Tickets[TP]))</f>
        <v/>
      </c>
      <c r="F2213">
        <f>IF(A2213="","",SUMIF(Tickets[TripKey],A2213,Tickets[Revenue]))</f>
        <v/>
      </c>
      <c r="G2213">
        <f>IF(A2213="","",SUMIF(Tickets[TripKey],A2213,Tickets[PK]))</f>
        <v/>
      </c>
      <c r="H2213">
        <f>IF(A2213="","",IFERROR(XLOOKUP(A2213,Tickets[TripKey],Tickets[VehClean]),""))</f>
        <v/>
      </c>
      <c r="I2213">
        <f>IF(A2213="","",IFERROR(XLOOKUP(A2213,Tickets[TripKey],Tickets[RouteLen]),0))</f>
        <v/>
      </c>
      <c r="J2213">
        <f>IF(A2213="","",IFERROR(XLOOKUP(A2213,Tickets[TripKey],Tickets[Capacity]),0))</f>
        <v/>
      </c>
      <c r="K2213">
        <f>IF(A2213="","",I2213*J2213)</f>
        <v/>
      </c>
      <c r="L2213">
        <f>IF(A2213="","",IFERROR(MINIFS(Tickets[Trip Start Time],Tickets[TripKey],A2213),""))</f>
        <v/>
      </c>
    </row>
    <row r="2214">
      <c r="B2214" s="8">
        <f>IF(A2214="","",IFERROR(DATEVALUE(TEXTBEFORE(A2214,"|")),--LEFT(A2214,10)))</f>
        <v/>
      </c>
      <c r="C2214">
        <f>IF(A2214="","",TEXTBEFORE(TEXTAFTER(A2214,"|"),"|"))</f>
        <v/>
      </c>
      <c r="D2214">
        <f>IF(A2214="","",TEXTAFTER(A2214,"|",2))</f>
        <v/>
      </c>
      <c r="E2214">
        <f>IF(A2214="","",SUMIF(Tickets[TripKey],A2214,Tickets[TP]))</f>
        <v/>
      </c>
      <c r="F2214">
        <f>IF(A2214="","",SUMIF(Tickets[TripKey],A2214,Tickets[Revenue]))</f>
        <v/>
      </c>
      <c r="G2214">
        <f>IF(A2214="","",SUMIF(Tickets[TripKey],A2214,Tickets[PK]))</f>
        <v/>
      </c>
      <c r="H2214">
        <f>IF(A2214="","",IFERROR(XLOOKUP(A2214,Tickets[TripKey],Tickets[VehClean]),""))</f>
        <v/>
      </c>
      <c r="I2214">
        <f>IF(A2214="","",IFERROR(XLOOKUP(A2214,Tickets[TripKey],Tickets[RouteLen]),0))</f>
        <v/>
      </c>
      <c r="J2214">
        <f>IF(A2214="","",IFERROR(XLOOKUP(A2214,Tickets[TripKey],Tickets[Capacity]),0))</f>
        <v/>
      </c>
      <c r="K2214">
        <f>IF(A2214="","",I2214*J2214)</f>
        <v/>
      </c>
      <c r="L2214">
        <f>IF(A2214="","",IFERROR(MINIFS(Tickets[Trip Start Time],Tickets[TripKey],A2214),""))</f>
        <v/>
      </c>
    </row>
    <row r="2215">
      <c r="B2215" s="8">
        <f>IF(A2215="","",IFERROR(DATEVALUE(TEXTBEFORE(A2215,"|")),--LEFT(A2215,10)))</f>
        <v/>
      </c>
      <c r="C2215">
        <f>IF(A2215="","",TEXTBEFORE(TEXTAFTER(A2215,"|"),"|"))</f>
        <v/>
      </c>
      <c r="D2215">
        <f>IF(A2215="","",TEXTAFTER(A2215,"|",2))</f>
        <v/>
      </c>
      <c r="E2215">
        <f>IF(A2215="","",SUMIF(Tickets[TripKey],A2215,Tickets[TP]))</f>
        <v/>
      </c>
      <c r="F2215">
        <f>IF(A2215="","",SUMIF(Tickets[TripKey],A2215,Tickets[Revenue]))</f>
        <v/>
      </c>
      <c r="G2215">
        <f>IF(A2215="","",SUMIF(Tickets[TripKey],A2215,Tickets[PK]))</f>
        <v/>
      </c>
      <c r="H2215">
        <f>IF(A2215="","",IFERROR(XLOOKUP(A2215,Tickets[TripKey],Tickets[VehClean]),""))</f>
        <v/>
      </c>
      <c r="I2215">
        <f>IF(A2215="","",IFERROR(XLOOKUP(A2215,Tickets[TripKey],Tickets[RouteLen]),0))</f>
        <v/>
      </c>
      <c r="J2215">
        <f>IF(A2215="","",IFERROR(XLOOKUP(A2215,Tickets[TripKey],Tickets[Capacity]),0))</f>
        <v/>
      </c>
      <c r="K2215">
        <f>IF(A2215="","",I2215*J2215)</f>
        <v/>
      </c>
      <c r="L2215">
        <f>IF(A2215="","",IFERROR(MINIFS(Tickets[Trip Start Time],Tickets[TripKey],A2215),""))</f>
        <v/>
      </c>
    </row>
    <row r="2216">
      <c r="B2216" s="8">
        <f>IF(A2216="","",IFERROR(DATEVALUE(TEXTBEFORE(A2216,"|")),--LEFT(A2216,10)))</f>
        <v/>
      </c>
      <c r="C2216">
        <f>IF(A2216="","",TEXTBEFORE(TEXTAFTER(A2216,"|"),"|"))</f>
        <v/>
      </c>
      <c r="D2216">
        <f>IF(A2216="","",TEXTAFTER(A2216,"|",2))</f>
        <v/>
      </c>
      <c r="E2216">
        <f>IF(A2216="","",SUMIF(Tickets[TripKey],A2216,Tickets[TP]))</f>
        <v/>
      </c>
      <c r="F2216">
        <f>IF(A2216="","",SUMIF(Tickets[TripKey],A2216,Tickets[Revenue]))</f>
        <v/>
      </c>
      <c r="G2216">
        <f>IF(A2216="","",SUMIF(Tickets[TripKey],A2216,Tickets[PK]))</f>
        <v/>
      </c>
      <c r="H2216">
        <f>IF(A2216="","",IFERROR(XLOOKUP(A2216,Tickets[TripKey],Tickets[VehClean]),""))</f>
        <v/>
      </c>
      <c r="I2216">
        <f>IF(A2216="","",IFERROR(XLOOKUP(A2216,Tickets[TripKey],Tickets[RouteLen]),0))</f>
        <v/>
      </c>
      <c r="J2216">
        <f>IF(A2216="","",IFERROR(XLOOKUP(A2216,Tickets[TripKey],Tickets[Capacity]),0))</f>
        <v/>
      </c>
      <c r="K2216">
        <f>IF(A2216="","",I2216*J2216)</f>
        <v/>
      </c>
      <c r="L2216">
        <f>IF(A2216="","",IFERROR(MINIFS(Tickets[Trip Start Time],Tickets[TripKey],A2216),""))</f>
        <v/>
      </c>
    </row>
    <row r="2217">
      <c r="B2217" s="8">
        <f>IF(A2217="","",IFERROR(DATEVALUE(TEXTBEFORE(A2217,"|")),--LEFT(A2217,10)))</f>
        <v/>
      </c>
      <c r="C2217">
        <f>IF(A2217="","",TEXTBEFORE(TEXTAFTER(A2217,"|"),"|"))</f>
        <v/>
      </c>
      <c r="D2217">
        <f>IF(A2217="","",TEXTAFTER(A2217,"|",2))</f>
        <v/>
      </c>
      <c r="E2217">
        <f>IF(A2217="","",SUMIF(Tickets[TripKey],A2217,Tickets[TP]))</f>
        <v/>
      </c>
      <c r="F2217">
        <f>IF(A2217="","",SUMIF(Tickets[TripKey],A2217,Tickets[Revenue]))</f>
        <v/>
      </c>
      <c r="G2217">
        <f>IF(A2217="","",SUMIF(Tickets[TripKey],A2217,Tickets[PK]))</f>
        <v/>
      </c>
      <c r="H2217">
        <f>IF(A2217="","",IFERROR(XLOOKUP(A2217,Tickets[TripKey],Tickets[VehClean]),""))</f>
        <v/>
      </c>
      <c r="I2217">
        <f>IF(A2217="","",IFERROR(XLOOKUP(A2217,Tickets[TripKey],Tickets[RouteLen]),0))</f>
        <v/>
      </c>
      <c r="J2217">
        <f>IF(A2217="","",IFERROR(XLOOKUP(A2217,Tickets[TripKey],Tickets[Capacity]),0))</f>
        <v/>
      </c>
      <c r="K2217">
        <f>IF(A2217="","",I2217*J2217)</f>
        <v/>
      </c>
      <c r="L2217">
        <f>IF(A2217="","",IFERROR(MINIFS(Tickets[Trip Start Time],Tickets[TripKey],A2217),""))</f>
        <v/>
      </c>
    </row>
    <row r="2218">
      <c r="B2218" s="8">
        <f>IF(A2218="","",IFERROR(DATEVALUE(TEXTBEFORE(A2218,"|")),--LEFT(A2218,10)))</f>
        <v/>
      </c>
      <c r="C2218">
        <f>IF(A2218="","",TEXTBEFORE(TEXTAFTER(A2218,"|"),"|"))</f>
        <v/>
      </c>
      <c r="D2218">
        <f>IF(A2218="","",TEXTAFTER(A2218,"|",2))</f>
        <v/>
      </c>
      <c r="E2218">
        <f>IF(A2218="","",SUMIF(Tickets[TripKey],A2218,Tickets[TP]))</f>
        <v/>
      </c>
      <c r="F2218">
        <f>IF(A2218="","",SUMIF(Tickets[TripKey],A2218,Tickets[Revenue]))</f>
        <v/>
      </c>
      <c r="G2218">
        <f>IF(A2218="","",SUMIF(Tickets[TripKey],A2218,Tickets[PK]))</f>
        <v/>
      </c>
      <c r="H2218">
        <f>IF(A2218="","",IFERROR(XLOOKUP(A2218,Tickets[TripKey],Tickets[VehClean]),""))</f>
        <v/>
      </c>
      <c r="I2218">
        <f>IF(A2218="","",IFERROR(XLOOKUP(A2218,Tickets[TripKey],Tickets[RouteLen]),0))</f>
        <v/>
      </c>
      <c r="J2218">
        <f>IF(A2218="","",IFERROR(XLOOKUP(A2218,Tickets[TripKey],Tickets[Capacity]),0))</f>
        <v/>
      </c>
      <c r="K2218">
        <f>IF(A2218="","",I2218*J2218)</f>
        <v/>
      </c>
      <c r="L2218">
        <f>IF(A2218="","",IFERROR(MINIFS(Tickets[Trip Start Time],Tickets[TripKey],A2218),""))</f>
        <v/>
      </c>
    </row>
    <row r="2219">
      <c r="B2219" s="8">
        <f>IF(A2219="","",IFERROR(DATEVALUE(TEXTBEFORE(A2219,"|")),--LEFT(A2219,10)))</f>
        <v/>
      </c>
      <c r="C2219">
        <f>IF(A2219="","",TEXTBEFORE(TEXTAFTER(A2219,"|"),"|"))</f>
        <v/>
      </c>
      <c r="D2219">
        <f>IF(A2219="","",TEXTAFTER(A2219,"|",2))</f>
        <v/>
      </c>
      <c r="E2219">
        <f>IF(A2219="","",SUMIF(Tickets[TripKey],A2219,Tickets[TP]))</f>
        <v/>
      </c>
      <c r="F2219">
        <f>IF(A2219="","",SUMIF(Tickets[TripKey],A2219,Tickets[Revenue]))</f>
        <v/>
      </c>
      <c r="G2219">
        <f>IF(A2219="","",SUMIF(Tickets[TripKey],A2219,Tickets[PK]))</f>
        <v/>
      </c>
      <c r="H2219">
        <f>IF(A2219="","",IFERROR(XLOOKUP(A2219,Tickets[TripKey],Tickets[VehClean]),""))</f>
        <v/>
      </c>
      <c r="I2219">
        <f>IF(A2219="","",IFERROR(XLOOKUP(A2219,Tickets[TripKey],Tickets[RouteLen]),0))</f>
        <v/>
      </c>
      <c r="J2219">
        <f>IF(A2219="","",IFERROR(XLOOKUP(A2219,Tickets[TripKey],Tickets[Capacity]),0))</f>
        <v/>
      </c>
      <c r="K2219">
        <f>IF(A2219="","",I2219*J2219)</f>
        <v/>
      </c>
      <c r="L2219">
        <f>IF(A2219="","",IFERROR(MINIFS(Tickets[Trip Start Time],Tickets[TripKey],A2219),""))</f>
        <v/>
      </c>
    </row>
    <row r="2220">
      <c r="B2220" s="8">
        <f>IF(A2220="","",IFERROR(DATEVALUE(TEXTBEFORE(A2220,"|")),--LEFT(A2220,10)))</f>
        <v/>
      </c>
      <c r="C2220">
        <f>IF(A2220="","",TEXTBEFORE(TEXTAFTER(A2220,"|"),"|"))</f>
        <v/>
      </c>
      <c r="D2220">
        <f>IF(A2220="","",TEXTAFTER(A2220,"|",2))</f>
        <v/>
      </c>
      <c r="E2220">
        <f>IF(A2220="","",SUMIF(Tickets[TripKey],A2220,Tickets[TP]))</f>
        <v/>
      </c>
      <c r="F2220">
        <f>IF(A2220="","",SUMIF(Tickets[TripKey],A2220,Tickets[Revenue]))</f>
        <v/>
      </c>
      <c r="G2220">
        <f>IF(A2220="","",SUMIF(Tickets[TripKey],A2220,Tickets[PK]))</f>
        <v/>
      </c>
      <c r="H2220">
        <f>IF(A2220="","",IFERROR(XLOOKUP(A2220,Tickets[TripKey],Tickets[VehClean]),""))</f>
        <v/>
      </c>
      <c r="I2220">
        <f>IF(A2220="","",IFERROR(XLOOKUP(A2220,Tickets[TripKey],Tickets[RouteLen]),0))</f>
        <v/>
      </c>
      <c r="J2220">
        <f>IF(A2220="","",IFERROR(XLOOKUP(A2220,Tickets[TripKey],Tickets[Capacity]),0))</f>
        <v/>
      </c>
      <c r="K2220">
        <f>IF(A2220="","",I2220*J2220)</f>
        <v/>
      </c>
      <c r="L2220">
        <f>IF(A2220="","",IFERROR(MINIFS(Tickets[Trip Start Time],Tickets[TripKey],A2220),""))</f>
        <v/>
      </c>
    </row>
    <row r="2221">
      <c r="B2221" s="8">
        <f>IF(A2221="","",IFERROR(DATEVALUE(TEXTBEFORE(A2221,"|")),--LEFT(A2221,10)))</f>
        <v/>
      </c>
      <c r="C2221">
        <f>IF(A2221="","",TEXTBEFORE(TEXTAFTER(A2221,"|"),"|"))</f>
        <v/>
      </c>
      <c r="D2221">
        <f>IF(A2221="","",TEXTAFTER(A2221,"|",2))</f>
        <v/>
      </c>
      <c r="E2221">
        <f>IF(A2221="","",SUMIF(Tickets[TripKey],A2221,Tickets[TP]))</f>
        <v/>
      </c>
      <c r="F2221">
        <f>IF(A2221="","",SUMIF(Tickets[TripKey],A2221,Tickets[Revenue]))</f>
        <v/>
      </c>
      <c r="G2221">
        <f>IF(A2221="","",SUMIF(Tickets[TripKey],A2221,Tickets[PK]))</f>
        <v/>
      </c>
      <c r="H2221">
        <f>IF(A2221="","",IFERROR(XLOOKUP(A2221,Tickets[TripKey],Tickets[VehClean]),""))</f>
        <v/>
      </c>
      <c r="I2221">
        <f>IF(A2221="","",IFERROR(XLOOKUP(A2221,Tickets[TripKey],Tickets[RouteLen]),0))</f>
        <v/>
      </c>
      <c r="J2221">
        <f>IF(A2221="","",IFERROR(XLOOKUP(A2221,Tickets[TripKey],Tickets[Capacity]),0))</f>
        <v/>
      </c>
      <c r="K2221">
        <f>IF(A2221="","",I2221*J2221)</f>
        <v/>
      </c>
      <c r="L2221">
        <f>IF(A2221="","",IFERROR(MINIFS(Tickets[Trip Start Time],Tickets[TripKey],A2221),""))</f>
        <v/>
      </c>
    </row>
    <row r="2222">
      <c r="B2222" s="8">
        <f>IF(A2222="","",IFERROR(DATEVALUE(TEXTBEFORE(A2222,"|")),--LEFT(A2222,10)))</f>
        <v/>
      </c>
      <c r="C2222">
        <f>IF(A2222="","",TEXTBEFORE(TEXTAFTER(A2222,"|"),"|"))</f>
        <v/>
      </c>
      <c r="D2222">
        <f>IF(A2222="","",TEXTAFTER(A2222,"|",2))</f>
        <v/>
      </c>
      <c r="E2222">
        <f>IF(A2222="","",SUMIF(Tickets[TripKey],A2222,Tickets[TP]))</f>
        <v/>
      </c>
      <c r="F2222">
        <f>IF(A2222="","",SUMIF(Tickets[TripKey],A2222,Tickets[Revenue]))</f>
        <v/>
      </c>
      <c r="G2222">
        <f>IF(A2222="","",SUMIF(Tickets[TripKey],A2222,Tickets[PK]))</f>
        <v/>
      </c>
      <c r="H2222">
        <f>IF(A2222="","",IFERROR(XLOOKUP(A2222,Tickets[TripKey],Tickets[VehClean]),""))</f>
        <v/>
      </c>
      <c r="I2222">
        <f>IF(A2222="","",IFERROR(XLOOKUP(A2222,Tickets[TripKey],Tickets[RouteLen]),0))</f>
        <v/>
      </c>
      <c r="J2222">
        <f>IF(A2222="","",IFERROR(XLOOKUP(A2222,Tickets[TripKey],Tickets[Capacity]),0))</f>
        <v/>
      </c>
      <c r="K2222">
        <f>IF(A2222="","",I2222*J2222)</f>
        <v/>
      </c>
      <c r="L2222">
        <f>IF(A2222="","",IFERROR(MINIFS(Tickets[Trip Start Time],Tickets[TripKey],A2222),""))</f>
        <v/>
      </c>
    </row>
    <row r="2223">
      <c r="B2223" s="8">
        <f>IF(A2223="","",IFERROR(DATEVALUE(TEXTBEFORE(A2223,"|")),--LEFT(A2223,10)))</f>
        <v/>
      </c>
      <c r="C2223">
        <f>IF(A2223="","",TEXTBEFORE(TEXTAFTER(A2223,"|"),"|"))</f>
        <v/>
      </c>
      <c r="D2223">
        <f>IF(A2223="","",TEXTAFTER(A2223,"|",2))</f>
        <v/>
      </c>
      <c r="E2223">
        <f>IF(A2223="","",SUMIF(Tickets[TripKey],A2223,Tickets[TP]))</f>
        <v/>
      </c>
      <c r="F2223">
        <f>IF(A2223="","",SUMIF(Tickets[TripKey],A2223,Tickets[Revenue]))</f>
        <v/>
      </c>
      <c r="G2223">
        <f>IF(A2223="","",SUMIF(Tickets[TripKey],A2223,Tickets[PK]))</f>
        <v/>
      </c>
      <c r="H2223">
        <f>IF(A2223="","",IFERROR(XLOOKUP(A2223,Tickets[TripKey],Tickets[VehClean]),""))</f>
        <v/>
      </c>
      <c r="I2223">
        <f>IF(A2223="","",IFERROR(XLOOKUP(A2223,Tickets[TripKey],Tickets[RouteLen]),0))</f>
        <v/>
      </c>
      <c r="J2223">
        <f>IF(A2223="","",IFERROR(XLOOKUP(A2223,Tickets[TripKey],Tickets[Capacity]),0))</f>
        <v/>
      </c>
      <c r="K2223">
        <f>IF(A2223="","",I2223*J2223)</f>
        <v/>
      </c>
      <c r="L2223">
        <f>IF(A2223="","",IFERROR(MINIFS(Tickets[Trip Start Time],Tickets[TripKey],A2223),""))</f>
        <v/>
      </c>
    </row>
    <row r="2224">
      <c r="B2224" s="8">
        <f>IF(A2224="","",IFERROR(DATEVALUE(TEXTBEFORE(A2224,"|")),--LEFT(A2224,10)))</f>
        <v/>
      </c>
      <c r="C2224">
        <f>IF(A2224="","",TEXTBEFORE(TEXTAFTER(A2224,"|"),"|"))</f>
        <v/>
      </c>
      <c r="D2224">
        <f>IF(A2224="","",TEXTAFTER(A2224,"|",2))</f>
        <v/>
      </c>
      <c r="E2224">
        <f>IF(A2224="","",SUMIF(Tickets[TripKey],A2224,Tickets[TP]))</f>
        <v/>
      </c>
      <c r="F2224">
        <f>IF(A2224="","",SUMIF(Tickets[TripKey],A2224,Tickets[Revenue]))</f>
        <v/>
      </c>
      <c r="G2224">
        <f>IF(A2224="","",SUMIF(Tickets[TripKey],A2224,Tickets[PK]))</f>
        <v/>
      </c>
      <c r="H2224">
        <f>IF(A2224="","",IFERROR(XLOOKUP(A2224,Tickets[TripKey],Tickets[VehClean]),""))</f>
        <v/>
      </c>
      <c r="I2224">
        <f>IF(A2224="","",IFERROR(XLOOKUP(A2224,Tickets[TripKey],Tickets[RouteLen]),0))</f>
        <v/>
      </c>
      <c r="J2224">
        <f>IF(A2224="","",IFERROR(XLOOKUP(A2224,Tickets[TripKey],Tickets[Capacity]),0))</f>
        <v/>
      </c>
      <c r="K2224">
        <f>IF(A2224="","",I2224*J2224)</f>
        <v/>
      </c>
      <c r="L2224">
        <f>IF(A2224="","",IFERROR(MINIFS(Tickets[Trip Start Time],Tickets[TripKey],A2224),""))</f>
        <v/>
      </c>
    </row>
    <row r="2225">
      <c r="B2225" s="8">
        <f>IF(A2225="","",IFERROR(DATEVALUE(TEXTBEFORE(A2225,"|")),--LEFT(A2225,10)))</f>
        <v/>
      </c>
      <c r="C2225">
        <f>IF(A2225="","",TEXTBEFORE(TEXTAFTER(A2225,"|"),"|"))</f>
        <v/>
      </c>
      <c r="D2225">
        <f>IF(A2225="","",TEXTAFTER(A2225,"|",2))</f>
        <v/>
      </c>
      <c r="E2225">
        <f>IF(A2225="","",SUMIF(Tickets[TripKey],A2225,Tickets[TP]))</f>
        <v/>
      </c>
      <c r="F2225">
        <f>IF(A2225="","",SUMIF(Tickets[TripKey],A2225,Tickets[Revenue]))</f>
        <v/>
      </c>
      <c r="G2225">
        <f>IF(A2225="","",SUMIF(Tickets[TripKey],A2225,Tickets[PK]))</f>
        <v/>
      </c>
      <c r="H2225">
        <f>IF(A2225="","",IFERROR(XLOOKUP(A2225,Tickets[TripKey],Tickets[VehClean]),""))</f>
        <v/>
      </c>
      <c r="I2225">
        <f>IF(A2225="","",IFERROR(XLOOKUP(A2225,Tickets[TripKey],Tickets[RouteLen]),0))</f>
        <v/>
      </c>
      <c r="J2225">
        <f>IF(A2225="","",IFERROR(XLOOKUP(A2225,Tickets[TripKey],Tickets[Capacity]),0))</f>
        <v/>
      </c>
      <c r="K2225">
        <f>IF(A2225="","",I2225*J2225)</f>
        <v/>
      </c>
      <c r="L2225">
        <f>IF(A2225="","",IFERROR(MINIFS(Tickets[Trip Start Time],Tickets[TripKey],A2225),""))</f>
        <v/>
      </c>
    </row>
    <row r="2226">
      <c r="B2226" s="8">
        <f>IF(A2226="","",IFERROR(DATEVALUE(TEXTBEFORE(A2226,"|")),--LEFT(A2226,10)))</f>
        <v/>
      </c>
      <c r="C2226">
        <f>IF(A2226="","",TEXTBEFORE(TEXTAFTER(A2226,"|"),"|"))</f>
        <v/>
      </c>
      <c r="D2226">
        <f>IF(A2226="","",TEXTAFTER(A2226,"|",2))</f>
        <v/>
      </c>
      <c r="E2226">
        <f>IF(A2226="","",SUMIF(Tickets[TripKey],A2226,Tickets[TP]))</f>
        <v/>
      </c>
      <c r="F2226">
        <f>IF(A2226="","",SUMIF(Tickets[TripKey],A2226,Tickets[Revenue]))</f>
        <v/>
      </c>
      <c r="G2226">
        <f>IF(A2226="","",SUMIF(Tickets[TripKey],A2226,Tickets[PK]))</f>
        <v/>
      </c>
      <c r="H2226">
        <f>IF(A2226="","",IFERROR(XLOOKUP(A2226,Tickets[TripKey],Tickets[VehClean]),""))</f>
        <v/>
      </c>
      <c r="I2226">
        <f>IF(A2226="","",IFERROR(XLOOKUP(A2226,Tickets[TripKey],Tickets[RouteLen]),0))</f>
        <v/>
      </c>
      <c r="J2226">
        <f>IF(A2226="","",IFERROR(XLOOKUP(A2226,Tickets[TripKey],Tickets[Capacity]),0))</f>
        <v/>
      </c>
      <c r="K2226">
        <f>IF(A2226="","",I2226*J2226)</f>
        <v/>
      </c>
      <c r="L2226">
        <f>IF(A2226="","",IFERROR(MINIFS(Tickets[Trip Start Time],Tickets[TripKey],A2226),""))</f>
        <v/>
      </c>
    </row>
    <row r="2227">
      <c r="B2227" s="8">
        <f>IF(A2227="","",IFERROR(DATEVALUE(TEXTBEFORE(A2227,"|")),--LEFT(A2227,10)))</f>
        <v/>
      </c>
      <c r="C2227">
        <f>IF(A2227="","",TEXTBEFORE(TEXTAFTER(A2227,"|"),"|"))</f>
        <v/>
      </c>
      <c r="D2227">
        <f>IF(A2227="","",TEXTAFTER(A2227,"|",2))</f>
        <v/>
      </c>
      <c r="E2227">
        <f>IF(A2227="","",SUMIF(Tickets[TripKey],A2227,Tickets[TP]))</f>
        <v/>
      </c>
      <c r="F2227">
        <f>IF(A2227="","",SUMIF(Tickets[TripKey],A2227,Tickets[Revenue]))</f>
        <v/>
      </c>
      <c r="G2227">
        <f>IF(A2227="","",SUMIF(Tickets[TripKey],A2227,Tickets[PK]))</f>
        <v/>
      </c>
      <c r="H2227">
        <f>IF(A2227="","",IFERROR(XLOOKUP(A2227,Tickets[TripKey],Tickets[VehClean]),""))</f>
        <v/>
      </c>
      <c r="I2227">
        <f>IF(A2227="","",IFERROR(XLOOKUP(A2227,Tickets[TripKey],Tickets[RouteLen]),0))</f>
        <v/>
      </c>
      <c r="J2227">
        <f>IF(A2227="","",IFERROR(XLOOKUP(A2227,Tickets[TripKey],Tickets[Capacity]),0))</f>
        <v/>
      </c>
      <c r="K2227">
        <f>IF(A2227="","",I2227*J2227)</f>
        <v/>
      </c>
      <c r="L2227">
        <f>IF(A2227="","",IFERROR(MINIFS(Tickets[Trip Start Time],Tickets[TripKey],A2227),""))</f>
        <v/>
      </c>
    </row>
    <row r="2228">
      <c r="B2228" s="8">
        <f>IF(A2228="","",IFERROR(DATEVALUE(TEXTBEFORE(A2228,"|")),--LEFT(A2228,10)))</f>
        <v/>
      </c>
      <c r="C2228">
        <f>IF(A2228="","",TEXTBEFORE(TEXTAFTER(A2228,"|"),"|"))</f>
        <v/>
      </c>
      <c r="D2228">
        <f>IF(A2228="","",TEXTAFTER(A2228,"|",2))</f>
        <v/>
      </c>
      <c r="E2228">
        <f>IF(A2228="","",SUMIF(Tickets[TripKey],A2228,Tickets[TP]))</f>
        <v/>
      </c>
      <c r="F2228">
        <f>IF(A2228="","",SUMIF(Tickets[TripKey],A2228,Tickets[Revenue]))</f>
        <v/>
      </c>
      <c r="G2228">
        <f>IF(A2228="","",SUMIF(Tickets[TripKey],A2228,Tickets[PK]))</f>
        <v/>
      </c>
      <c r="H2228">
        <f>IF(A2228="","",IFERROR(XLOOKUP(A2228,Tickets[TripKey],Tickets[VehClean]),""))</f>
        <v/>
      </c>
      <c r="I2228">
        <f>IF(A2228="","",IFERROR(XLOOKUP(A2228,Tickets[TripKey],Tickets[RouteLen]),0))</f>
        <v/>
      </c>
      <c r="J2228">
        <f>IF(A2228="","",IFERROR(XLOOKUP(A2228,Tickets[TripKey],Tickets[Capacity]),0))</f>
        <v/>
      </c>
      <c r="K2228">
        <f>IF(A2228="","",I2228*J2228)</f>
        <v/>
      </c>
      <c r="L2228">
        <f>IF(A2228="","",IFERROR(MINIFS(Tickets[Trip Start Time],Tickets[TripKey],A2228),""))</f>
        <v/>
      </c>
    </row>
    <row r="2229">
      <c r="B2229" s="8">
        <f>IF(A2229="","",IFERROR(DATEVALUE(TEXTBEFORE(A2229,"|")),--LEFT(A2229,10)))</f>
        <v/>
      </c>
      <c r="C2229">
        <f>IF(A2229="","",TEXTBEFORE(TEXTAFTER(A2229,"|"),"|"))</f>
        <v/>
      </c>
      <c r="D2229">
        <f>IF(A2229="","",TEXTAFTER(A2229,"|",2))</f>
        <v/>
      </c>
      <c r="E2229">
        <f>IF(A2229="","",SUMIF(Tickets[TripKey],A2229,Tickets[TP]))</f>
        <v/>
      </c>
      <c r="F2229">
        <f>IF(A2229="","",SUMIF(Tickets[TripKey],A2229,Tickets[Revenue]))</f>
        <v/>
      </c>
      <c r="G2229">
        <f>IF(A2229="","",SUMIF(Tickets[TripKey],A2229,Tickets[PK]))</f>
        <v/>
      </c>
      <c r="H2229">
        <f>IF(A2229="","",IFERROR(XLOOKUP(A2229,Tickets[TripKey],Tickets[VehClean]),""))</f>
        <v/>
      </c>
      <c r="I2229">
        <f>IF(A2229="","",IFERROR(XLOOKUP(A2229,Tickets[TripKey],Tickets[RouteLen]),0))</f>
        <v/>
      </c>
      <c r="J2229">
        <f>IF(A2229="","",IFERROR(XLOOKUP(A2229,Tickets[TripKey],Tickets[Capacity]),0))</f>
        <v/>
      </c>
      <c r="K2229">
        <f>IF(A2229="","",I2229*J2229)</f>
        <v/>
      </c>
      <c r="L2229">
        <f>IF(A2229="","",IFERROR(MINIFS(Tickets[Trip Start Time],Tickets[TripKey],A2229),""))</f>
        <v/>
      </c>
    </row>
    <row r="2230">
      <c r="B2230" s="8">
        <f>IF(A2230="","",IFERROR(DATEVALUE(TEXTBEFORE(A2230,"|")),--LEFT(A2230,10)))</f>
        <v/>
      </c>
      <c r="C2230">
        <f>IF(A2230="","",TEXTBEFORE(TEXTAFTER(A2230,"|"),"|"))</f>
        <v/>
      </c>
      <c r="D2230">
        <f>IF(A2230="","",TEXTAFTER(A2230,"|",2))</f>
        <v/>
      </c>
      <c r="E2230">
        <f>IF(A2230="","",SUMIF(Tickets[TripKey],A2230,Tickets[TP]))</f>
        <v/>
      </c>
      <c r="F2230">
        <f>IF(A2230="","",SUMIF(Tickets[TripKey],A2230,Tickets[Revenue]))</f>
        <v/>
      </c>
      <c r="G2230">
        <f>IF(A2230="","",SUMIF(Tickets[TripKey],A2230,Tickets[PK]))</f>
        <v/>
      </c>
      <c r="H2230">
        <f>IF(A2230="","",IFERROR(XLOOKUP(A2230,Tickets[TripKey],Tickets[VehClean]),""))</f>
        <v/>
      </c>
      <c r="I2230">
        <f>IF(A2230="","",IFERROR(XLOOKUP(A2230,Tickets[TripKey],Tickets[RouteLen]),0))</f>
        <v/>
      </c>
      <c r="J2230">
        <f>IF(A2230="","",IFERROR(XLOOKUP(A2230,Tickets[TripKey],Tickets[Capacity]),0))</f>
        <v/>
      </c>
      <c r="K2230">
        <f>IF(A2230="","",I2230*J2230)</f>
        <v/>
      </c>
      <c r="L2230">
        <f>IF(A2230="","",IFERROR(MINIFS(Tickets[Trip Start Time],Tickets[TripKey],A2230),""))</f>
        <v/>
      </c>
    </row>
    <row r="2231">
      <c r="B2231" s="8">
        <f>IF(A2231="","",IFERROR(DATEVALUE(TEXTBEFORE(A2231,"|")),--LEFT(A2231,10)))</f>
        <v/>
      </c>
      <c r="C2231">
        <f>IF(A2231="","",TEXTBEFORE(TEXTAFTER(A2231,"|"),"|"))</f>
        <v/>
      </c>
      <c r="D2231">
        <f>IF(A2231="","",TEXTAFTER(A2231,"|",2))</f>
        <v/>
      </c>
      <c r="E2231">
        <f>IF(A2231="","",SUMIF(Tickets[TripKey],A2231,Tickets[TP]))</f>
        <v/>
      </c>
      <c r="F2231">
        <f>IF(A2231="","",SUMIF(Tickets[TripKey],A2231,Tickets[Revenue]))</f>
        <v/>
      </c>
      <c r="G2231">
        <f>IF(A2231="","",SUMIF(Tickets[TripKey],A2231,Tickets[PK]))</f>
        <v/>
      </c>
      <c r="H2231">
        <f>IF(A2231="","",IFERROR(XLOOKUP(A2231,Tickets[TripKey],Tickets[VehClean]),""))</f>
        <v/>
      </c>
      <c r="I2231">
        <f>IF(A2231="","",IFERROR(XLOOKUP(A2231,Tickets[TripKey],Tickets[RouteLen]),0))</f>
        <v/>
      </c>
      <c r="J2231">
        <f>IF(A2231="","",IFERROR(XLOOKUP(A2231,Tickets[TripKey],Tickets[Capacity]),0))</f>
        <v/>
      </c>
      <c r="K2231">
        <f>IF(A2231="","",I2231*J2231)</f>
        <v/>
      </c>
      <c r="L2231">
        <f>IF(A2231="","",IFERROR(MINIFS(Tickets[Trip Start Time],Tickets[TripKey],A2231),""))</f>
        <v/>
      </c>
    </row>
    <row r="2232">
      <c r="B2232" s="8">
        <f>IF(A2232="","",IFERROR(DATEVALUE(TEXTBEFORE(A2232,"|")),--LEFT(A2232,10)))</f>
        <v/>
      </c>
      <c r="C2232">
        <f>IF(A2232="","",TEXTBEFORE(TEXTAFTER(A2232,"|"),"|"))</f>
        <v/>
      </c>
      <c r="D2232">
        <f>IF(A2232="","",TEXTAFTER(A2232,"|",2))</f>
        <v/>
      </c>
      <c r="E2232">
        <f>IF(A2232="","",SUMIF(Tickets[TripKey],A2232,Tickets[TP]))</f>
        <v/>
      </c>
      <c r="F2232">
        <f>IF(A2232="","",SUMIF(Tickets[TripKey],A2232,Tickets[Revenue]))</f>
        <v/>
      </c>
      <c r="G2232">
        <f>IF(A2232="","",SUMIF(Tickets[TripKey],A2232,Tickets[PK]))</f>
        <v/>
      </c>
      <c r="H2232">
        <f>IF(A2232="","",IFERROR(XLOOKUP(A2232,Tickets[TripKey],Tickets[VehClean]),""))</f>
        <v/>
      </c>
      <c r="I2232">
        <f>IF(A2232="","",IFERROR(XLOOKUP(A2232,Tickets[TripKey],Tickets[RouteLen]),0))</f>
        <v/>
      </c>
      <c r="J2232">
        <f>IF(A2232="","",IFERROR(XLOOKUP(A2232,Tickets[TripKey],Tickets[Capacity]),0))</f>
        <v/>
      </c>
      <c r="K2232">
        <f>IF(A2232="","",I2232*J2232)</f>
        <v/>
      </c>
      <c r="L2232">
        <f>IF(A2232="","",IFERROR(MINIFS(Tickets[Trip Start Time],Tickets[TripKey],A2232),""))</f>
        <v/>
      </c>
    </row>
    <row r="2233">
      <c r="B2233" s="8">
        <f>IF(A2233="","",IFERROR(DATEVALUE(TEXTBEFORE(A2233,"|")),--LEFT(A2233,10)))</f>
        <v/>
      </c>
      <c r="C2233">
        <f>IF(A2233="","",TEXTBEFORE(TEXTAFTER(A2233,"|"),"|"))</f>
        <v/>
      </c>
      <c r="D2233">
        <f>IF(A2233="","",TEXTAFTER(A2233,"|",2))</f>
        <v/>
      </c>
      <c r="E2233">
        <f>IF(A2233="","",SUMIF(Tickets[TripKey],A2233,Tickets[TP]))</f>
        <v/>
      </c>
      <c r="F2233">
        <f>IF(A2233="","",SUMIF(Tickets[TripKey],A2233,Tickets[Revenue]))</f>
        <v/>
      </c>
      <c r="G2233">
        <f>IF(A2233="","",SUMIF(Tickets[TripKey],A2233,Tickets[PK]))</f>
        <v/>
      </c>
      <c r="H2233">
        <f>IF(A2233="","",IFERROR(XLOOKUP(A2233,Tickets[TripKey],Tickets[VehClean]),""))</f>
        <v/>
      </c>
      <c r="I2233">
        <f>IF(A2233="","",IFERROR(XLOOKUP(A2233,Tickets[TripKey],Tickets[RouteLen]),0))</f>
        <v/>
      </c>
      <c r="J2233">
        <f>IF(A2233="","",IFERROR(XLOOKUP(A2233,Tickets[TripKey],Tickets[Capacity]),0))</f>
        <v/>
      </c>
      <c r="K2233">
        <f>IF(A2233="","",I2233*J2233)</f>
        <v/>
      </c>
      <c r="L2233">
        <f>IF(A2233="","",IFERROR(MINIFS(Tickets[Trip Start Time],Tickets[TripKey],A2233),""))</f>
        <v/>
      </c>
    </row>
    <row r="2234">
      <c r="B2234" s="8">
        <f>IF(A2234="","",IFERROR(DATEVALUE(TEXTBEFORE(A2234,"|")),--LEFT(A2234,10)))</f>
        <v/>
      </c>
      <c r="C2234">
        <f>IF(A2234="","",TEXTBEFORE(TEXTAFTER(A2234,"|"),"|"))</f>
        <v/>
      </c>
      <c r="D2234">
        <f>IF(A2234="","",TEXTAFTER(A2234,"|",2))</f>
        <v/>
      </c>
      <c r="E2234">
        <f>IF(A2234="","",SUMIF(Tickets[TripKey],A2234,Tickets[TP]))</f>
        <v/>
      </c>
      <c r="F2234">
        <f>IF(A2234="","",SUMIF(Tickets[TripKey],A2234,Tickets[Revenue]))</f>
        <v/>
      </c>
      <c r="G2234">
        <f>IF(A2234="","",SUMIF(Tickets[TripKey],A2234,Tickets[PK]))</f>
        <v/>
      </c>
      <c r="H2234">
        <f>IF(A2234="","",IFERROR(XLOOKUP(A2234,Tickets[TripKey],Tickets[VehClean]),""))</f>
        <v/>
      </c>
      <c r="I2234">
        <f>IF(A2234="","",IFERROR(XLOOKUP(A2234,Tickets[TripKey],Tickets[RouteLen]),0))</f>
        <v/>
      </c>
      <c r="J2234">
        <f>IF(A2234="","",IFERROR(XLOOKUP(A2234,Tickets[TripKey],Tickets[Capacity]),0))</f>
        <v/>
      </c>
      <c r="K2234">
        <f>IF(A2234="","",I2234*J2234)</f>
        <v/>
      </c>
      <c r="L2234">
        <f>IF(A2234="","",IFERROR(MINIFS(Tickets[Trip Start Time],Tickets[TripKey],A2234),""))</f>
        <v/>
      </c>
    </row>
    <row r="2235">
      <c r="B2235" s="8">
        <f>IF(A2235="","",IFERROR(DATEVALUE(TEXTBEFORE(A2235,"|")),--LEFT(A2235,10)))</f>
        <v/>
      </c>
      <c r="C2235">
        <f>IF(A2235="","",TEXTBEFORE(TEXTAFTER(A2235,"|"),"|"))</f>
        <v/>
      </c>
      <c r="D2235">
        <f>IF(A2235="","",TEXTAFTER(A2235,"|",2))</f>
        <v/>
      </c>
      <c r="E2235">
        <f>IF(A2235="","",SUMIF(Tickets[TripKey],A2235,Tickets[TP]))</f>
        <v/>
      </c>
      <c r="F2235">
        <f>IF(A2235="","",SUMIF(Tickets[TripKey],A2235,Tickets[Revenue]))</f>
        <v/>
      </c>
      <c r="G2235">
        <f>IF(A2235="","",SUMIF(Tickets[TripKey],A2235,Tickets[PK]))</f>
        <v/>
      </c>
      <c r="H2235">
        <f>IF(A2235="","",IFERROR(XLOOKUP(A2235,Tickets[TripKey],Tickets[VehClean]),""))</f>
        <v/>
      </c>
      <c r="I2235">
        <f>IF(A2235="","",IFERROR(XLOOKUP(A2235,Tickets[TripKey],Tickets[RouteLen]),0))</f>
        <v/>
      </c>
      <c r="J2235">
        <f>IF(A2235="","",IFERROR(XLOOKUP(A2235,Tickets[TripKey],Tickets[Capacity]),0))</f>
        <v/>
      </c>
      <c r="K2235">
        <f>IF(A2235="","",I2235*J2235)</f>
        <v/>
      </c>
      <c r="L2235">
        <f>IF(A2235="","",IFERROR(MINIFS(Tickets[Trip Start Time],Tickets[TripKey],A2235),""))</f>
        <v/>
      </c>
    </row>
    <row r="2236">
      <c r="B2236" s="8">
        <f>IF(A2236="","",IFERROR(DATEVALUE(TEXTBEFORE(A2236,"|")),--LEFT(A2236,10)))</f>
        <v/>
      </c>
      <c r="C2236">
        <f>IF(A2236="","",TEXTBEFORE(TEXTAFTER(A2236,"|"),"|"))</f>
        <v/>
      </c>
      <c r="D2236">
        <f>IF(A2236="","",TEXTAFTER(A2236,"|",2))</f>
        <v/>
      </c>
      <c r="E2236">
        <f>IF(A2236="","",SUMIF(Tickets[TripKey],A2236,Tickets[TP]))</f>
        <v/>
      </c>
      <c r="F2236">
        <f>IF(A2236="","",SUMIF(Tickets[TripKey],A2236,Tickets[Revenue]))</f>
        <v/>
      </c>
      <c r="G2236">
        <f>IF(A2236="","",SUMIF(Tickets[TripKey],A2236,Tickets[PK]))</f>
        <v/>
      </c>
      <c r="H2236">
        <f>IF(A2236="","",IFERROR(XLOOKUP(A2236,Tickets[TripKey],Tickets[VehClean]),""))</f>
        <v/>
      </c>
      <c r="I2236">
        <f>IF(A2236="","",IFERROR(XLOOKUP(A2236,Tickets[TripKey],Tickets[RouteLen]),0))</f>
        <v/>
      </c>
      <c r="J2236">
        <f>IF(A2236="","",IFERROR(XLOOKUP(A2236,Tickets[TripKey],Tickets[Capacity]),0))</f>
        <v/>
      </c>
      <c r="K2236">
        <f>IF(A2236="","",I2236*J2236)</f>
        <v/>
      </c>
      <c r="L2236">
        <f>IF(A2236="","",IFERROR(MINIFS(Tickets[Trip Start Time],Tickets[TripKey],A2236),""))</f>
        <v/>
      </c>
    </row>
    <row r="2237">
      <c r="B2237" s="8">
        <f>IF(A2237="","",IFERROR(DATEVALUE(TEXTBEFORE(A2237,"|")),--LEFT(A2237,10)))</f>
        <v/>
      </c>
      <c r="C2237">
        <f>IF(A2237="","",TEXTBEFORE(TEXTAFTER(A2237,"|"),"|"))</f>
        <v/>
      </c>
      <c r="D2237">
        <f>IF(A2237="","",TEXTAFTER(A2237,"|",2))</f>
        <v/>
      </c>
      <c r="E2237">
        <f>IF(A2237="","",SUMIF(Tickets[TripKey],A2237,Tickets[TP]))</f>
        <v/>
      </c>
      <c r="F2237">
        <f>IF(A2237="","",SUMIF(Tickets[TripKey],A2237,Tickets[Revenue]))</f>
        <v/>
      </c>
      <c r="G2237">
        <f>IF(A2237="","",SUMIF(Tickets[TripKey],A2237,Tickets[PK]))</f>
        <v/>
      </c>
      <c r="H2237">
        <f>IF(A2237="","",IFERROR(XLOOKUP(A2237,Tickets[TripKey],Tickets[VehClean]),""))</f>
        <v/>
      </c>
      <c r="I2237">
        <f>IF(A2237="","",IFERROR(XLOOKUP(A2237,Tickets[TripKey],Tickets[RouteLen]),0))</f>
        <v/>
      </c>
      <c r="J2237">
        <f>IF(A2237="","",IFERROR(XLOOKUP(A2237,Tickets[TripKey],Tickets[Capacity]),0))</f>
        <v/>
      </c>
      <c r="K2237">
        <f>IF(A2237="","",I2237*J2237)</f>
        <v/>
      </c>
      <c r="L2237">
        <f>IF(A2237="","",IFERROR(MINIFS(Tickets[Trip Start Time],Tickets[TripKey],A2237),""))</f>
        <v/>
      </c>
    </row>
    <row r="2238">
      <c r="B2238" s="8">
        <f>IF(A2238="","",IFERROR(DATEVALUE(TEXTBEFORE(A2238,"|")),--LEFT(A2238,10)))</f>
        <v/>
      </c>
      <c r="C2238">
        <f>IF(A2238="","",TEXTBEFORE(TEXTAFTER(A2238,"|"),"|"))</f>
        <v/>
      </c>
      <c r="D2238">
        <f>IF(A2238="","",TEXTAFTER(A2238,"|",2))</f>
        <v/>
      </c>
      <c r="E2238">
        <f>IF(A2238="","",SUMIF(Tickets[TripKey],A2238,Tickets[TP]))</f>
        <v/>
      </c>
      <c r="F2238">
        <f>IF(A2238="","",SUMIF(Tickets[TripKey],A2238,Tickets[Revenue]))</f>
        <v/>
      </c>
      <c r="G2238">
        <f>IF(A2238="","",SUMIF(Tickets[TripKey],A2238,Tickets[PK]))</f>
        <v/>
      </c>
      <c r="H2238">
        <f>IF(A2238="","",IFERROR(XLOOKUP(A2238,Tickets[TripKey],Tickets[VehClean]),""))</f>
        <v/>
      </c>
      <c r="I2238">
        <f>IF(A2238="","",IFERROR(XLOOKUP(A2238,Tickets[TripKey],Tickets[RouteLen]),0))</f>
        <v/>
      </c>
      <c r="J2238">
        <f>IF(A2238="","",IFERROR(XLOOKUP(A2238,Tickets[TripKey],Tickets[Capacity]),0))</f>
        <v/>
      </c>
      <c r="K2238">
        <f>IF(A2238="","",I2238*J2238)</f>
        <v/>
      </c>
      <c r="L2238">
        <f>IF(A2238="","",IFERROR(MINIFS(Tickets[Trip Start Time],Tickets[TripKey],A2238),""))</f>
        <v/>
      </c>
    </row>
    <row r="2239">
      <c r="B2239" s="8">
        <f>IF(A2239="","",IFERROR(DATEVALUE(TEXTBEFORE(A2239,"|")),--LEFT(A2239,10)))</f>
        <v/>
      </c>
      <c r="C2239">
        <f>IF(A2239="","",TEXTBEFORE(TEXTAFTER(A2239,"|"),"|"))</f>
        <v/>
      </c>
      <c r="D2239">
        <f>IF(A2239="","",TEXTAFTER(A2239,"|",2))</f>
        <v/>
      </c>
      <c r="E2239">
        <f>IF(A2239="","",SUMIF(Tickets[TripKey],A2239,Tickets[TP]))</f>
        <v/>
      </c>
      <c r="F2239">
        <f>IF(A2239="","",SUMIF(Tickets[TripKey],A2239,Tickets[Revenue]))</f>
        <v/>
      </c>
      <c r="G2239">
        <f>IF(A2239="","",SUMIF(Tickets[TripKey],A2239,Tickets[PK]))</f>
        <v/>
      </c>
      <c r="H2239">
        <f>IF(A2239="","",IFERROR(XLOOKUP(A2239,Tickets[TripKey],Tickets[VehClean]),""))</f>
        <v/>
      </c>
      <c r="I2239">
        <f>IF(A2239="","",IFERROR(XLOOKUP(A2239,Tickets[TripKey],Tickets[RouteLen]),0))</f>
        <v/>
      </c>
      <c r="J2239">
        <f>IF(A2239="","",IFERROR(XLOOKUP(A2239,Tickets[TripKey],Tickets[Capacity]),0))</f>
        <v/>
      </c>
      <c r="K2239">
        <f>IF(A2239="","",I2239*J2239)</f>
        <v/>
      </c>
      <c r="L2239">
        <f>IF(A2239="","",IFERROR(MINIFS(Tickets[Trip Start Time],Tickets[TripKey],A2239),""))</f>
        <v/>
      </c>
    </row>
    <row r="2240">
      <c r="B2240" s="8">
        <f>IF(A2240="","",IFERROR(DATEVALUE(TEXTBEFORE(A2240,"|")),--LEFT(A2240,10)))</f>
        <v/>
      </c>
      <c r="C2240">
        <f>IF(A2240="","",TEXTBEFORE(TEXTAFTER(A2240,"|"),"|"))</f>
        <v/>
      </c>
      <c r="D2240">
        <f>IF(A2240="","",TEXTAFTER(A2240,"|",2))</f>
        <v/>
      </c>
      <c r="E2240">
        <f>IF(A2240="","",SUMIF(Tickets[TripKey],A2240,Tickets[TP]))</f>
        <v/>
      </c>
      <c r="F2240">
        <f>IF(A2240="","",SUMIF(Tickets[TripKey],A2240,Tickets[Revenue]))</f>
        <v/>
      </c>
      <c r="G2240">
        <f>IF(A2240="","",SUMIF(Tickets[TripKey],A2240,Tickets[PK]))</f>
        <v/>
      </c>
      <c r="H2240">
        <f>IF(A2240="","",IFERROR(XLOOKUP(A2240,Tickets[TripKey],Tickets[VehClean]),""))</f>
        <v/>
      </c>
      <c r="I2240">
        <f>IF(A2240="","",IFERROR(XLOOKUP(A2240,Tickets[TripKey],Tickets[RouteLen]),0))</f>
        <v/>
      </c>
      <c r="J2240">
        <f>IF(A2240="","",IFERROR(XLOOKUP(A2240,Tickets[TripKey],Tickets[Capacity]),0))</f>
        <v/>
      </c>
      <c r="K2240">
        <f>IF(A2240="","",I2240*J2240)</f>
        <v/>
      </c>
      <c r="L2240">
        <f>IF(A2240="","",IFERROR(MINIFS(Tickets[Trip Start Time],Tickets[TripKey],A2240),""))</f>
        <v/>
      </c>
    </row>
    <row r="2241">
      <c r="B2241" s="8">
        <f>IF(A2241="","",IFERROR(DATEVALUE(TEXTBEFORE(A2241,"|")),--LEFT(A2241,10)))</f>
        <v/>
      </c>
      <c r="C2241">
        <f>IF(A2241="","",TEXTBEFORE(TEXTAFTER(A2241,"|"),"|"))</f>
        <v/>
      </c>
      <c r="D2241">
        <f>IF(A2241="","",TEXTAFTER(A2241,"|",2))</f>
        <v/>
      </c>
      <c r="E2241">
        <f>IF(A2241="","",SUMIF(Tickets[TripKey],A2241,Tickets[TP]))</f>
        <v/>
      </c>
      <c r="F2241">
        <f>IF(A2241="","",SUMIF(Tickets[TripKey],A2241,Tickets[Revenue]))</f>
        <v/>
      </c>
      <c r="G2241">
        <f>IF(A2241="","",SUMIF(Tickets[TripKey],A2241,Tickets[PK]))</f>
        <v/>
      </c>
      <c r="H2241">
        <f>IF(A2241="","",IFERROR(XLOOKUP(A2241,Tickets[TripKey],Tickets[VehClean]),""))</f>
        <v/>
      </c>
      <c r="I2241">
        <f>IF(A2241="","",IFERROR(XLOOKUP(A2241,Tickets[TripKey],Tickets[RouteLen]),0))</f>
        <v/>
      </c>
      <c r="J2241">
        <f>IF(A2241="","",IFERROR(XLOOKUP(A2241,Tickets[TripKey],Tickets[Capacity]),0))</f>
        <v/>
      </c>
      <c r="K2241">
        <f>IF(A2241="","",I2241*J2241)</f>
        <v/>
      </c>
      <c r="L2241">
        <f>IF(A2241="","",IFERROR(MINIFS(Tickets[Trip Start Time],Tickets[TripKey],A2241),""))</f>
        <v/>
      </c>
    </row>
    <row r="2242">
      <c r="B2242" s="8">
        <f>IF(A2242="","",IFERROR(DATEVALUE(TEXTBEFORE(A2242,"|")),--LEFT(A2242,10)))</f>
        <v/>
      </c>
      <c r="C2242">
        <f>IF(A2242="","",TEXTBEFORE(TEXTAFTER(A2242,"|"),"|"))</f>
        <v/>
      </c>
      <c r="D2242">
        <f>IF(A2242="","",TEXTAFTER(A2242,"|",2))</f>
        <v/>
      </c>
      <c r="E2242">
        <f>IF(A2242="","",SUMIF(Tickets[TripKey],A2242,Tickets[TP]))</f>
        <v/>
      </c>
      <c r="F2242">
        <f>IF(A2242="","",SUMIF(Tickets[TripKey],A2242,Tickets[Revenue]))</f>
        <v/>
      </c>
      <c r="G2242">
        <f>IF(A2242="","",SUMIF(Tickets[TripKey],A2242,Tickets[PK]))</f>
        <v/>
      </c>
      <c r="H2242">
        <f>IF(A2242="","",IFERROR(XLOOKUP(A2242,Tickets[TripKey],Tickets[VehClean]),""))</f>
        <v/>
      </c>
      <c r="I2242">
        <f>IF(A2242="","",IFERROR(XLOOKUP(A2242,Tickets[TripKey],Tickets[RouteLen]),0))</f>
        <v/>
      </c>
      <c r="J2242">
        <f>IF(A2242="","",IFERROR(XLOOKUP(A2242,Tickets[TripKey],Tickets[Capacity]),0))</f>
        <v/>
      </c>
      <c r="K2242">
        <f>IF(A2242="","",I2242*J2242)</f>
        <v/>
      </c>
      <c r="L2242">
        <f>IF(A2242="","",IFERROR(MINIFS(Tickets[Trip Start Time],Tickets[TripKey],A2242),""))</f>
        <v/>
      </c>
    </row>
    <row r="2243">
      <c r="B2243" s="8">
        <f>IF(A2243="","",IFERROR(DATEVALUE(TEXTBEFORE(A2243,"|")),--LEFT(A2243,10)))</f>
        <v/>
      </c>
      <c r="C2243">
        <f>IF(A2243="","",TEXTBEFORE(TEXTAFTER(A2243,"|"),"|"))</f>
        <v/>
      </c>
      <c r="D2243">
        <f>IF(A2243="","",TEXTAFTER(A2243,"|",2))</f>
        <v/>
      </c>
      <c r="E2243">
        <f>IF(A2243="","",SUMIF(Tickets[TripKey],A2243,Tickets[TP]))</f>
        <v/>
      </c>
      <c r="F2243">
        <f>IF(A2243="","",SUMIF(Tickets[TripKey],A2243,Tickets[Revenue]))</f>
        <v/>
      </c>
      <c r="G2243">
        <f>IF(A2243="","",SUMIF(Tickets[TripKey],A2243,Tickets[PK]))</f>
        <v/>
      </c>
      <c r="H2243">
        <f>IF(A2243="","",IFERROR(XLOOKUP(A2243,Tickets[TripKey],Tickets[VehClean]),""))</f>
        <v/>
      </c>
      <c r="I2243">
        <f>IF(A2243="","",IFERROR(XLOOKUP(A2243,Tickets[TripKey],Tickets[RouteLen]),0))</f>
        <v/>
      </c>
      <c r="J2243">
        <f>IF(A2243="","",IFERROR(XLOOKUP(A2243,Tickets[TripKey],Tickets[Capacity]),0))</f>
        <v/>
      </c>
      <c r="K2243">
        <f>IF(A2243="","",I2243*J2243)</f>
        <v/>
      </c>
      <c r="L2243">
        <f>IF(A2243="","",IFERROR(MINIFS(Tickets[Trip Start Time],Tickets[TripKey],A2243),""))</f>
        <v/>
      </c>
    </row>
    <row r="2244">
      <c r="B2244" s="8">
        <f>IF(A2244="","",IFERROR(DATEVALUE(TEXTBEFORE(A2244,"|")),--LEFT(A2244,10)))</f>
        <v/>
      </c>
      <c r="C2244">
        <f>IF(A2244="","",TEXTBEFORE(TEXTAFTER(A2244,"|"),"|"))</f>
        <v/>
      </c>
      <c r="D2244">
        <f>IF(A2244="","",TEXTAFTER(A2244,"|",2))</f>
        <v/>
      </c>
      <c r="E2244">
        <f>IF(A2244="","",SUMIF(Tickets[TripKey],A2244,Tickets[TP]))</f>
        <v/>
      </c>
      <c r="F2244">
        <f>IF(A2244="","",SUMIF(Tickets[TripKey],A2244,Tickets[Revenue]))</f>
        <v/>
      </c>
      <c r="G2244">
        <f>IF(A2244="","",SUMIF(Tickets[TripKey],A2244,Tickets[PK]))</f>
        <v/>
      </c>
      <c r="H2244">
        <f>IF(A2244="","",IFERROR(XLOOKUP(A2244,Tickets[TripKey],Tickets[VehClean]),""))</f>
        <v/>
      </c>
      <c r="I2244">
        <f>IF(A2244="","",IFERROR(XLOOKUP(A2244,Tickets[TripKey],Tickets[RouteLen]),0))</f>
        <v/>
      </c>
      <c r="J2244">
        <f>IF(A2244="","",IFERROR(XLOOKUP(A2244,Tickets[TripKey],Tickets[Capacity]),0))</f>
        <v/>
      </c>
      <c r="K2244">
        <f>IF(A2244="","",I2244*J2244)</f>
        <v/>
      </c>
      <c r="L2244">
        <f>IF(A2244="","",IFERROR(MINIFS(Tickets[Trip Start Time],Tickets[TripKey],A2244),""))</f>
        <v/>
      </c>
    </row>
    <row r="2245">
      <c r="B2245" s="8">
        <f>IF(A2245="","",IFERROR(DATEVALUE(TEXTBEFORE(A2245,"|")),--LEFT(A2245,10)))</f>
        <v/>
      </c>
      <c r="C2245">
        <f>IF(A2245="","",TEXTBEFORE(TEXTAFTER(A2245,"|"),"|"))</f>
        <v/>
      </c>
      <c r="D2245">
        <f>IF(A2245="","",TEXTAFTER(A2245,"|",2))</f>
        <v/>
      </c>
      <c r="E2245">
        <f>IF(A2245="","",SUMIF(Tickets[TripKey],A2245,Tickets[TP]))</f>
        <v/>
      </c>
      <c r="F2245">
        <f>IF(A2245="","",SUMIF(Tickets[TripKey],A2245,Tickets[Revenue]))</f>
        <v/>
      </c>
      <c r="G2245">
        <f>IF(A2245="","",SUMIF(Tickets[TripKey],A2245,Tickets[PK]))</f>
        <v/>
      </c>
      <c r="H2245">
        <f>IF(A2245="","",IFERROR(XLOOKUP(A2245,Tickets[TripKey],Tickets[VehClean]),""))</f>
        <v/>
      </c>
      <c r="I2245">
        <f>IF(A2245="","",IFERROR(XLOOKUP(A2245,Tickets[TripKey],Tickets[RouteLen]),0))</f>
        <v/>
      </c>
      <c r="J2245">
        <f>IF(A2245="","",IFERROR(XLOOKUP(A2245,Tickets[TripKey],Tickets[Capacity]),0))</f>
        <v/>
      </c>
      <c r="K2245">
        <f>IF(A2245="","",I2245*J2245)</f>
        <v/>
      </c>
      <c r="L2245">
        <f>IF(A2245="","",IFERROR(MINIFS(Tickets[Trip Start Time],Tickets[TripKey],A2245),""))</f>
        <v/>
      </c>
    </row>
    <row r="2246">
      <c r="B2246" s="8">
        <f>IF(A2246="","",IFERROR(DATEVALUE(TEXTBEFORE(A2246,"|")),--LEFT(A2246,10)))</f>
        <v/>
      </c>
      <c r="C2246">
        <f>IF(A2246="","",TEXTBEFORE(TEXTAFTER(A2246,"|"),"|"))</f>
        <v/>
      </c>
      <c r="D2246">
        <f>IF(A2246="","",TEXTAFTER(A2246,"|",2))</f>
        <v/>
      </c>
      <c r="E2246">
        <f>IF(A2246="","",SUMIF(Tickets[TripKey],A2246,Tickets[TP]))</f>
        <v/>
      </c>
      <c r="F2246">
        <f>IF(A2246="","",SUMIF(Tickets[TripKey],A2246,Tickets[Revenue]))</f>
        <v/>
      </c>
      <c r="G2246">
        <f>IF(A2246="","",SUMIF(Tickets[TripKey],A2246,Tickets[PK]))</f>
        <v/>
      </c>
      <c r="H2246">
        <f>IF(A2246="","",IFERROR(XLOOKUP(A2246,Tickets[TripKey],Tickets[VehClean]),""))</f>
        <v/>
      </c>
      <c r="I2246">
        <f>IF(A2246="","",IFERROR(XLOOKUP(A2246,Tickets[TripKey],Tickets[RouteLen]),0))</f>
        <v/>
      </c>
      <c r="J2246">
        <f>IF(A2246="","",IFERROR(XLOOKUP(A2246,Tickets[TripKey],Tickets[Capacity]),0))</f>
        <v/>
      </c>
      <c r="K2246">
        <f>IF(A2246="","",I2246*J2246)</f>
        <v/>
      </c>
      <c r="L2246">
        <f>IF(A2246="","",IFERROR(MINIFS(Tickets[Trip Start Time],Tickets[TripKey],A2246),""))</f>
        <v/>
      </c>
    </row>
    <row r="2247">
      <c r="B2247" s="8">
        <f>IF(A2247="","",IFERROR(DATEVALUE(TEXTBEFORE(A2247,"|")),--LEFT(A2247,10)))</f>
        <v/>
      </c>
      <c r="C2247">
        <f>IF(A2247="","",TEXTBEFORE(TEXTAFTER(A2247,"|"),"|"))</f>
        <v/>
      </c>
      <c r="D2247">
        <f>IF(A2247="","",TEXTAFTER(A2247,"|",2))</f>
        <v/>
      </c>
      <c r="E2247">
        <f>IF(A2247="","",SUMIF(Tickets[TripKey],A2247,Tickets[TP]))</f>
        <v/>
      </c>
      <c r="F2247">
        <f>IF(A2247="","",SUMIF(Tickets[TripKey],A2247,Tickets[Revenue]))</f>
        <v/>
      </c>
      <c r="G2247">
        <f>IF(A2247="","",SUMIF(Tickets[TripKey],A2247,Tickets[PK]))</f>
        <v/>
      </c>
      <c r="H2247">
        <f>IF(A2247="","",IFERROR(XLOOKUP(A2247,Tickets[TripKey],Tickets[VehClean]),""))</f>
        <v/>
      </c>
      <c r="I2247">
        <f>IF(A2247="","",IFERROR(XLOOKUP(A2247,Tickets[TripKey],Tickets[RouteLen]),0))</f>
        <v/>
      </c>
      <c r="J2247">
        <f>IF(A2247="","",IFERROR(XLOOKUP(A2247,Tickets[TripKey],Tickets[Capacity]),0))</f>
        <v/>
      </c>
      <c r="K2247">
        <f>IF(A2247="","",I2247*J2247)</f>
        <v/>
      </c>
      <c r="L2247">
        <f>IF(A2247="","",IFERROR(MINIFS(Tickets[Trip Start Time],Tickets[TripKey],A2247),""))</f>
        <v/>
      </c>
    </row>
    <row r="2248">
      <c r="B2248" s="8">
        <f>IF(A2248="","",IFERROR(DATEVALUE(TEXTBEFORE(A2248,"|")),--LEFT(A2248,10)))</f>
        <v/>
      </c>
      <c r="C2248">
        <f>IF(A2248="","",TEXTBEFORE(TEXTAFTER(A2248,"|"),"|"))</f>
        <v/>
      </c>
      <c r="D2248">
        <f>IF(A2248="","",TEXTAFTER(A2248,"|",2))</f>
        <v/>
      </c>
      <c r="E2248">
        <f>IF(A2248="","",SUMIF(Tickets[TripKey],A2248,Tickets[TP]))</f>
        <v/>
      </c>
      <c r="F2248">
        <f>IF(A2248="","",SUMIF(Tickets[TripKey],A2248,Tickets[Revenue]))</f>
        <v/>
      </c>
      <c r="G2248">
        <f>IF(A2248="","",SUMIF(Tickets[TripKey],A2248,Tickets[PK]))</f>
        <v/>
      </c>
      <c r="H2248">
        <f>IF(A2248="","",IFERROR(XLOOKUP(A2248,Tickets[TripKey],Tickets[VehClean]),""))</f>
        <v/>
      </c>
      <c r="I2248">
        <f>IF(A2248="","",IFERROR(XLOOKUP(A2248,Tickets[TripKey],Tickets[RouteLen]),0))</f>
        <v/>
      </c>
      <c r="J2248">
        <f>IF(A2248="","",IFERROR(XLOOKUP(A2248,Tickets[TripKey],Tickets[Capacity]),0))</f>
        <v/>
      </c>
      <c r="K2248">
        <f>IF(A2248="","",I2248*J2248)</f>
        <v/>
      </c>
      <c r="L2248">
        <f>IF(A2248="","",IFERROR(MINIFS(Tickets[Trip Start Time],Tickets[TripKey],A2248),""))</f>
        <v/>
      </c>
    </row>
    <row r="2249">
      <c r="B2249" s="8">
        <f>IF(A2249="","",IFERROR(DATEVALUE(TEXTBEFORE(A2249,"|")),--LEFT(A2249,10)))</f>
        <v/>
      </c>
      <c r="C2249">
        <f>IF(A2249="","",TEXTBEFORE(TEXTAFTER(A2249,"|"),"|"))</f>
        <v/>
      </c>
      <c r="D2249">
        <f>IF(A2249="","",TEXTAFTER(A2249,"|",2))</f>
        <v/>
      </c>
      <c r="E2249">
        <f>IF(A2249="","",SUMIF(Tickets[TripKey],A2249,Tickets[TP]))</f>
        <v/>
      </c>
      <c r="F2249">
        <f>IF(A2249="","",SUMIF(Tickets[TripKey],A2249,Tickets[Revenue]))</f>
        <v/>
      </c>
      <c r="G2249">
        <f>IF(A2249="","",SUMIF(Tickets[TripKey],A2249,Tickets[PK]))</f>
        <v/>
      </c>
      <c r="H2249">
        <f>IF(A2249="","",IFERROR(XLOOKUP(A2249,Tickets[TripKey],Tickets[VehClean]),""))</f>
        <v/>
      </c>
      <c r="I2249">
        <f>IF(A2249="","",IFERROR(XLOOKUP(A2249,Tickets[TripKey],Tickets[RouteLen]),0))</f>
        <v/>
      </c>
      <c r="J2249">
        <f>IF(A2249="","",IFERROR(XLOOKUP(A2249,Tickets[TripKey],Tickets[Capacity]),0))</f>
        <v/>
      </c>
      <c r="K2249">
        <f>IF(A2249="","",I2249*J2249)</f>
        <v/>
      </c>
      <c r="L2249">
        <f>IF(A2249="","",IFERROR(MINIFS(Tickets[Trip Start Time],Tickets[TripKey],A2249),""))</f>
        <v/>
      </c>
    </row>
    <row r="2250">
      <c r="B2250" s="8">
        <f>IF(A2250="","",IFERROR(DATEVALUE(TEXTBEFORE(A2250,"|")),--LEFT(A2250,10)))</f>
        <v/>
      </c>
      <c r="C2250">
        <f>IF(A2250="","",TEXTBEFORE(TEXTAFTER(A2250,"|"),"|"))</f>
        <v/>
      </c>
      <c r="D2250">
        <f>IF(A2250="","",TEXTAFTER(A2250,"|",2))</f>
        <v/>
      </c>
      <c r="E2250">
        <f>IF(A2250="","",SUMIF(Tickets[TripKey],A2250,Tickets[TP]))</f>
        <v/>
      </c>
      <c r="F2250">
        <f>IF(A2250="","",SUMIF(Tickets[TripKey],A2250,Tickets[Revenue]))</f>
        <v/>
      </c>
      <c r="G2250">
        <f>IF(A2250="","",SUMIF(Tickets[TripKey],A2250,Tickets[PK]))</f>
        <v/>
      </c>
      <c r="H2250">
        <f>IF(A2250="","",IFERROR(XLOOKUP(A2250,Tickets[TripKey],Tickets[VehClean]),""))</f>
        <v/>
      </c>
      <c r="I2250">
        <f>IF(A2250="","",IFERROR(XLOOKUP(A2250,Tickets[TripKey],Tickets[RouteLen]),0))</f>
        <v/>
      </c>
      <c r="J2250">
        <f>IF(A2250="","",IFERROR(XLOOKUP(A2250,Tickets[TripKey],Tickets[Capacity]),0))</f>
        <v/>
      </c>
      <c r="K2250">
        <f>IF(A2250="","",I2250*J2250)</f>
        <v/>
      </c>
      <c r="L2250">
        <f>IF(A2250="","",IFERROR(MINIFS(Tickets[Trip Start Time],Tickets[TripKey],A2250),""))</f>
        <v/>
      </c>
    </row>
    <row r="2251">
      <c r="B2251" s="8">
        <f>IF(A2251="","",IFERROR(DATEVALUE(TEXTBEFORE(A2251,"|")),--LEFT(A2251,10)))</f>
        <v/>
      </c>
      <c r="C2251">
        <f>IF(A2251="","",TEXTBEFORE(TEXTAFTER(A2251,"|"),"|"))</f>
        <v/>
      </c>
      <c r="D2251">
        <f>IF(A2251="","",TEXTAFTER(A2251,"|",2))</f>
        <v/>
      </c>
      <c r="E2251">
        <f>IF(A2251="","",SUMIF(Tickets[TripKey],A2251,Tickets[TP]))</f>
        <v/>
      </c>
      <c r="F2251">
        <f>IF(A2251="","",SUMIF(Tickets[TripKey],A2251,Tickets[Revenue]))</f>
        <v/>
      </c>
      <c r="G2251">
        <f>IF(A2251="","",SUMIF(Tickets[TripKey],A2251,Tickets[PK]))</f>
        <v/>
      </c>
      <c r="H2251">
        <f>IF(A2251="","",IFERROR(XLOOKUP(A2251,Tickets[TripKey],Tickets[VehClean]),""))</f>
        <v/>
      </c>
      <c r="I2251">
        <f>IF(A2251="","",IFERROR(XLOOKUP(A2251,Tickets[TripKey],Tickets[RouteLen]),0))</f>
        <v/>
      </c>
      <c r="J2251">
        <f>IF(A2251="","",IFERROR(XLOOKUP(A2251,Tickets[TripKey],Tickets[Capacity]),0))</f>
        <v/>
      </c>
      <c r="K2251">
        <f>IF(A2251="","",I2251*J2251)</f>
        <v/>
      </c>
      <c r="L2251">
        <f>IF(A2251="","",IFERROR(MINIFS(Tickets[Trip Start Time],Tickets[TripKey],A2251),""))</f>
        <v/>
      </c>
    </row>
    <row r="2252">
      <c r="B2252" s="8">
        <f>IF(A2252="","",IFERROR(DATEVALUE(TEXTBEFORE(A2252,"|")),--LEFT(A2252,10)))</f>
        <v/>
      </c>
      <c r="C2252">
        <f>IF(A2252="","",TEXTBEFORE(TEXTAFTER(A2252,"|"),"|"))</f>
        <v/>
      </c>
      <c r="D2252">
        <f>IF(A2252="","",TEXTAFTER(A2252,"|",2))</f>
        <v/>
      </c>
      <c r="E2252">
        <f>IF(A2252="","",SUMIF(Tickets[TripKey],A2252,Tickets[TP]))</f>
        <v/>
      </c>
      <c r="F2252">
        <f>IF(A2252="","",SUMIF(Tickets[TripKey],A2252,Tickets[Revenue]))</f>
        <v/>
      </c>
      <c r="G2252">
        <f>IF(A2252="","",SUMIF(Tickets[TripKey],A2252,Tickets[PK]))</f>
        <v/>
      </c>
      <c r="H2252">
        <f>IF(A2252="","",IFERROR(XLOOKUP(A2252,Tickets[TripKey],Tickets[VehClean]),""))</f>
        <v/>
      </c>
      <c r="I2252">
        <f>IF(A2252="","",IFERROR(XLOOKUP(A2252,Tickets[TripKey],Tickets[RouteLen]),0))</f>
        <v/>
      </c>
      <c r="J2252">
        <f>IF(A2252="","",IFERROR(XLOOKUP(A2252,Tickets[TripKey],Tickets[Capacity]),0))</f>
        <v/>
      </c>
      <c r="K2252">
        <f>IF(A2252="","",I2252*J2252)</f>
        <v/>
      </c>
      <c r="L2252">
        <f>IF(A2252="","",IFERROR(MINIFS(Tickets[Trip Start Time],Tickets[TripKey],A2252),""))</f>
        <v/>
      </c>
    </row>
    <row r="2253">
      <c r="B2253" s="8">
        <f>IF(A2253="","",IFERROR(DATEVALUE(TEXTBEFORE(A2253,"|")),--LEFT(A2253,10)))</f>
        <v/>
      </c>
      <c r="C2253">
        <f>IF(A2253="","",TEXTBEFORE(TEXTAFTER(A2253,"|"),"|"))</f>
        <v/>
      </c>
      <c r="D2253">
        <f>IF(A2253="","",TEXTAFTER(A2253,"|",2))</f>
        <v/>
      </c>
      <c r="E2253">
        <f>IF(A2253="","",SUMIF(Tickets[TripKey],A2253,Tickets[TP]))</f>
        <v/>
      </c>
      <c r="F2253">
        <f>IF(A2253="","",SUMIF(Tickets[TripKey],A2253,Tickets[Revenue]))</f>
        <v/>
      </c>
      <c r="G2253">
        <f>IF(A2253="","",SUMIF(Tickets[TripKey],A2253,Tickets[PK]))</f>
        <v/>
      </c>
      <c r="H2253">
        <f>IF(A2253="","",IFERROR(XLOOKUP(A2253,Tickets[TripKey],Tickets[VehClean]),""))</f>
        <v/>
      </c>
      <c r="I2253">
        <f>IF(A2253="","",IFERROR(XLOOKUP(A2253,Tickets[TripKey],Tickets[RouteLen]),0))</f>
        <v/>
      </c>
      <c r="J2253">
        <f>IF(A2253="","",IFERROR(XLOOKUP(A2253,Tickets[TripKey],Tickets[Capacity]),0))</f>
        <v/>
      </c>
      <c r="K2253">
        <f>IF(A2253="","",I2253*J2253)</f>
        <v/>
      </c>
      <c r="L2253">
        <f>IF(A2253="","",IFERROR(MINIFS(Tickets[Trip Start Time],Tickets[TripKey],A2253),""))</f>
        <v/>
      </c>
    </row>
    <row r="2254">
      <c r="B2254" s="8">
        <f>IF(A2254="","",IFERROR(DATEVALUE(TEXTBEFORE(A2254,"|")),--LEFT(A2254,10)))</f>
        <v/>
      </c>
      <c r="C2254">
        <f>IF(A2254="","",TEXTBEFORE(TEXTAFTER(A2254,"|"),"|"))</f>
        <v/>
      </c>
      <c r="D2254">
        <f>IF(A2254="","",TEXTAFTER(A2254,"|",2))</f>
        <v/>
      </c>
      <c r="E2254">
        <f>IF(A2254="","",SUMIF(Tickets[TripKey],A2254,Tickets[TP]))</f>
        <v/>
      </c>
      <c r="F2254">
        <f>IF(A2254="","",SUMIF(Tickets[TripKey],A2254,Tickets[Revenue]))</f>
        <v/>
      </c>
      <c r="G2254">
        <f>IF(A2254="","",SUMIF(Tickets[TripKey],A2254,Tickets[PK]))</f>
        <v/>
      </c>
      <c r="H2254">
        <f>IF(A2254="","",IFERROR(XLOOKUP(A2254,Tickets[TripKey],Tickets[VehClean]),""))</f>
        <v/>
      </c>
      <c r="I2254">
        <f>IF(A2254="","",IFERROR(XLOOKUP(A2254,Tickets[TripKey],Tickets[RouteLen]),0))</f>
        <v/>
      </c>
      <c r="J2254">
        <f>IF(A2254="","",IFERROR(XLOOKUP(A2254,Tickets[TripKey],Tickets[Capacity]),0))</f>
        <v/>
      </c>
      <c r="K2254">
        <f>IF(A2254="","",I2254*J2254)</f>
        <v/>
      </c>
      <c r="L2254">
        <f>IF(A2254="","",IFERROR(MINIFS(Tickets[Trip Start Time],Tickets[TripKey],A2254),""))</f>
        <v/>
      </c>
    </row>
    <row r="2255">
      <c r="B2255" s="8">
        <f>IF(A2255="","",IFERROR(DATEVALUE(TEXTBEFORE(A2255,"|")),--LEFT(A2255,10)))</f>
        <v/>
      </c>
      <c r="C2255">
        <f>IF(A2255="","",TEXTBEFORE(TEXTAFTER(A2255,"|"),"|"))</f>
        <v/>
      </c>
      <c r="D2255">
        <f>IF(A2255="","",TEXTAFTER(A2255,"|",2))</f>
        <v/>
      </c>
      <c r="E2255">
        <f>IF(A2255="","",SUMIF(Tickets[TripKey],A2255,Tickets[TP]))</f>
        <v/>
      </c>
      <c r="F2255">
        <f>IF(A2255="","",SUMIF(Tickets[TripKey],A2255,Tickets[Revenue]))</f>
        <v/>
      </c>
      <c r="G2255">
        <f>IF(A2255="","",SUMIF(Tickets[TripKey],A2255,Tickets[PK]))</f>
        <v/>
      </c>
      <c r="H2255">
        <f>IF(A2255="","",IFERROR(XLOOKUP(A2255,Tickets[TripKey],Tickets[VehClean]),""))</f>
        <v/>
      </c>
      <c r="I2255">
        <f>IF(A2255="","",IFERROR(XLOOKUP(A2255,Tickets[TripKey],Tickets[RouteLen]),0))</f>
        <v/>
      </c>
      <c r="J2255">
        <f>IF(A2255="","",IFERROR(XLOOKUP(A2255,Tickets[TripKey],Tickets[Capacity]),0))</f>
        <v/>
      </c>
      <c r="K2255">
        <f>IF(A2255="","",I2255*J2255)</f>
        <v/>
      </c>
      <c r="L2255">
        <f>IF(A2255="","",IFERROR(MINIFS(Tickets[Trip Start Time],Tickets[TripKey],A2255),""))</f>
        <v/>
      </c>
    </row>
    <row r="2256">
      <c r="B2256" s="8">
        <f>IF(A2256="","",IFERROR(DATEVALUE(TEXTBEFORE(A2256,"|")),--LEFT(A2256,10)))</f>
        <v/>
      </c>
      <c r="C2256">
        <f>IF(A2256="","",TEXTBEFORE(TEXTAFTER(A2256,"|"),"|"))</f>
        <v/>
      </c>
      <c r="D2256">
        <f>IF(A2256="","",TEXTAFTER(A2256,"|",2))</f>
        <v/>
      </c>
      <c r="E2256">
        <f>IF(A2256="","",SUMIF(Tickets[TripKey],A2256,Tickets[TP]))</f>
        <v/>
      </c>
      <c r="F2256">
        <f>IF(A2256="","",SUMIF(Tickets[TripKey],A2256,Tickets[Revenue]))</f>
        <v/>
      </c>
      <c r="G2256">
        <f>IF(A2256="","",SUMIF(Tickets[TripKey],A2256,Tickets[PK]))</f>
        <v/>
      </c>
      <c r="H2256">
        <f>IF(A2256="","",IFERROR(XLOOKUP(A2256,Tickets[TripKey],Tickets[VehClean]),""))</f>
        <v/>
      </c>
      <c r="I2256">
        <f>IF(A2256="","",IFERROR(XLOOKUP(A2256,Tickets[TripKey],Tickets[RouteLen]),0))</f>
        <v/>
      </c>
      <c r="J2256">
        <f>IF(A2256="","",IFERROR(XLOOKUP(A2256,Tickets[TripKey],Tickets[Capacity]),0))</f>
        <v/>
      </c>
      <c r="K2256">
        <f>IF(A2256="","",I2256*J2256)</f>
        <v/>
      </c>
      <c r="L2256">
        <f>IF(A2256="","",IFERROR(MINIFS(Tickets[Trip Start Time],Tickets[TripKey],A2256),""))</f>
        <v/>
      </c>
    </row>
    <row r="2257">
      <c r="B2257" s="8">
        <f>IF(A2257="","",IFERROR(DATEVALUE(TEXTBEFORE(A2257,"|")),--LEFT(A2257,10)))</f>
        <v/>
      </c>
      <c r="C2257">
        <f>IF(A2257="","",TEXTBEFORE(TEXTAFTER(A2257,"|"),"|"))</f>
        <v/>
      </c>
      <c r="D2257">
        <f>IF(A2257="","",TEXTAFTER(A2257,"|",2))</f>
        <v/>
      </c>
      <c r="E2257">
        <f>IF(A2257="","",SUMIF(Tickets[TripKey],A2257,Tickets[TP]))</f>
        <v/>
      </c>
      <c r="F2257">
        <f>IF(A2257="","",SUMIF(Tickets[TripKey],A2257,Tickets[Revenue]))</f>
        <v/>
      </c>
      <c r="G2257">
        <f>IF(A2257="","",SUMIF(Tickets[TripKey],A2257,Tickets[PK]))</f>
        <v/>
      </c>
      <c r="H2257">
        <f>IF(A2257="","",IFERROR(XLOOKUP(A2257,Tickets[TripKey],Tickets[VehClean]),""))</f>
        <v/>
      </c>
      <c r="I2257">
        <f>IF(A2257="","",IFERROR(XLOOKUP(A2257,Tickets[TripKey],Tickets[RouteLen]),0))</f>
        <v/>
      </c>
      <c r="J2257">
        <f>IF(A2257="","",IFERROR(XLOOKUP(A2257,Tickets[TripKey],Tickets[Capacity]),0))</f>
        <v/>
      </c>
      <c r="K2257">
        <f>IF(A2257="","",I2257*J2257)</f>
        <v/>
      </c>
      <c r="L2257">
        <f>IF(A2257="","",IFERROR(MINIFS(Tickets[Trip Start Time],Tickets[TripKey],A2257),""))</f>
        <v/>
      </c>
    </row>
    <row r="2258">
      <c r="B2258" s="8">
        <f>IF(A2258="","",IFERROR(DATEVALUE(TEXTBEFORE(A2258,"|")),--LEFT(A2258,10)))</f>
        <v/>
      </c>
      <c r="C2258">
        <f>IF(A2258="","",TEXTBEFORE(TEXTAFTER(A2258,"|"),"|"))</f>
        <v/>
      </c>
      <c r="D2258">
        <f>IF(A2258="","",TEXTAFTER(A2258,"|",2))</f>
        <v/>
      </c>
      <c r="E2258">
        <f>IF(A2258="","",SUMIF(Tickets[TripKey],A2258,Tickets[TP]))</f>
        <v/>
      </c>
      <c r="F2258">
        <f>IF(A2258="","",SUMIF(Tickets[TripKey],A2258,Tickets[Revenue]))</f>
        <v/>
      </c>
      <c r="G2258">
        <f>IF(A2258="","",SUMIF(Tickets[TripKey],A2258,Tickets[PK]))</f>
        <v/>
      </c>
      <c r="H2258">
        <f>IF(A2258="","",IFERROR(XLOOKUP(A2258,Tickets[TripKey],Tickets[VehClean]),""))</f>
        <v/>
      </c>
      <c r="I2258">
        <f>IF(A2258="","",IFERROR(XLOOKUP(A2258,Tickets[TripKey],Tickets[RouteLen]),0))</f>
        <v/>
      </c>
      <c r="J2258">
        <f>IF(A2258="","",IFERROR(XLOOKUP(A2258,Tickets[TripKey],Tickets[Capacity]),0))</f>
        <v/>
      </c>
      <c r="K2258">
        <f>IF(A2258="","",I2258*J2258)</f>
        <v/>
      </c>
      <c r="L2258">
        <f>IF(A2258="","",IFERROR(MINIFS(Tickets[Trip Start Time],Tickets[TripKey],A2258),""))</f>
        <v/>
      </c>
    </row>
    <row r="2259">
      <c r="B2259" s="8">
        <f>IF(A2259="","",IFERROR(DATEVALUE(TEXTBEFORE(A2259,"|")),--LEFT(A2259,10)))</f>
        <v/>
      </c>
      <c r="C2259">
        <f>IF(A2259="","",TEXTBEFORE(TEXTAFTER(A2259,"|"),"|"))</f>
        <v/>
      </c>
      <c r="D2259">
        <f>IF(A2259="","",TEXTAFTER(A2259,"|",2))</f>
        <v/>
      </c>
      <c r="E2259">
        <f>IF(A2259="","",SUMIF(Tickets[TripKey],A2259,Tickets[TP]))</f>
        <v/>
      </c>
      <c r="F2259">
        <f>IF(A2259="","",SUMIF(Tickets[TripKey],A2259,Tickets[Revenue]))</f>
        <v/>
      </c>
      <c r="G2259">
        <f>IF(A2259="","",SUMIF(Tickets[TripKey],A2259,Tickets[PK]))</f>
        <v/>
      </c>
      <c r="H2259">
        <f>IF(A2259="","",IFERROR(XLOOKUP(A2259,Tickets[TripKey],Tickets[VehClean]),""))</f>
        <v/>
      </c>
      <c r="I2259">
        <f>IF(A2259="","",IFERROR(XLOOKUP(A2259,Tickets[TripKey],Tickets[RouteLen]),0))</f>
        <v/>
      </c>
      <c r="J2259">
        <f>IF(A2259="","",IFERROR(XLOOKUP(A2259,Tickets[TripKey],Tickets[Capacity]),0))</f>
        <v/>
      </c>
      <c r="K2259">
        <f>IF(A2259="","",I2259*J2259)</f>
        <v/>
      </c>
      <c r="L2259">
        <f>IF(A2259="","",IFERROR(MINIFS(Tickets[Trip Start Time],Tickets[TripKey],A2259),""))</f>
        <v/>
      </c>
    </row>
    <row r="2260">
      <c r="B2260" s="8">
        <f>IF(A2260="","",IFERROR(DATEVALUE(TEXTBEFORE(A2260,"|")),--LEFT(A2260,10)))</f>
        <v/>
      </c>
      <c r="C2260">
        <f>IF(A2260="","",TEXTBEFORE(TEXTAFTER(A2260,"|"),"|"))</f>
        <v/>
      </c>
      <c r="D2260">
        <f>IF(A2260="","",TEXTAFTER(A2260,"|",2))</f>
        <v/>
      </c>
      <c r="E2260">
        <f>IF(A2260="","",SUMIF(Tickets[TripKey],A2260,Tickets[TP]))</f>
        <v/>
      </c>
      <c r="F2260">
        <f>IF(A2260="","",SUMIF(Tickets[TripKey],A2260,Tickets[Revenue]))</f>
        <v/>
      </c>
      <c r="G2260">
        <f>IF(A2260="","",SUMIF(Tickets[TripKey],A2260,Tickets[PK]))</f>
        <v/>
      </c>
      <c r="H2260">
        <f>IF(A2260="","",IFERROR(XLOOKUP(A2260,Tickets[TripKey],Tickets[VehClean]),""))</f>
        <v/>
      </c>
      <c r="I2260">
        <f>IF(A2260="","",IFERROR(XLOOKUP(A2260,Tickets[TripKey],Tickets[RouteLen]),0))</f>
        <v/>
      </c>
      <c r="J2260">
        <f>IF(A2260="","",IFERROR(XLOOKUP(A2260,Tickets[TripKey],Tickets[Capacity]),0))</f>
        <v/>
      </c>
      <c r="K2260">
        <f>IF(A2260="","",I2260*J2260)</f>
        <v/>
      </c>
      <c r="L2260">
        <f>IF(A2260="","",IFERROR(MINIFS(Tickets[Trip Start Time],Tickets[TripKey],A2260),""))</f>
        <v/>
      </c>
    </row>
    <row r="2261">
      <c r="B2261" s="8">
        <f>IF(A2261="","",IFERROR(DATEVALUE(TEXTBEFORE(A2261,"|")),--LEFT(A2261,10)))</f>
        <v/>
      </c>
      <c r="C2261">
        <f>IF(A2261="","",TEXTBEFORE(TEXTAFTER(A2261,"|"),"|"))</f>
        <v/>
      </c>
      <c r="D2261">
        <f>IF(A2261="","",TEXTAFTER(A2261,"|",2))</f>
        <v/>
      </c>
      <c r="E2261">
        <f>IF(A2261="","",SUMIF(Tickets[TripKey],A2261,Tickets[TP]))</f>
        <v/>
      </c>
      <c r="F2261">
        <f>IF(A2261="","",SUMIF(Tickets[TripKey],A2261,Tickets[Revenue]))</f>
        <v/>
      </c>
      <c r="G2261">
        <f>IF(A2261="","",SUMIF(Tickets[TripKey],A2261,Tickets[PK]))</f>
        <v/>
      </c>
      <c r="H2261">
        <f>IF(A2261="","",IFERROR(XLOOKUP(A2261,Tickets[TripKey],Tickets[VehClean]),""))</f>
        <v/>
      </c>
      <c r="I2261">
        <f>IF(A2261="","",IFERROR(XLOOKUP(A2261,Tickets[TripKey],Tickets[RouteLen]),0))</f>
        <v/>
      </c>
      <c r="J2261">
        <f>IF(A2261="","",IFERROR(XLOOKUP(A2261,Tickets[TripKey],Tickets[Capacity]),0))</f>
        <v/>
      </c>
      <c r="K2261">
        <f>IF(A2261="","",I2261*J2261)</f>
        <v/>
      </c>
      <c r="L2261">
        <f>IF(A2261="","",IFERROR(MINIFS(Tickets[Trip Start Time],Tickets[TripKey],A2261),""))</f>
        <v/>
      </c>
    </row>
    <row r="2262">
      <c r="B2262" s="8">
        <f>IF(A2262="","",IFERROR(DATEVALUE(TEXTBEFORE(A2262,"|")),--LEFT(A2262,10)))</f>
        <v/>
      </c>
      <c r="C2262">
        <f>IF(A2262="","",TEXTBEFORE(TEXTAFTER(A2262,"|"),"|"))</f>
        <v/>
      </c>
      <c r="D2262">
        <f>IF(A2262="","",TEXTAFTER(A2262,"|",2))</f>
        <v/>
      </c>
      <c r="E2262">
        <f>IF(A2262="","",SUMIF(Tickets[TripKey],A2262,Tickets[TP]))</f>
        <v/>
      </c>
      <c r="F2262">
        <f>IF(A2262="","",SUMIF(Tickets[TripKey],A2262,Tickets[Revenue]))</f>
        <v/>
      </c>
      <c r="G2262">
        <f>IF(A2262="","",SUMIF(Tickets[TripKey],A2262,Tickets[PK]))</f>
        <v/>
      </c>
      <c r="H2262">
        <f>IF(A2262="","",IFERROR(XLOOKUP(A2262,Tickets[TripKey],Tickets[VehClean]),""))</f>
        <v/>
      </c>
      <c r="I2262">
        <f>IF(A2262="","",IFERROR(XLOOKUP(A2262,Tickets[TripKey],Tickets[RouteLen]),0))</f>
        <v/>
      </c>
      <c r="J2262">
        <f>IF(A2262="","",IFERROR(XLOOKUP(A2262,Tickets[TripKey],Tickets[Capacity]),0))</f>
        <v/>
      </c>
      <c r="K2262">
        <f>IF(A2262="","",I2262*J2262)</f>
        <v/>
      </c>
      <c r="L2262">
        <f>IF(A2262="","",IFERROR(MINIFS(Tickets[Trip Start Time],Tickets[TripKey],A2262),""))</f>
        <v/>
      </c>
    </row>
    <row r="2263">
      <c r="B2263" s="8">
        <f>IF(A2263="","",IFERROR(DATEVALUE(TEXTBEFORE(A2263,"|")),--LEFT(A2263,10)))</f>
        <v/>
      </c>
      <c r="C2263">
        <f>IF(A2263="","",TEXTBEFORE(TEXTAFTER(A2263,"|"),"|"))</f>
        <v/>
      </c>
      <c r="D2263">
        <f>IF(A2263="","",TEXTAFTER(A2263,"|",2))</f>
        <v/>
      </c>
      <c r="E2263">
        <f>IF(A2263="","",SUMIF(Tickets[TripKey],A2263,Tickets[TP]))</f>
        <v/>
      </c>
      <c r="F2263">
        <f>IF(A2263="","",SUMIF(Tickets[TripKey],A2263,Tickets[Revenue]))</f>
        <v/>
      </c>
      <c r="G2263">
        <f>IF(A2263="","",SUMIF(Tickets[TripKey],A2263,Tickets[PK]))</f>
        <v/>
      </c>
      <c r="H2263">
        <f>IF(A2263="","",IFERROR(XLOOKUP(A2263,Tickets[TripKey],Tickets[VehClean]),""))</f>
        <v/>
      </c>
      <c r="I2263">
        <f>IF(A2263="","",IFERROR(XLOOKUP(A2263,Tickets[TripKey],Tickets[RouteLen]),0))</f>
        <v/>
      </c>
      <c r="J2263">
        <f>IF(A2263="","",IFERROR(XLOOKUP(A2263,Tickets[TripKey],Tickets[Capacity]),0))</f>
        <v/>
      </c>
      <c r="K2263">
        <f>IF(A2263="","",I2263*J2263)</f>
        <v/>
      </c>
      <c r="L2263">
        <f>IF(A2263="","",IFERROR(MINIFS(Tickets[Trip Start Time],Tickets[TripKey],A2263),""))</f>
        <v/>
      </c>
    </row>
    <row r="2264">
      <c r="B2264" s="8">
        <f>IF(A2264="","",IFERROR(DATEVALUE(TEXTBEFORE(A2264,"|")),--LEFT(A2264,10)))</f>
        <v/>
      </c>
      <c r="C2264">
        <f>IF(A2264="","",TEXTBEFORE(TEXTAFTER(A2264,"|"),"|"))</f>
        <v/>
      </c>
      <c r="D2264">
        <f>IF(A2264="","",TEXTAFTER(A2264,"|",2))</f>
        <v/>
      </c>
      <c r="E2264">
        <f>IF(A2264="","",SUMIF(Tickets[TripKey],A2264,Tickets[TP]))</f>
        <v/>
      </c>
      <c r="F2264">
        <f>IF(A2264="","",SUMIF(Tickets[TripKey],A2264,Tickets[Revenue]))</f>
        <v/>
      </c>
      <c r="G2264">
        <f>IF(A2264="","",SUMIF(Tickets[TripKey],A2264,Tickets[PK]))</f>
        <v/>
      </c>
      <c r="H2264">
        <f>IF(A2264="","",IFERROR(XLOOKUP(A2264,Tickets[TripKey],Tickets[VehClean]),""))</f>
        <v/>
      </c>
      <c r="I2264">
        <f>IF(A2264="","",IFERROR(XLOOKUP(A2264,Tickets[TripKey],Tickets[RouteLen]),0))</f>
        <v/>
      </c>
      <c r="J2264">
        <f>IF(A2264="","",IFERROR(XLOOKUP(A2264,Tickets[TripKey],Tickets[Capacity]),0))</f>
        <v/>
      </c>
      <c r="K2264">
        <f>IF(A2264="","",I2264*J2264)</f>
        <v/>
      </c>
      <c r="L2264">
        <f>IF(A2264="","",IFERROR(MINIFS(Tickets[Trip Start Time],Tickets[TripKey],A2264),""))</f>
        <v/>
      </c>
    </row>
    <row r="2265">
      <c r="B2265" s="8">
        <f>IF(A2265="","",IFERROR(DATEVALUE(TEXTBEFORE(A2265,"|")),--LEFT(A2265,10)))</f>
        <v/>
      </c>
      <c r="C2265">
        <f>IF(A2265="","",TEXTBEFORE(TEXTAFTER(A2265,"|"),"|"))</f>
        <v/>
      </c>
      <c r="D2265">
        <f>IF(A2265="","",TEXTAFTER(A2265,"|",2))</f>
        <v/>
      </c>
      <c r="E2265">
        <f>IF(A2265="","",SUMIF(Tickets[TripKey],A2265,Tickets[TP]))</f>
        <v/>
      </c>
      <c r="F2265">
        <f>IF(A2265="","",SUMIF(Tickets[TripKey],A2265,Tickets[Revenue]))</f>
        <v/>
      </c>
      <c r="G2265">
        <f>IF(A2265="","",SUMIF(Tickets[TripKey],A2265,Tickets[PK]))</f>
        <v/>
      </c>
      <c r="H2265">
        <f>IF(A2265="","",IFERROR(XLOOKUP(A2265,Tickets[TripKey],Tickets[VehClean]),""))</f>
        <v/>
      </c>
      <c r="I2265">
        <f>IF(A2265="","",IFERROR(XLOOKUP(A2265,Tickets[TripKey],Tickets[RouteLen]),0))</f>
        <v/>
      </c>
      <c r="J2265">
        <f>IF(A2265="","",IFERROR(XLOOKUP(A2265,Tickets[TripKey],Tickets[Capacity]),0))</f>
        <v/>
      </c>
      <c r="K2265">
        <f>IF(A2265="","",I2265*J2265)</f>
        <v/>
      </c>
      <c r="L2265">
        <f>IF(A2265="","",IFERROR(MINIFS(Tickets[Trip Start Time],Tickets[TripKey],A2265),""))</f>
        <v/>
      </c>
    </row>
    <row r="2266">
      <c r="B2266" s="8">
        <f>IF(A2266="","",IFERROR(DATEVALUE(TEXTBEFORE(A2266,"|")),--LEFT(A2266,10)))</f>
        <v/>
      </c>
      <c r="C2266">
        <f>IF(A2266="","",TEXTBEFORE(TEXTAFTER(A2266,"|"),"|"))</f>
        <v/>
      </c>
      <c r="D2266">
        <f>IF(A2266="","",TEXTAFTER(A2266,"|",2))</f>
        <v/>
      </c>
      <c r="E2266">
        <f>IF(A2266="","",SUMIF(Tickets[TripKey],A2266,Tickets[TP]))</f>
        <v/>
      </c>
      <c r="F2266">
        <f>IF(A2266="","",SUMIF(Tickets[TripKey],A2266,Tickets[Revenue]))</f>
        <v/>
      </c>
      <c r="G2266">
        <f>IF(A2266="","",SUMIF(Tickets[TripKey],A2266,Tickets[PK]))</f>
        <v/>
      </c>
      <c r="H2266">
        <f>IF(A2266="","",IFERROR(XLOOKUP(A2266,Tickets[TripKey],Tickets[VehClean]),""))</f>
        <v/>
      </c>
      <c r="I2266">
        <f>IF(A2266="","",IFERROR(XLOOKUP(A2266,Tickets[TripKey],Tickets[RouteLen]),0))</f>
        <v/>
      </c>
      <c r="J2266">
        <f>IF(A2266="","",IFERROR(XLOOKUP(A2266,Tickets[TripKey],Tickets[Capacity]),0))</f>
        <v/>
      </c>
      <c r="K2266">
        <f>IF(A2266="","",I2266*J2266)</f>
        <v/>
      </c>
      <c r="L2266">
        <f>IF(A2266="","",IFERROR(MINIFS(Tickets[Trip Start Time],Tickets[TripKey],A2266),""))</f>
        <v/>
      </c>
    </row>
    <row r="2267">
      <c r="B2267" s="8">
        <f>IF(A2267="","",IFERROR(DATEVALUE(TEXTBEFORE(A2267,"|")),--LEFT(A2267,10)))</f>
        <v/>
      </c>
      <c r="C2267">
        <f>IF(A2267="","",TEXTBEFORE(TEXTAFTER(A2267,"|"),"|"))</f>
        <v/>
      </c>
      <c r="D2267">
        <f>IF(A2267="","",TEXTAFTER(A2267,"|",2))</f>
        <v/>
      </c>
      <c r="E2267">
        <f>IF(A2267="","",SUMIF(Tickets[TripKey],A2267,Tickets[TP]))</f>
        <v/>
      </c>
      <c r="F2267">
        <f>IF(A2267="","",SUMIF(Tickets[TripKey],A2267,Tickets[Revenue]))</f>
        <v/>
      </c>
      <c r="G2267">
        <f>IF(A2267="","",SUMIF(Tickets[TripKey],A2267,Tickets[PK]))</f>
        <v/>
      </c>
      <c r="H2267">
        <f>IF(A2267="","",IFERROR(XLOOKUP(A2267,Tickets[TripKey],Tickets[VehClean]),""))</f>
        <v/>
      </c>
      <c r="I2267">
        <f>IF(A2267="","",IFERROR(XLOOKUP(A2267,Tickets[TripKey],Tickets[RouteLen]),0))</f>
        <v/>
      </c>
      <c r="J2267">
        <f>IF(A2267="","",IFERROR(XLOOKUP(A2267,Tickets[TripKey],Tickets[Capacity]),0))</f>
        <v/>
      </c>
      <c r="K2267">
        <f>IF(A2267="","",I2267*J2267)</f>
        <v/>
      </c>
      <c r="L2267">
        <f>IF(A2267="","",IFERROR(MINIFS(Tickets[Trip Start Time],Tickets[TripKey],A2267),""))</f>
        <v/>
      </c>
    </row>
    <row r="2268">
      <c r="B2268" s="8">
        <f>IF(A2268="","",IFERROR(DATEVALUE(TEXTBEFORE(A2268,"|")),--LEFT(A2268,10)))</f>
        <v/>
      </c>
      <c r="C2268">
        <f>IF(A2268="","",TEXTBEFORE(TEXTAFTER(A2268,"|"),"|"))</f>
        <v/>
      </c>
      <c r="D2268">
        <f>IF(A2268="","",TEXTAFTER(A2268,"|",2))</f>
        <v/>
      </c>
      <c r="E2268">
        <f>IF(A2268="","",SUMIF(Tickets[TripKey],A2268,Tickets[TP]))</f>
        <v/>
      </c>
      <c r="F2268">
        <f>IF(A2268="","",SUMIF(Tickets[TripKey],A2268,Tickets[Revenue]))</f>
        <v/>
      </c>
      <c r="G2268">
        <f>IF(A2268="","",SUMIF(Tickets[TripKey],A2268,Tickets[PK]))</f>
        <v/>
      </c>
      <c r="H2268">
        <f>IF(A2268="","",IFERROR(XLOOKUP(A2268,Tickets[TripKey],Tickets[VehClean]),""))</f>
        <v/>
      </c>
      <c r="I2268">
        <f>IF(A2268="","",IFERROR(XLOOKUP(A2268,Tickets[TripKey],Tickets[RouteLen]),0))</f>
        <v/>
      </c>
      <c r="J2268">
        <f>IF(A2268="","",IFERROR(XLOOKUP(A2268,Tickets[TripKey],Tickets[Capacity]),0))</f>
        <v/>
      </c>
      <c r="K2268">
        <f>IF(A2268="","",I2268*J2268)</f>
        <v/>
      </c>
      <c r="L2268">
        <f>IF(A2268="","",IFERROR(MINIFS(Tickets[Trip Start Time],Tickets[TripKey],A2268),""))</f>
        <v/>
      </c>
    </row>
    <row r="2269">
      <c r="B2269" s="8">
        <f>IF(A2269="","",IFERROR(DATEVALUE(TEXTBEFORE(A2269,"|")),--LEFT(A2269,10)))</f>
        <v/>
      </c>
      <c r="C2269">
        <f>IF(A2269="","",TEXTBEFORE(TEXTAFTER(A2269,"|"),"|"))</f>
        <v/>
      </c>
      <c r="D2269">
        <f>IF(A2269="","",TEXTAFTER(A2269,"|",2))</f>
        <v/>
      </c>
      <c r="E2269">
        <f>IF(A2269="","",SUMIF(Tickets[TripKey],A2269,Tickets[TP]))</f>
        <v/>
      </c>
      <c r="F2269">
        <f>IF(A2269="","",SUMIF(Tickets[TripKey],A2269,Tickets[Revenue]))</f>
        <v/>
      </c>
      <c r="G2269">
        <f>IF(A2269="","",SUMIF(Tickets[TripKey],A2269,Tickets[PK]))</f>
        <v/>
      </c>
      <c r="H2269">
        <f>IF(A2269="","",IFERROR(XLOOKUP(A2269,Tickets[TripKey],Tickets[VehClean]),""))</f>
        <v/>
      </c>
      <c r="I2269">
        <f>IF(A2269="","",IFERROR(XLOOKUP(A2269,Tickets[TripKey],Tickets[RouteLen]),0))</f>
        <v/>
      </c>
      <c r="J2269">
        <f>IF(A2269="","",IFERROR(XLOOKUP(A2269,Tickets[TripKey],Tickets[Capacity]),0))</f>
        <v/>
      </c>
      <c r="K2269">
        <f>IF(A2269="","",I2269*J2269)</f>
        <v/>
      </c>
      <c r="L2269">
        <f>IF(A2269="","",IFERROR(MINIFS(Tickets[Trip Start Time],Tickets[TripKey],A2269),""))</f>
        <v/>
      </c>
    </row>
    <row r="2270">
      <c r="B2270" s="8">
        <f>IF(A2270="","",IFERROR(DATEVALUE(TEXTBEFORE(A2270,"|")),--LEFT(A2270,10)))</f>
        <v/>
      </c>
      <c r="C2270">
        <f>IF(A2270="","",TEXTBEFORE(TEXTAFTER(A2270,"|"),"|"))</f>
        <v/>
      </c>
      <c r="D2270">
        <f>IF(A2270="","",TEXTAFTER(A2270,"|",2))</f>
        <v/>
      </c>
      <c r="E2270">
        <f>IF(A2270="","",SUMIF(Tickets[TripKey],A2270,Tickets[TP]))</f>
        <v/>
      </c>
      <c r="F2270">
        <f>IF(A2270="","",SUMIF(Tickets[TripKey],A2270,Tickets[Revenue]))</f>
        <v/>
      </c>
      <c r="G2270">
        <f>IF(A2270="","",SUMIF(Tickets[TripKey],A2270,Tickets[PK]))</f>
        <v/>
      </c>
      <c r="H2270">
        <f>IF(A2270="","",IFERROR(XLOOKUP(A2270,Tickets[TripKey],Tickets[VehClean]),""))</f>
        <v/>
      </c>
      <c r="I2270">
        <f>IF(A2270="","",IFERROR(XLOOKUP(A2270,Tickets[TripKey],Tickets[RouteLen]),0))</f>
        <v/>
      </c>
      <c r="J2270">
        <f>IF(A2270="","",IFERROR(XLOOKUP(A2270,Tickets[TripKey],Tickets[Capacity]),0))</f>
        <v/>
      </c>
      <c r="K2270">
        <f>IF(A2270="","",I2270*J2270)</f>
        <v/>
      </c>
      <c r="L2270">
        <f>IF(A2270="","",IFERROR(MINIFS(Tickets[Trip Start Time],Tickets[TripKey],A2270),""))</f>
        <v/>
      </c>
    </row>
    <row r="2271">
      <c r="B2271" s="8">
        <f>IF(A2271="","",IFERROR(DATEVALUE(TEXTBEFORE(A2271,"|")),--LEFT(A2271,10)))</f>
        <v/>
      </c>
      <c r="C2271">
        <f>IF(A2271="","",TEXTBEFORE(TEXTAFTER(A2271,"|"),"|"))</f>
        <v/>
      </c>
      <c r="D2271">
        <f>IF(A2271="","",TEXTAFTER(A2271,"|",2))</f>
        <v/>
      </c>
      <c r="E2271">
        <f>IF(A2271="","",SUMIF(Tickets[TripKey],A2271,Tickets[TP]))</f>
        <v/>
      </c>
      <c r="F2271">
        <f>IF(A2271="","",SUMIF(Tickets[TripKey],A2271,Tickets[Revenue]))</f>
        <v/>
      </c>
      <c r="G2271">
        <f>IF(A2271="","",SUMIF(Tickets[TripKey],A2271,Tickets[PK]))</f>
        <v/>
      </c>
      <c r="H2271">
        <f>IF(A2271="","",IFERROR(XLOOKUP(A2271,Tickets[TripKey],Tickets[VehClean]),""))</f>
        <v/>
      </c>
      <c r="I2271">
        <f>IF(A2271="","",IFERROR(XLOOKUP(A2271,Tickets[TripKey],Tickets[RouteLen]),0))</f>
        <v/>
      </c>
      <c r="J2271">
        <f>IF(A2271="","",IFERROR(XLOOKUP(A2271,Tickets[TripKey],Tickets[Capacity]),0))</f>
        <v/>
      </c>
      <c r="K2271">
        <f>IF(A2271="","",I2271*J2271)</f>
        <v/>
      </c>
      <c r="L2271">
        <f>IF(A2271="","",IFERROR(MINIFS(Tickets[Trip Start Time],Tickets[TripKey],A2271),""))</f>
        <v/>
      </c>
    </row>
    <row r="2272">
      <c r="B2272" s="8">
        <f>IF(A2272="","",IFERROR(DATEVALUE(TEXTBEFORE(A2272,"|")),--LEFT(A2272,10)))</f>
        <v/>
      </c>
      <c r="C2272">
        <f>IF(A2272="","",TEXTBEFORE(TEXTAFTER(A2272,"|"),"|"))</f>
        <v/>
      </c>
      <c r="D2272">
        <f>IF(A2272="","",TEXTAFTER(A2272,"|",2))</f>
        <v/>
      </c>
      <c r="E2272">
        <f>IF(A2272="","",SUMIF(Tickets[TripKey],A2272,Tickets[TP]))</f>
        <v/>
      </c>
      <c r="F2272">
        <f>IF(A2272="","",SUMIF(Tickets[TripKey],A2272,Tickets[Revenue]))</f>
        <v/>
      </c>
      <c r="G2272">
        <f>IF(A2272="","",SUMIF(Tickets[TripKey],A2272,Tickets[PK]))</f>
        <v/>
      </c>
      <c r="H2272">
        <f>IF(A2272="","",IFERROR(XLOOKUP(A2272,Tickets[TripKey],Tickets[VehClean]),""))</f>
        <v/>
      </c>
      <c r="I2272">
        <f>IF(A2272="","",IFERROR(XLOOKUP(A2272,Tickets[TripKey],Tickets[RouteLen]),0))</f>
        <v/>
      </c>
      <c r="J2272">
        <f>IF(A2272="","",IFERROR(XLOOKUP(A2272,Tickets[TripKey],Tickets[Capacity]),0))</f>
        <v/>
      </c>
      <c r="K2272">
        <f>IF(A2272="","",I2272*J2272)</f>
        <v/>
      </c>
      <c r="L2272">
        <f>IF(A2272="","",IFERROR(MINIFS(Tickets[Trip Start Time],Tickets[TripKey],A2272),""))</f>
        <v/>
      </c>
    </row>
    <row r="2273">
      <c r="B2273" s="8">
        <f>IF(A2273="","",IFERROR(DATEVALUE(TEXTBEFORE(A2273,"|")),--LEFT(A2273,10)))</f>
        <v/>
      </c>
      <c r="C2273">
        <f>IF(A2273="","",TEXTBEFORE(TEXTAFTER(A2273,"|"),"|"))</f>
        <v/>
      </c>
      <c r="D2273">
        <f>IF(A2273="","",TEXTAFTER(A2273,"|",2))</f>
        <v/>
      </c>
      <c r="E2273">
        <f>IF(A2273="","",SUMIF(Tickets[TripKey],A2273,Tickets[TP]))</f>
        <v/>
      </c>
      <c r="F2273">
        <f>IF(A2273="","",SUMIF(Tickets[TripKey],A2273,Tickets[Revenue]))</f>
        <v/>
      </c>
      <c r="G2273">
        <f>IF(A2273="","",SUMIF(Tickets[TripKey],A2273,Tickets[PK]))</f>
        <v/>
      </c>
      <c r="H2273">
        <f>IF(A2273="","",IFERROR(XLOOKUP(A2273,Tickets[TripKey],Tickets[VehClean]),""))</f>
        <v/>
      </c>
      <c r="I2273">
        <f>IF(A2273="","",IFERROR(XLOOKUP(A2273,Tickets[TripKey],Tickets[RouteLen]),0))</f>
        <v/>
      </c>
      <c r="J2273">
        <f>IF(A2273="","",IFERROR(XLOOKUP(A2273,Tickets[TripKey],Tickets[Capacity]),0))</f>
        <v/>
      </c>
      <c r="K2273">
        <f>IF(A2273="","",I2273*J2273)</f>
        <v/>
      </c>
      <c r="L2273">
        <f>IF(A2273="","",IFERROR(MINIFS(Tickets[Trip Start Time],Tickets[TripKey],A2273),""))</f>
        <v/>
      </c>
    </row>
    <row r="2274">
      <c r="B2274" s="8">
        <f>IF(A2274="","",IFERROR(DATEVALUE(TEXTBEFORE(A2274,"|")),--LEFT(A2274,10)))</f>
        <v/>
      </c>
      <c r="C2274">
        <f>IF(A2274="","",TEXTBEFORE(TEXTAFTER(A2274,"|"),"|"))</f>
        <v/>
      </c>
      <c r="D2274">
        <f>IF(A2274="","",TEXTAFTER(A2274,"|",2))</f>
        <v/>
      </c>
      <c r="E2274">
        <f>IF(A2274="","",SUMIF(Tickets[TripKey],A2274,Tickets[TP]))</f>
        <v/>
      </c>
      <c r="F2274">
        <f>IF(A2274="","",SUMIF(Tickets[TripKey],A2274,Tickets[Revenue]))</f>
        <v/>
      </c>
      <c r="G2274">
        <f>IF(A2274="","",SUMIF(Tickets[TripKey],A2274,Tickets[PK]))</f>
        <v/>
      </c>
      <c r="H2274">
        <f>IF(A2274="","",IFERROR(XLOOKUP(A2274,Tickets[TripKey],Tickets[VehClean]),""))</f>
        <v/>
      </c>
      <c r="I2274">
        <f>IF(A2274="","",IFERROR(XLOOKUP(A2274,Tickets[TripKey],Tickets[RouteLen]),0))</f>
        <v/>
      </c>
      <c r="J2274">
        <f>IF(A2274="","",IFERROR(XLOOKUP(A2274,Tickets[TripKey],Tickets[Capacity]),0))</f>
        <v/>
      </c>
      <c r="K2274">
        <f>IF(A2274="","",I2274*J2274)</f>
        <v/>
      </c>
      <c r="L2274">
        <f>IF(A2274="","",IFERROR(MINIFS(Tickets[Trip Start Time],Tickets[TripKey],A2274),""))</f>
        <v/>
      </c>
    </row>
    <row r="2275">
      <c r="B2275" s="8">
        <f>IF(A2275="","",IFERROR(DATEVALUE(TEXTBEFORE(A2275,"|")),--LEFT(A2275,10)))</f>
        <v/>
      </c>
      <c r="C2275">
        <f>IF(A2275="","",TEXTBEFORE(TEXTAFTER(A2275,"|"),"|"))</f>
        <v/>
      </c>
      <c r="D2275">
        <f>IF(A2275="","",TEXTAFTER(A2275,"|",2))</f>
        <v/>
      </c>
      <c r="E2275">
        <f>IF(A2275="","",SUMIF(Tickets[TripKey],A2275,Tickets[TP]))</f>
        <v/>
      </c>
      <c r="F2275">
        <f>IF(A2275="","",SUMIF(Tickets[TripKey],A2275,Tickets[Revenue]))</f>
        <v/>
      </c>
      <c r="G2275">
        <f>IF(A2275="","",SUMIF(Tickets[TripKey],A2275,Tickets[PK]))</f>
        <v/>
      </c>
      <c r="H2275">
        <f>IF(A2275="","",IFERROR(XLOOKUP(A2275,Tickets[TripKey],Tickets[VehClean]),""))</f>
        <v/>
      </c>
      <c r="I2275">
        <f>IF(A2275="","",IFERROR(XLOOKUP(A2275,Tickets[TripKey],Tickets[RouteLen]),0))</f>
        <v/>
      </c>
      <c r="J2275">
        <f>IF(A2275="","",IFERROR(XLOOKUP(A2275,Tickets[TripKey],Tickets[Capacity]),0))</f>
        <v/>
      </c>
      <c r="K2275">
        <f>IF(A2275="","",I2275*J2275)</f>
        <v/>
      </c>
      <c r="L2275">
        <f>IF(A2275="","",IFERROR(MINIFS(Tickets[Trip Start Time],Tickets[TripKey],A2275),""))</f>
        <v/>
      </c>
    </row>
    <row r="2276">
      <c r="B2276" s="8">
        <f>IF(A2276="","",IFERROR(DATEVALUE(TEXTBEFORE(A2276,"|")),--LEFT(A2276,10)))</f>
        <v/>
      </c>
      <c r="C2276">
        <f>IF(A2276="","",TEXTBEFORE(TEXTAFTER(A2276,"|"),"|"))</f>
        <v/>
      </c>
      <c r="D2276">
        <f>IF(A2276="","",TEXTAFTER(A2276,"|",2))</f>
        <v/>
      </c>
      <c r="E2276">
        <f>IF(A2276="","",SUMIF(Tickets[TripKey],A2276,Tickets[TP]))</f>
        <v/>
      </c>
      <c r="F2276">
        <f>IF(A2276="","",SUMIF(Tickets[TripKey],A2276,Tickets[Revenue]))</f>
        <v/>
      </c>
      <c r="G2276">
        <f>IF(A2276="","",SUMIF(Tickets[TripKey],A2276,Tickets[PK]))</f>
        <v/>
      </c>
      <c r="H2276">
        <f>IF(A2276="","",IFERROR(XLOOKUP(A2276,Tickets[TripKey],Tickets[VehClean]),""))</f>
        <v/>
      </c>
      <c r="I2276">
        <f>IF(A2276="","",IFERROR(XLOOKUP(A2276,Tickets[TripKey],Tickets[RouteLen]),0))</f>
        <v/>
      </c>
      <c r="J2276">
        <f>IF(A2276="","",IFERROR(XLOOKUP(A2276,Tickets[TripKey],Tickets[Capacity]),0))</f>
        <v/>
      </c>
      <c r="K2276">
        <f>IF(A2276="","",I2276*J2276)</f>
        <v/>
      </c>
      <c r="L2276">
        <f>IF(A2276="","",IFERROR(MINIFS(Tickets[Trip Start Time],Tickets[TripKey],A2276),""))</f>
        <v/>
      </c>
    </row>
    <row r="2277">
      <c r="B2277" s="8">
        <f>IF(A2277="","",IFERROR(DATEVALUE(TEXTBEFORE(A2277,"|")),--LEFT(A2277,10)))</f>
        <v/>
      </c>
      <c r="C2277">
        <f>IF(A2277="","",TEXTBEFORE(TEXTAFTER(A2277,"|"),"|"))</f>
        <v/>
      </c>
      <c r="D2277">
        <f>IF(A2277="","",TEXTAFTER(A2277,"|",2))</f>
        <v/>
      </c>
      <c r="E2277">
        <f>IF(A2277="","",SUMIF(Tickets[TripKey],A2277,Tickets[TP]))</f>
        <v/>
      </c>
      <c r="F2277">
        <f>IF(A2277="","",SUMIF(Tickets[TripKey],A2277,Tickets[Revenue]))</f>
        <v/>
      </c>
      <c r="G2277">
        <f>IF(A2277="","",SUMIF(Tickets[TripKey],A2277,Tickets[PK]))</f>
        <v/>
      </c>
      <c r="H2277">
        <f>IF(A2277="","",IFERROR(XLOOKUP(A2277,Tickets[TripKey],Tickets[VehClean]),""))</f>
        <v/>
      </c>
      <c r="I2277">
        <f>IF(A2277="","",IFERROR(XLOOKUP(A2277,Tickets[TripKey],Tickets[RouteLen]),0))</f>
        <v/>
      </c>
      <c r="J2277">
        <f>IF(A2277="","",IFERROR(XLOOKUP(A2277,Tickets[TripKey],Tickets[Capacity]),0))</f>
        <v/>
      </c>
      <c r="K2277">
        <f>IF(A2277="","",I2277*J2277)</f>
        <v/>
      </c>
      <c r="L2277">
        <f>IF(A2277="","",IFERROR(MINIFS(Tickets[Trip Start Time],Tickets[TripKey],A2277),""))</f>
        <v/>
      </c>
    </row>
    <row r="2278">
      <c r="B2278" s="8">
        <f>IF(A2278="","",IFERROR(DATEVALUE(TEXTBEFORE(A2278,"|")),--LEFT(A2278,10)))</f>
        <v/>
      </c>
      <c r="C2278">
        <f>IF(A2278="","",TEXTBEFORE(TEXTAFTER(A2278,"|"),"|"))</f>
        <v/>
      </c>
      <c r="D2278">
        <f>IF(A2278="","",TEXTAFTER(A2278,"|",2))</f>
        <v/>
      </c>
      <c r="E2278">
        <f>IF(A2278="","",SUMIF(Tickets[TripKey],A2278,Tickets[TP]))</f>
        <v/>
      </c>
      <c r="F2278">
        <f>IF(A2278="","",SUMIF(Tickets[TripKey],A2278,Tickets[Revenue]))</f>
        <v/>
      </c>
      <c r="G2278">
        <f>IF(A2278="","",SUMIF(Tickets[TripKey],A2278,Tickets[PK]))</f>
        <v/>
      </c>
      <c r="H2278">
        <f>IF(A2278="","",IFERROR(XLOOKUP(A2278,Tickets[TripKey],Tickets[VehClean]),""))</f>
        <v/>
      </c>
      <c r="I2278">
        <f>IF(A2278="","",IFERROR(XLOOKUP(A2278,Tickets[TripKey],Tickets[RouteLen]),0))</f>
        <v/>
      </c>
      <c r="J2278">
        <f>IF(A2278="","",IFERROR(XLOOKUP(A2278,Tickets[TripKey],Tickets[Capacity]),0))</f>
        <v/>
      </c>
      <c r="K2278">
        <f>IF(A2278="","",I2278*J2278)</f>
        <v/>
      </c>
      <c r="L2278">
        <f>IF(A2278="","",IFERROR(MINIFS(Tickets[Trip Start Time],Tickets[TripKey],A2278),""))</f>
        <v/>
      </c>
    </row>
    <row r="2279">
      <c r="B2279" s="8">
        <f>IF(A2279="","",IFERROR(DATEVALUE(TEXTBEFORE(A2279,"|")),--LEFT(A2279,10)))</f>
        <v/>
      </c>
      <c r="C2279">
        <f>IF(A2279="","",TEXTBEFORE(TEXTAFTER(A2279,"|"),"|"))</f>
        <v/>
      </c>
      <c r="D2279">
        <f>IF(A2279="","",TEXTAFTER(A2279,"|",2))</f>
        <v/>
      </c>
      <c r="E2279">
        <f>IF(A2279="","",SUMIF(Tickets[TripKey],A2279,Tickets[TP]))</f>
        <v/>
      </c>
      <c r="F2279">
        <f>IF(A2279="","",SUMIF(Tickets[TripKey],A2279,Tickets[Revenue]))</f>
        <v/>
      </c>
      <c r="G2279">
        <f>IF(A2279="","",SUMIF(Tickets[TripKey],A2279,Tickets[PK]))</f>
        <v/>
      </c>
      <c r="H2279">
        <f>IF(A2279="","",IFERROR(XLOOKUP(A2279,Tickets[TripKey],Tickets[VehClean]),""))</f>
        <v/>
      </c>
      <c r="I2279">
        <f>IF(A2279="","",IFERROR(XLOOKUP(A2279,Tickets[TripKey],Tickets[RouteLen]),0))</f>
        <v/>
      </c>
      <c r="J2279">
        <f>IF(A2279="","",IFERROR(XLOOKUP(A2279,Tickets[TripKey],Tickets[Capacity]),0))</f>
        <v/>
      </c>
      <c r="K2279">
        <f>IF(A2279="","",I2279*J2279)</f>
        <v/>
      </c>
      <c r="L2279">
        <f>IF(A2279="","",IFERROR(MINIFS(Tickets[Trip Start Time],Tickets[TripKey],A2279),""))</f>
        <v/>
      </c>
    </row>
    <row r="2280">
      <c r="B2280" s="8">
        <f>IF(A2280="","",IFERROR(DATEVALUE(TEXTBEFORE(A2280,"|")),--LEFT(A2280,10)))</f>
        <v/>
      </c>
      <c r="C2280">
        <f>IF(A2280="","",TEXTBEFORE(TEXTAFTER(A2280,"|"),"|"))</f>
        <v/>
      </c>
      <c r="D2280">
        <f>IF(A2280="","",TEXTAFTER(A2280,"|",2))</f>
        <v/>
      </c>
      <c r="E2280">
        <f>IF(A2280="","",SUMIF(Tickets[TripKey],A2280,Tickets[TP]))</f>
        <v/>
      </c>
      <c r="F2280">
        <f>IF(A2280="","",SUMIF(Tickets[TripKey],A2280,Tickets[Revenue]))</f>
        <v/>
      </c>
      <c r="G2280">
        <f>IF(A2280="","",SUMIF(Tickets[TripKey],A2280,Tickets[PK]))</f>
        <v/>
      </c>
      <c r="H2280">
        <f>IF(A2280="","",IFERROR(XLOOKUP(A2280,Tickets[TripKey],Tickets[VehClean]),""))</f>
        <v/>
      </c>
      <c r="I2280">
        <f>IF(A2280="","",IFERROR(XLOOKUP(A2280,Tickets[TripKey],Tickets[RouteLen]),0))</f>
        <v/>
      </c>
      <c r="J2280">
        <f>IF(A2280="","",IFERROR(XLOOKUP(A2280,Tickets[TripKey],Tickets[Capacity]),0))</f>
        <v/>
      </c>
      <c r="K2280">
        <f>IF(A2280="","",I2280*J2280)</f>
        <v/>
      </c>
      <c r="L2280">
        <f>IF(A2280="","",IFERROR(MINIFS(Tickets[Trip Start Time],Tickets[TripKey],A2280),""))</f>
        <v/>
      </c>
    </row>
    <row r="2281">
      <c r="B2281" s="8">
        <f>IF(A2281="","",IFERROR(DATEVALUE(TEXTBEFORE(A2281,"|")),--LEFT(A2281,10)))</f>
        <v/>
      </c>
      <c r="C2281">
        <f>IF(A2281="","",TEXTBEFORE(TEXTAFTER(A2281,"|"),"|"))</f>
        <v/>
      </c>
      <c r="D2281">
        <f>IF(A2281="","",TEXTAFTER(A2281,"|",2))</f>
        <v/>
      </c>
      <c r="E2281">
        <f>IF(A2281="","",SUMIF(Tickets[TripKey],A2281,Tickets[TP]))</f>
        <v/>
      </c>
      <c r="F2281">
        <f>IF(A2281="","",SUMIF(Tickets[TripKey],A2281,Tickets[Revenue]))</f>
        <v/>
      </c>
      <c r="G2281">
        <f>IF(A2281="","",SUMIF(Tickets[TripKey],A2281,Tickets[PK]))</f>
        <v/>
      </c>
      <c r="H2281">
        <f>IF(A2281="","",IFERROR(XLOOKUP(A2281,Tickets[TripKey],Tickets[VehClean]),""))</f>
        <v/>
      </c>
      <c r="I2281">
        <f>IF(A2281="","",IFERROR(XLOOKUP(A2281,Tickets[TripKey],Tickets[RouteLen]),0))</f>
        <v/>
      </c>
      <c r="J2281">
        <f>IF(A2281="","",IFERROR(XLOOKUP(A2281,Tickets[TripKey],Tickets[Capacity]),0))</f>
        <v/>
      </c>
      <c r="K2281">
        <f>IF(A2281="","",I2281*J2281)</f>
        <v/>
      </c>
      <c r="L2281">
        <f>IF(A2281="","",IFERROR(MINIFS(Tickets[Trip Start Time],Tickets[TripKey],A2281),""))</f>
        <v/>
      </c>
    </row>
    <row r="2282">
      <c r="B2282" s="8">
        <f>IF(A2282="","",IFERROR(DATEVALUE(TEXTBEFORE(A2282,"|")),--LEFT(A2282,10)))</f>
        <v/>
      </c>
      <c r="C2282">
        <f>IF(A2282="","",TEXTBEFORE(TEXTAFTER(A2282,"|"),"|"))</f>
        <v/>
      </c>
      <c r="D2282">
        <f>IF(A2282="","",TEXTAFTER(A2282,"|",2))</f>
        <v/>
      </c>
      <c r="E2282">
        <f>IF(A2282="","",SUMIF(Tickets[TripKey],A2282,Tickets[TP]))</f>
        <v/>
      </c>
      <c r="F2282">
        <f>IF(A2282="","",SUMIF(Tickets[TripKey],A2282,Tickets[Revenue]))</f>
        <v/>
      </c>
      <c r="G2282">
        <f>IF(A2282="","",SUMIF(Tickets[TripKey],A2282,Tickets[PK]))</f>
        <v/>
      </c>
      <c r="H2282">
        <f>IF(A2282="","",IFERROR(XLOOKUP(A2282,Tickets[TripKey],Tickets[VehClean]),""))</f>
        <v/>
      </c>
      <c r="I2282">
        <f>IF(A2282="","",IFERROR(XLOOKUP(A2282,Tickets[TripKey],Tickets[RouteLen]),0))</f>
        <v/>
      </c>
      <c r="J2282">
        <f>IF(A2282="","",IFERROR(XLOOKUP(A2282,Tickets[TripKey],Tickets[Capacity]),0))</f>
        <v/>
      </c>
      <c r="K2282">
        <f>IF(A2282="","",I2282*J2282)</f>
        <v/>
      </c>
      <c r="L2282">
        <f>IF(A2282="","",IFERROR(MINIFS(Tickets[Trip Start Time],Tickets[TripKey],A2282),""))</f>
        <v/>
      </c>
    </row>
    <row r="2283">
      <c r="B2283" s="8">
        <f>IF(A2283="","",IFERROR(DATEVALUE(TEXTBEFORE(A2283,"|")),--LEFT(A2283,10)))</f>
        <v/>
      </c>
      <c r="C2283">
        <f>IF(A2283="","",TEXTBEFORE(TEXTAFTER(A2283,"|"),"|"))</f>
        <v/>
      </c>
      <c r="D2283">
        <f>IF(A2283="","",TEXTAFTER(A2283,"|",2))</f>
        <v/>
      </c>
      <c r="E2283">
        <f>IF(A2283="","",SUMIF(Tickets[TripKey],A2283,Tickets[TP]))</f>
        <v/>
      </c>
      <c r="F2283">
        <f>IF(A2283="","",SUMIF(Tickets[TripKey],A2283,Tickets[Revenue]))</f>
        <v/>
      </c>
      <c r="G2283">
        <f>IF(A2283="","",SUMIF(Tickets[TripKey],A2283,Tickets[PK]))</f>
        <v/>
      </c>
      <c r="H2283">
        <f>IF(A2283="","",IFERROR(XLOOKUP(A2283,Tickets[TripKey],Tickets[VehClean]),""))</f>
        <v/>
      </c>
      <c r="I2283">
        <f>IF(A2283="","",IFERROR(XLOOKUP(A2283,Tickets[TripKey],Tickets[RouteLen]),0))</f>
        <v/>
      </c>
      <c r="J2283">
        <f>IF(A2283="","",IFERROR(XLOOKUP(A2283,Tickets[TripKey],Tickets[Capacity]),0))</f>
        <v/>
      </c>
      <c r="K2283">
        <f>IF(A2283="","",I2283*J2283)</f>
        <v/>
      </c>
      <c r="L2283">
        <f>IF(A2283="","",IFERROR(MINIFS(Tickets[Trip Start Time],Tickets[TripKey],A2283),""))</f>
        <v/>
      </c>
    </row>
    <row r="2284">
      <c r="B2284" s="8">
        <f>IF(A2284="","",IFERROR(DATEVALUE(TEXTBEFORE(A2284,"|")),--LEFT(A2284,10)))</f>
        <v/>
      </c>
      <c r="C2284">
        <f>IF(A2284="","",TEXTBEFORE(TEXTAFTER(A2284,"|"),"|"))</f>
        <v/>
      </c>
      <c r="D2284">
        <f>IF(A2284="","",TEXTAFTER(A2284,"|",2))</f>
        <v/>
      </c>
      <c r="E2284">
        <f>IF(A2284="","",SUMIF(Tickets[TripKey],A2284,Tickets[TP]))</f>
        <v/>
      </c>
      <c r="F2284">
        <f>IF(A2284="","",SUMIF(Tickets[TripKey],A2284,Tickets[Revenue]))</f>
        <v/>
      </c>
      <c r="G2284">
        <f>IF(A2284="","",SUMIF(Tickets[TripKey],A2284,Tickets[PK]))</f>
        <v/>
      </c>
      <c r="H2284">
        <f>IF(A2284="","",IFERROR(XLOOKUP(A2284,Tickets[TripKey],Tickets[VehClean]),""))</f>
        <v/>
      </c>
      <c r="I2284">
        <f>IF(A2284="","",IFERROR(XLOOKUP(A2284,Tickets[TripKey],Tickets[RouteLen]),0))</f>
        <v/>
      </c>
      <c r="J2284">
        <f>IF(A2284="","",IFERROR(XLOOKUP(A2284,Tickets[TripKey],Tickets[Capacity]),0))</f>
        <v/>
      </c>
      <c r="K2284">
        <f>IF(A2284="","",I2284*J2284)</f>
        <v/>
      </c>
      <c r="L2284">
        <f>IF(A2284="","",IFERROR(MINIFS(Tickets[Trip Start Time],Tickets[TripKey],A2284),""))</f>
        <v/>
      </c>
    </row>
    <row r="2285">
      <c r="B2285" s="8">
        <f>IF(A2285="","",IFERROR(DATEVALUE(TEXTBEFORE(A2285,"|")),--LEFT(A2285,10)))</f>
        <v/>
      </c>
      <c r="C2285">
        <f>IF(A2285="","",TEXTBEFORE(TEXTAFTER(A2285,"|"),"|"))</f>
        <v/>
      </c>
      <c r="D2285">
        <f>IF(A2285="","",TEXTAFTER(A2285,"|",2))</f>
        <v/>
      </c>
      <c r="E2285">
        <f>IF(A2285="","",SUMIF(Tickets[TripKey],A2285,Tickets[TP]))</f>
        <v/>
      </c>
      <c r="F2285">
        <f>IF(A2285="","",SUMIF(Tickets[TripKey],A2285,Tickets[Revenue]))</f>
        <v/>
      </c>
      <c r="G2285">
        <f>IF(A2285="","",SUMIF(Tickets[TripKey],A2285,Tickets[PK]))</f>
        <v/>
      </c>
      <c r="H2285">
        <f>IF(A2285="","",IFERROR(XLOOKUP(A2285,Tickets[TripKey],Tickets[VehClean]),""))</f>
        <v/>
      </c>
      <c r="I2285">
        <f>IF(A2285="","",IFERROR(XLOOKUP(A2285,Tickets[TripKey],Tickets[RouteLen]),0))</f>
        <v/>
      </c>
      <c r="J2285">
        <f>IF(A2285="","",IFERROR(XLOOKUP(A2285,Tickets[TripKey],Tickets[Capacity]),0))</f>
        <v/>
      </c>
      <c r="K2285">
        <f>IF(A2285="","",I2285*J2285)</f>
        <v/>
      </c>
      <c r="L2285">
        <f>IF(A2285="","",IFERROR(MINIFS(Tickets[Trip Start Time],Tickets[TripKey],A2285),""))</f>
        <v/>
      </c>
    </row>
    <row r="2286">
      <c r="B2286" s="8">
        <f>IF(A2286="","",IFERROR(DATEVALUE(TEXTBEFORE(A2286,"|")),--LEFT(A2286,10)))</f>
        <v/>
      </c>
      <c r="C2286">
        <f>IF(A2286="","",TEXTBEFORE(TEXTAFTER(A2286,"|"),"|"))</f>
        <v/>
      </c>
      <c r="D2286">
        <f>IF(A2286="","",TEXTAFTER(A2286,"|",2))</f>
        <v/>
      </c>
      <c r="E2286">
        <f>IF(A2286="","",SUMIF(Tickets[TripKey],A2286,Tickets[TP]))</f>
        <v/>
      </c>
      <c r="F2286">
        <f>IF(A2286="","",SUMIF(Tickets[TripKey],A2286,Tickets[Revenue]))</f>
        <v/>
      </c>
      <c r="G2286">
        <f>IF(A2286="","",SUMIF(Tickets[TripKey],A2286,Tickets[PK]))</f>
        <v/>
      </c>
      <c r="H2286">
        <f>IF(A2286="","",IFERROR(XLOOKUP(A2286,Tickets[TripKey],Tickets[VehClean]),""))</f>
        <v/>
      </c>
      <c r="I2286">
        <f>IF(A2286="","",IFERROR(XLOOKUP(A2286,Tickets[TripKey],Tickets[RouteLen]),0))</f>
        <v/>
      </c>
      <c r="J2286">
        <f>IF(A2286="","",IFERROR(XLOOKUP(A2286,Tickets[TripKey],Tickets[Capacity]),0))</f>
        <v/>
      </c>
      <c r="K2286">
        <f>IF(A2286="","",I2286*J2286)</f>
        <v/>
      </c>
      <c r="L2286">
        <f>IF(A2286="","",IFERROR(MINIFS(Tickets[Trip Start Time],Tickets[TripKey],A2286),""))</f>
        <v/>
      </c>
    </row>
    <row r="2287">
      <c r="B2287" s="8">
        <f>IF(A2287="","",IFERROR(DATEVALUE(TEXTBEFORE(A2287,"|")),--LEFT(A2287,10)))</f>
        <v/>
      </c>
      <c r="C2287">
        <f>IF(A2287="","",TEXTBEFORE(TEXTAFTER(A2287,"|"),"|"))</f>
        <v/>
      </c>
      <c r="D2287">
        <f>IF(A2287="","",TEXTAFTER(A2287,"|",2))</f>
        <v/>
      </c>
      <c r="E2287">
        <f>IF(A2287="","",SUMIF(Tickets[TripKey],A2287,Tickets[TP]))</f>
        <v/>
      </c>
      <c r="F2287">
        <f>IF(A2287="","",SUMIF(Tickets[TripKey],A2287,Tickets[Revenue]))</f>
        <v/>
      </c>
      <c r="G2287">
        <f>IF(A2287="","",SUMIF(Tickets[TripKey],A2287,Tickets[PK]))</f>
        <v/>
      </c>
      <c r="H2287">
        <f>IF(A2287="","",IFERROR(XLOOKUP(A2287,Tickets[TripKey],Tickets[VehClean]),""))</f>
        <v/>
      </c>
      <c r="I2287">
        <f>IF(A2287="","",IFERROR(XLOOKUP(A2287,Tickets[TripKey],Tickets[RouteLen]),0))</f>
        <v/>
      </c>
      <c r="J2287">
        <f>IF(A2287="","",IFERROR(XLOOKUP(A2287,Tickets[TripKey],Tickets[Capacity]),0))</f>
        <v/>
      </c>
      <c r="K2287">
        <f>IF(A2287="","",I2287*J2287)</f>
        <v/>
      </c>
      <c r="L2287">
        <f>IF(A2287="","",IFERROR(MINIFS(Tickets[Trip Start Time],Tickets[TripKey],A2287),""))</f>
        <v/>
      </c>
    </row>
    <row r="2288">
      <c r="B2288" s="8">
        <f>IF(A2288="","",IFERROR(DATEVALUE(TEXTBEFORE(A2288,"|")),--LEFT(A2288,10)))</f>
        <v/>
      </c>
      <c r="C2288">
        <f>IF(A2288="","",TEXTBEFORE(TEXTAFTER(A2288,"|"),"|"))</f>
        <v/>
      </c>
      <c r="D2288">
        <f>IF(A2288="","",TEXTAFTER(A2288,"|",2))</f>
        <v/>
      </c>
      <c r="E2288">
        <f>IF(A2288="","",SUMIF(Tickets[TripKey],A2288,Tickets[TP]))</f>
        <v/>
      </c>
      <c r="F2288">
        <f>IF(A2288="","",SUMIF(Tickets[TripKey],A2288,Tickets[Revenue]))</f>
        <v/>
      </c>
      <c r="G2288">
        <f>IF(A2288="","",SUMIF(Tickets[TripKey],A2288,Tickets[PK]))</f>
        <v/>
      </c>
      <c r="H2288">
        <f>IF(A2288="","",IFERROR(XLOOKUP(A2288,Tickets[TripKey],Tickets[VehClean]),""))</f>
        <v/>
      </c>
      <c r="I2288">
        <f>IF(A2288="","",IFERROR(XLOOKUP(A2288,Tickets[TripKey],Tickets[RouteLen]),0))</f>
        <v/>
      </c>
      <c r="J2288">
        <f>IF(A2288="","",IFERROR(XLOOKUP(A2288,Tickets[TripKey],Tickets[Capacity]),0))</f>
        <v/>
      </c>
      <c r="K2288">
        <f>IF(A2288="","",I2288*J2288)</f>
        <v/>
      </c>
      <c r="L2288">
        <f>IF(A2288="","",IFERROR(MINIFS(Tickets[Trip Start Time],Tickets[TripKey],A2288),""))</f>
        <v/>
      </c>
    </row>
    <row r="2289">
      <c r="B2289" s="8">
        <f>IF(A2289="","",IFERROR(DATEVALUE(TEXTBEFORE(A2289,"|")),--LEFT(A2289,10)))</f>
        <v/>
      </c>
      <c r="C2289">
        <f>IF(A2289="","",TEXTBEFORE(TEXTAFTER(A2289,"|"),"|"))</f>
        <v/>
      </c>
      <c r="D2289">
        <f>IF(A2289="","",TEXTAFTER(A2289,"|",2))</f>
        <v/>
      </c>
      <c r="E2289">
        <f>IF(A2289="","",SUMIF(Tickets[TripKey],A2289,Tickets[TP]))</f>
        <v/>
      </c>
      <c r="F2289">
        <f>IF(A2289="","",SUMIF(Tickets[TripKey],A2289,Tickets[Revenue]))</f>
        <v/>
      </c>
      <c r="G2289">
        <f>IF(A2289="","",SUMIF(Tickets[TripKey],A2289,Tickets[PK]))</f>
        <v/>
      </c>
      <c r="H2289">
        <f>IF(A2289="","",IFERROR(XLOOKUP(A2289,Tickets[TripKey],Tickets[VehClean]),""))</f>
        <v/>
      </c>
      <c r="I2289">
        <f>IF(A2289="","",IFERROR(XLOOKUP(A2289,Tickets[TripKey],Tickets[RouteLen]),0))</f>
        <v/>
      </c>
      <c r="J2289">
        <f>IF(A2289="","",IFERROR(XLOOKUP(A2289,Tickets[TripKey],Tickets[Capacity]),0))</f>
        <v/>
      </c>
      <c r="K2289">
        <f>IF(A2289="","",I2289*J2289)</f>
        <v/>
      </c>
      <c r="L2289">
        <f>IF(A2289="","",IFERROR(MINIFS(Tickets[Trip Start Time],Tickets[TripKey],A2289),""))</f>
        <v/>
      </c>
    </row>
    <row r="2290">
      <c r="B2290" s="8">
        <f>IF(A2290="","",IFERROR(DATEVALUE(TEXTBEFORE(A2290,"|")),--LEFT(A2290,10)))</f>
        <v/>
      </c>
      <c r="C2290">
        <f>IF(A2290="","",TEXTBEFORE(TEXTAFTER(A2290,"|"),"|"))</f>
        <v/>
      </c>
      <c r="D2290">
        <f>IF(A2290="","",TEXTAFTER(A2290,"|",2))</f>
        <v/>
      </c>
      <c r="E2290">
        <f>IF(A2290="","",SUMIF(Tickets[TripKey],A2290,Tickets[TP]))</f>
        <v/>
      </c>
      <c r="F2290">
        <f>IF(A2290="","",SUMIF(Tickets[TripKey],A2290,Tickets[Revenue]))</f>
        <v/>
      </c>
      <c r="G2290">
        <f>IF(A2290="","",SUMIF(Tickets[TripKey],A2290,Tickets[PK]))</f>
        <v/>
      </c>
      <c r="H2290">
        <f>IF(A2290="","",IFERROR(XLOOKUP(A2290,Tickets[TripKey],Tickets[VehClean]),""))</f>
        <v/>
      </c>
      <c r="I2290">
        <f>IF(A2290="","",IFERROR(XLOOKUP(A2290,Tickets[TripKey],Tickets[RouteLen]),0))</f>
        <v/>
      </c>
      <c r="J2290">
        <f>IF(A2290="","",IFERROR(XLOOKUP(A2290,Tickets[TripKey],Tickets[Capacity]),0))</f>
        <v/>
      </c>
      <c r="K2290">
        <f>IF(A2290="","",I2290*J2290)</f>
        <v/>
      </c>
      <c r="L2290">
        <f>IF(A2290="","",IFERROR(MINIFS(Tickets[Trip Start Time],Tickets[TripKey],A2290),""))</f>
        <v/>
      </c>
    </row>
    <row r="2291">
      <c r="B2291" s="8">
        <f>IF(A2291="","",IFERROR(DATEVALUE(TEXTBEFORE(A2291,"|")),--LEFT(A2291,10)))</f>
        <v/>
      </c>
      <c r="C2291">
        <f>IF(A2291="","",TEXTBEFORE(TEXTAFTER(A2291,"|"),"|"))</f>
        <v/>
      </c>
      <c r="D2291">
        <f>IF(A2291="","",TEXTAFTER(A2291,"|",2))</f>
        <v/>
      </c>
      <c r="E2291">
        <f>IF(A2291="","",SUMIF(Tickets[TripKey],A2291,Tickets[TP]))</f>
        <v/>
      </c>
      <c r="F2291">
        <f>IF(A2291="","",SUMIF(Tickets[TripKey],A2291,Tickets[Revenue]))</f>
        <v/>
      </c>
      <c r="G2291">
        <f>IF(A2291="","",SUMIF(Tickets[TripKey],A2291,Tickets[PK]))</f>
        <v/>
      </c>
      <c r="H2291">
        <f>IF(A2291="","",IFERROR(XLOOKUP(A2291,Tickets[TripKey],Tickets[VehClean]),""))</f>
        <v/>
      </c>
      <c r="I2291">
        <f>IF(A2291="","",IFERROR(XLOOKUP(A2291,Tickets[TripKey],Tickets[RouteLen]),0))</f>
        <v/>
      </c>
      <c r="J2291">
        <f>IF(A2291="","",IFERROR(XLOOKUP(A2291,Tickets[TripKey],Tickets[Capacity]),0))</f>
        <v/>
      </c>
      <c r="K2291">
        <f>IF(A2291="","",I2291*J2291)</f>
        <v/>
      </c>
      <c r="L2291">
        <f>IF(A2291="","",IFERROR(MINIFS(Tickets[Trip Start Time],Tickets[TripKey],A2291),""))</f>
        <v/>
      </c>
    </row>
    <row r="2292">
      <c r="B2292" s="8">
        <f>IF(A2292="","",IFERROR(DATEVALUE(TEXTBEFORE(A2292,"|")),--LEFT(A2292,10)))</f>
        <v/>
      </c>
      <c r="C2292">
        <f>IF(A2292="","",TEXTBEFORE(TEXTAFTER(A2292,"|"),"|"))</f>
        <v/>
      </c>
      <c r="D2292">
        <f>IF(A2292="","",TEXTAFTER(A2292,"|",2))</f>
        <v/>
      </c>
      <c r="E2292">
        <f>IF(A2292="","",SUMIF(Tickets[TripKey],A2292,Tickets[TP]))</f>
        <v/>
      </c>
      <c r="F2292">
        <f>IF(A2292="","",SUMIF(Tickets[TripKey],A2292,Tickets[Revenue]))</f>
        <v/>
      </c>
      <c r="G2292">
        <f>IF(A2292="","",SUMIF(Tickets[TripKey],A2292,Tickets[PK]))</f>
        <v/>
      </c>
      <c r="H2292">
        <f>IF(A2292="","",IFERROR(XLOOKUP(A2292,Tickets[TripKey],Tickets[VehClean]),""))</f>
        <v/>
      </c>
      <c r="I2292">
        <f>IF(A2292="","",IFERROR(XLOOKUP(A2292,Tickets[TripKey],Tickets[RouteLen]),0))</f>
        <v/>
      </c>
      <c r="J2292">
        <f>IF(A2292="","",IFERROR(XLOOKUP(A2292,Tickets[TripKey],Tickets[Capacity]),0))</f>
        <v/>
      </c>
      <c r="K2292">
        <f>IF(A2292="","",I2292*J2292)</f>
        <v/>
      </c>
      <c r="L2292">
        <f>IF(A2292="","",IFERROR(MINIFS(Tickets[Trip Start Time],Tickets[TripKey],A2292),""))</f>
        <v/>
      </c>
    </row>
    <row r="2293">
      <c r="B2293" s="8">
        <f>IF(A2293="","",IFERROR(DATEVALUE(TEXTBEFORE(A2293,"|")),--LEFT(A2293,10)))</f>
        <v/>
      </c>
      <c r="C2293">
        <f>IF(A2293="","",TEXTBEFORE(TEXTAFTER(A2293,"|"),"|"))</f>
        <v/>
      </c>
      <c r="D2293">
        <f>IF(A2293="","",TEXTAFTER(A2293,"|",2))</f>
        <v/>
      </c>
      <c r="E2293">
        <f>IF(A2293="","",SUMIF(Tickets[TripKey],A2293,Tickets[TP]))</f>
        <v/>
      </c>
      <c r="F2293">
        <f>IF(A2293="","",SUMIF(Tickets[TripKey],A2293,Tickets[Revenue]))</f>
        <v/>
      </c>
      <c r="G2293">
        <f>IF(A2293="","",SUMIF(Tickets[TripKey],A2293,Tickets[PK]))</f>
        <v/>
      </c>
      <c r="H2293">
        <f>IF(A2293="","",IFERROR(XLOOKUP(A2293,Tickets[TripKey],Tickets[VehClean]),""))</f>
        <v/>
      </c>
      <c r="I2293">
        <f>IF(A2293="","",IFERROR(XLOOKUP(A2293,Tickets[TripKey],Tickets[RouteLen]),0))</f>
        <v/>
      </c>
      <c r="J2293">
        <f>IF(A2293="","",IFERROR(XLOOKUP(A2293,Tickets[TripKey],Tickets[Capacity]),0))</f>
        <v/>
      </c>
      <c r="K2293">
        <f>IF(A2293="","",I2293*J2293)</f>
        <v/>
      </c>
      <c r="L2293">
        <f>IF(A2293="","",IFERROR(MINIFS(Tickets[Trip Start Time],Tickets[TripKey],A2293),""))</f>
        <v/>
      </c>
    </row>
    <row r="2294">
      <c r="B2294" s="8">
        <f>IF(A2294="","",IFERROR(DATEVALUE(TEXTBEFORE(A2294,"|")),--LEFT(A2294,10)))</f>
        <v/>
      </c>
      <c r="C2294">
        <f>IF(A2294="","",TEXTBEFORE(TEXTAFTER(A2294,"|"),"|"))</f>
        <v/>
      </c>
      <c r="D2294">
        <f>IF(A2294="","",TEXTAFTER(A2294,"|",2))</f>
        <v/>
      </c>
      <c r="E2294">
        <f>IF(A2294="","",SUMIF(Tickets[TripKey],A2294,Tickets[TP]))</f>
        <v/>
      </c>
      <c r="F2294">
        <f>IF(A2294="","",SUMIF(Tickets[TripKey],A2294,Tickets[Revenue]))</f>
        <v/>
      </c>
      <c r="G2294">
        <f>IF(A2294="","",SUMIF(Tickets[TripKey],A2294,Tickets[PK]))</f>
        <v/>
      </c>
      <c r="H2294">
        <f>IF(A2294="","",IFERROR(XLOOKUP(A2294,Tickets[TripKey],Tickets[VehClean]),""))</f>
        <v/>
      </c>
      <c r="I2294">
        <f>IF(A2294="","",IFERROR(XLOOKUP(A2294,Tickets[TripKey],Tickets[RouteLen]),0))</f>
        <v/>
      </c>
      <c r="J2294">
        <f>IF(A2294="","",IFERROR(XLOOKUP(A2294,Tickets[TripKey],Tickets[Capacity]),0))</f>
        <v/>
      </c>
      <c r="K2294">
        <f>IF(A2294="","",I2294*J2294)</f>
        <v/>
      </c>
      <c r="L2294">
        <f>IF(A2294="","",IFERROR(MINIFS(Tickets[Trip Start Time],Tickets[TripKey],A2294),""))</f>
        <v/>
      </c>
    </row>
    <row r="2295">
      <c r="B2295" s="8">
        <f>IF(A2295="","",IFERROR(DATEVALUE(TEXTBEFORE(A2295,"|")),--LEFT(A2295,10)))</f>
        <v/>
      </c>
      <c r="C2295">
        <f>IF(A2295="","",TEXTBEFORE(TEXTAFTER(A2295,"|"),"|"))</f>
        <v/>
      </c>
      <c r="D2295">
        <f>IF(A2295="","",TEXTAFTER(A2295,"|",2))</f>
        <v/>
      </c>
      <c r="E2295">
        <f>IF(A2295="","",SUMIF(Tickets[TripKey],A2295,Tickets[TP]))</f>
        <v/>
      </c>
      <c r="F2295">
        <f>IF(A2295="","",SUMIF(Tickets[TripKey],A2295,Tickets[Revenue]))</f>
        <v/>
      </c>
      <c r="G2295">
        <f>IF(A2295="","",SUMIF(Tickets[TripKey],A2295,Tickets[PK]))</f>
        <v/>
      </c>
      <c r="H2295">
        <f>IF(A2295="","",IFERROR(XLOOKUP(A2295,Tickets[TripKey],Tickets[VehClean]),""))</f>
        <v/>
      </c>
      <c r="I2295">
        <f>IF(A2295="","",IFERROR(XLOOKUP(A2295,Tickets[TripKey],Tickets[RouteLen]),0))</f>
        <v/>
      </c>
      <c r="J2295">
        <f>IF(A2295="","",IFERROR(XLOOKUP(A2295,Tickets[TripKey],Tickets[Capacity]),0))</f>
        <v/>
      </c>
      <c r="K2295">
        <f>IF(A2295="","",I2295*J2295)</f>
        <v/>
      </c>
      <c r="L2295">
        <f>IF(A2295="","",IFERROR(MINIFS(Tickets[Trip Start Time],Tickets[TripKey],A2295),""))</f>
        <v/>
      </c>
    </row>
    <row r="2296">
      <c r="B2296" s="8">
        <f>IF(A2296="","",IFERROR(DATEVALUE(TEXTBEFORE(A2296,"|")),--LEFT(A2296,10)))</f>
        <v/>
      </c>
      <c r="C2296">
        <f>IF(A2296="","",TEXTBEFORE(TEXTAFTER(A2296,"|"),"|"))</f>
        <v/>
      </c>
      <c r="D2296">
        <f>IF(A2296="","",TEXTAFTER(A2296,"|",2))</f>
        <v/>
      </c>
      <c r="E2296">
        <f>IF(A2296="","",SUMIF(Tickets[TripKey],A2296,Tickets[TP]))</f>
        <v/>
      </c>
      <c r="F2296">
        <f>IF(A2296="","",SUMIF(Tickets[TripKey],A2296,Tickets[Revenue]))</f>
        <v/>
      </c>
      <c r="G2296">
        <f>IF(A2296="","",SUMIF(Tickets[TripKey],A2296,Tickets[PK]))</f>
        <v/>
      </c>
      <c r="H2296">
        <f>IF(A2296="","",IFERROR(XLOOKUP(A2296,Tickets[TripKey],Tickets[VehClean]),""))</f>
        <v/>
      </c>
      <c r="I2296">
        <f>IF(A2296="","",IFERROR(XLOOKUP(A2296,Tickets[TripKey],Tickets[RouteLen]),0))</f>
        <v/>
      </c>
      <c r="J2296">
        <f>IF(A2296="","",IFERROR(XLOOKUP(A2296,Tickets[TripKey],Tickets[Capacity]),0))</f>
        <v/>
      </c>
      <c r="K2296">
        <f>IF(A2296="","",I2296*J2296)</f>
        <v/>
      </c>
      <c r="L2296">
        <f>IF(A2296="","",IFERROR(MINIFS(Tickets[Trip Start Time],Tickets[TripKey],A2296),""))</f>
        <v/>
      </c>
    </row>
    <row r="2297">
      <c r="B2297" s="8">
        <f>IF(A2297="","",IFERROR(DATEVALUE(TEXTBEFORE(A2297,"|")),--LEFT(A2297,10)))</f>
        <v/>
      </c>
      <c r="C2297">
        <f>IF(A2297="","",TEXTBEFORE(TEXTAFTER(A2297,"|"),"|"))</f>
        <v/>
      </c>
      <c r="D2297">
        <f>IF(A2297="","",TEXTAFTER(A2297,"|",2))</f>
        <v/>
      </c>
      <c r="E2297">
        <f>IF(A2297="","",SUMIF(Tickets[TripKey],A2297,Tickets[TP]))</f>
        <v/>
      </c>
      <c r="F2297">
        <f>IF(A2297="","",SUMIF(Tickets[TripKey],A2297,Tickets[Revenue]))</f>
        <v/>
      </c>
      <c r="G2297">
        <f>IF(A2297="","",SUMIF(Tickets[TripKey],A2297,Tickets[PK]))</f>
        <v/>
      </c>
      <c r="H2297">
        <f>IF(A2297="","",IFERROR(XLOOKUP(A2297,Tickets[TripKey],Tickets[VehClean]),""))</f>
        <v/>
      </c>
      <c r="I2297">
        <f>IF(A2297="","",IFERROR(XLOOKUP(A2297,Tickets[TripKey],Tickets[RouteLen]),0))</f>
        <v/>
      </c>
      <c r="J2297">
        <f>IF(A2297="","",IFERROR(XLOOKUP(A2297,Tickets[TripKey],Tickets[Capacity]),0))</f>
        <v/>
      </c>
      <c r="K2297">
        <f>IF(A2297="","",I2297*J2297)</f>
        <v/>
      </c>
      <c r="L2297">
        <f>IF(A2297="","",IFERROR(MINIFS(Tickets[Trip Start Time],Tickets[TripKey],A2297),""))</f>
        <v/>
      </c>
    </row>
    <row r="2298">
      <c r="B2298" s="8">
        <f>IF(A2298="","",IFERROR(DATEVALUE(TEXTBEFORE(A2298,"|")),--LEFT(A2298,10)))</f>
        <v/>
      </c>
      <c r="C2298">
        <f>IF(A2298="","",TEXTBEFORE(TEXTAFTER(A2298,"|"),"|"))</f>
        <v/>
      </c>
      <c r="D2298">
        <f>IF(A2298="","",TEXTAFTER(A2298,"|",2))</f>
        <v/>
      </c>
      <c r="E2298">
        <f>IF(A2298="","",SUMIF(Tickets[TripKey],A2298,Tickets[TP]))</f>
        <v/>
      </c>
      <c r="F2298">
        <f>IF(A2298="","",SUMIF(Tickets[TripKey],A2298,Tickets[Revenue]))</f>
        <v/>
      </c>
      <c r="G2298">
        <f>IF(A2298="","",SUMIF(Tickets[TripKey],A2298,Tickets[PK]))</f>
        <v/>
      </c>
      <c r="H2298">
        <f>IF(A2298="","",IFERROR(XLOOKUP(A2298,Tickets[TripKey],Tickets[VehClean]),""))</f>
        <v/>
      </c>
      <c r="I2298">
        <f>IF(A2298="","",IFERROR(XLOOKUP(A2298,Tickets[TripKey],Tickets[RouteLen]),0))</f>
        <v/>
      </c>
      <c r="J2298">
        <f>IF(A2298="","",IFERROR(XLOOKUP(A2298,Tickets[TripKey],Tickets[Capacity]),0))</f>
        <v/>
      </c>
      <c r="K2298">
        <f>IF(A2298="","",I2298*J2298)</f>
        <v/>
      </c>
      <c r="L2298">
        <f>IF(A2298="","",IFERROR(MINIFS(Tickets[Trip Start Time],Tickets[TripKey],A2298),""))</f>
        <v/>
      </c>
    </row>
    <row r="2299">
      <c r="B2299" s="8">
        <f>IF(A2299="","",IFERROR(DATEVALUE(TEXTBEFORE(A2299,"|")),--LEFT(A2299,10)))</f>
        <v/>
      </c>
      <c r="C2299">
        <f>IF(A2299="","",TEXTBEFORE(TEXTAFTER(A2299,"|"),"|"))</f>
        <v/>
      </c>
      <c r="D2299">
        <f>IF(A2299="","",TEXTAFTER(A2299,"|",2))</f>
        <v/>
      </c>
      <c r="E2299">
        <f>IF(A2299="","",SUMIF(Tickets[TripKey],A2299,Tickets[TP]))</f>
        <v/>
      </c>
      <c r="F2299">
        <f>IF(A2299="","",SUMIF(Tickets[TripKey],A2299,Tickets[Revenue]))</f>
        <v/>
      </c>
      <c r="G2299">
        <f>IF(A2299="","",SUMIF(Tickets[TripKey],A2299,Tickets[PK]))</f>
        <v/>
      </c>
      <c r="H2299">
        <f>IF(A2299="","",IFERROR(XLOOKUP(A2299,Tickets[TripKey],Tickets[VehClean]),""))</f>
        <v/>
      </c>
      <c r="I2299">
        <f>IF(A2299="","",IFERROR(XLOOKUP(A2299,Tickets[TripKey],Tickets[RouteLen]),0))</f>
        <v/>
      </c>
      <c r="J2299">
        <f>IF(A2299="","",IFERROR(XLOOKUP(A2299,Tickets[TripKey],Tickets[Capacity]),0))</f>
        <v/>
      </c>
      <c r="K2299">
        <f>IF(A2299="","",I2299*J2299)</f>
        <v/>
      </c>
      <c r="L2299">
        <f>IF(A2299="","",IFERROR(MINIFS(Tickets[Trip Start Time],Tickets[TripKey],A2299),""))</f>
        <v/>
      </c>
    </row>
    <row r="2300">
      <c r="B2300" s="8">
        <f>IF(A2300="","",IFERROR(DATEVALUE(TEXTBEFORE(A2300,"|")),--LEFT(A2300,10)))</f>
        <v/>
      </c>
      <c r="C2300">
        <f>IF(A2300="","",TEXTBEFORE(TEXTAFTER(A2300,"|"),"|"))</f>
        <v/>
      </c>
      <c r="D2300">
        <f>IF(A2300="","",TEXTAFTER(A2300,"|",2))</f>
        <v/>
      </c>
      <c r="E2300">
        <f>IF(A2300="","",SUMIF(Tickets[TripKey],A2300,Tickets[TP]))</f>
        <v/>
      </c>
      <c r="F2300">
        <f>IF(A2300="","",SUMIF(Tickets[TripKey],A2300,Tickets[Revenue]))</f>
        <v/>
      </c>
      <c r="G2300">
        <f>IF(A2300="","",SUMIF(Tickets[TripKey],A2300,Tickets[PK]))</f>
        <v/>
      </c>
      <c r="H2300">
        <f>IF(A2300="","",IFERROR(XLOOKUP(A2300,Tickets[TripKey],Tickets[VehClean]),""))</f>
        <v/>
      </c>
      <c r="I2300">
        <f>IF(A2300="","",IFERROR(XLOOKUP(A2300,Tickets[TripKey],Tickets[RouteLen]),0))</f>
        <v/>
      </c>
      <c r="J2300">
        <f>IF(A2300="","",IFERROR(XLOOKUP(A2300,Tickets[TripKey],Tickets[Capacity]),0))</f>
        <v/>
      </c>
      <c r="K2300">
        <f>IF(A2300="","",I2300*J2300)</f>
        <v/>
      </c>
      <c r="L2300">
        <f>IF(A2300="","",IFERROR(MINIFS(Tickets[Trip Start Time],Tickets[TripKey],A2300),""))</f>
        <v/>
      </c>
    </row>
    <row r="2301">
      <c r="B2301" s="8">
        <f>IF(A2301="","",IFERROR(DATEVALUE(TEXTBEFORE(A2301,"|")),--LEFT(A2301,10)))</f>
        <v/>
      </c>
      <c r="C2301">
        <f>IF(A2301="","",TEXTBEFORE(TEXTAFTER(A2301,"|"),"|"))</f>
        <v/>
      </c>
      <c r="D2301">
        <f>IF(A2301="","",TEXTAFTER(A2301,"|",2))</f>
        <v/>
      </c>
      <c r="E2301">
        <f>IF(A2301="","",SUMIF(Tickets[TripKey],A2301,Tickets[TP]))</f>
        <v/>
      </c>
      <c r="F2301">
        <f>IF(A2301="","",SUMIF(Tickets[TripKey],A2301,Tickets[Revenue]))</f>
        <v/>
      </c>
      <c r="G2301">
        <f>IF(A2301="","",SUMIF(Tickets[TripKey],A2301,Tickets[PK]))</f>
        <v/>
      </c>
      <c r="H2301">
        <f>IF(A2301="","",IFERROR(XLOOKUP(A2301,Tickets[TripKey],Tickets[VehClean]),""))</f>
        <v/>
      </c>
      <c r="I2301">
        <f>IF(A2301="","",IFERROR(XLOOKUP(A2301,Tickets[TripKey],Tickets[RouteLen]),0))</f>
        <v/>
      </c>
      <c r="J2301">
        <f>IF(A2301="","",IFERROR(XLOOKUP(A2301,Tickets[TripKey],Tickets[Capacity]),0))</f>
        <v/>
      </c>
      <c r="K2301">
        <f>IF(A2301="","",I2301*J2301)</f>
        <v/>
      </c>
      <c r="L2301">
        <f>IF(A2301="","",IFERROR(MINIFS(Tickets[Trip Start Time],Tickets[TripKey],A2301),""))</f>
        <v/>
      </c>
    </row>
    <row r="2302">
      <c r="B2302" s="8">
        <f>IF(A2302="","",IFERROR(DATEVALUE(TEXTBEFORE(A2302,"|")),--LEFT(A2302,10)))</f>
        <v/>
      </c>
      <c r="C2302">
        <f>IF(A2302="","",TEXTBEFORE(TEXTAFTER(A2302,"|"),"|"))</f>
        <v/>
      </c>
      <c r="D2302">
        <f>IF(A2302="","",TEXTAFTER(A2302,"|",2))</f>
        <v/>
      </c>
      <c r="E2302">
        <f>IF(A2302="","",SUMIF(Tickets[TripKey],A2302,Tickets[TP]))</f>
        <v/>
      </c>
      <c r="F2302">
        <f>IF(A2302="","",SUMIF(Tickets[TripKey],A2302,Tickets[Revenue]))</f>
        <v/>
      </c>
      <c r="G2302">
        <f>IF(A2302="","",SUMIF(Tickets[TripKey],A2302,Tickets[PK]))</f>
        <v/>
      </c>
      <c r="H2302">
        <f>IF(A2302="","",IFERROR(XLOOKUP(A2302,Tickets[TripKey],Tickets[VehClean]),""))</f>
        <v/>
      </c>
      <c r="I2302">
        <f>IF(A2302="","",IFERROR(XLOOKUP(A2302,Tickets[TripKey],Tickets[RouteLen]),0))</f>
        <v/>
      </c>
      <c r="J2302">
        <f>IF(A2302="","",IFERROR(XLOOKUP(A2302,Tickets[TripKey],Tickets[Capacity]),0))</f>
        <v/>
      </c>
      <c r="K2302">
        <f>IF(A2302="","",I2302*J2302)</f>
        <v/>
      </c>
      <c r="L2302">
        <f>IF(A2302="","",IFERROR(MINIFS(Tickets[Trip Start Time],Tickets[TripKey],A2302),""))</f>
        <v/>
      </c>
    </row>
    <row r="2303">
      <c r="B2303" s="8">
        <f>IF(A2303="","",IFERROR(DATEVALUE(TEXTBEFORE(A2303,"|")),--LEFT(A2303,10)))</f>
        <v/>
      </c>
      <c r="C2303">
        <f>IF(A2303="","",TEXTBEFORE(TEXTAFTER(A2303,"|"),"|"))</f>
        <v/>
      </c>
      <c r="D2303">
        <f>IF(A2303="","",TEXTAFTER(A2303,"|",2))</f>
        <v/>
      </c>
      <c r="E2303">
        <f>IF(A2303="","",SUMIF(Tickets[TripKey],A2303,Tickets[TP]))</f>
        <v/>
      </c>
      <c r="F2303">
        <f>IF(A2303="","",SUMIF(Tickets[TripKey],A2303,Tickets[Revenue]))</f>
        <v/>
      </c>
      <c r="G2303">
        <f>IF(A2303="","",SUMIF(Tickets[TripKey],A2303,Tickets[PK]))</f>
        <v/>
      </c>
      <c r="H2303">
        <f>IF(A2303="","",IFERROR(XLOOKUP(A2303,Tickets[TripKey],Tickets[VehClean]),""))</f>
        <v/>
      </c>
      <c r="I2303">
        <f>IF(A2303="","",IFERROR(XLOOKUP(A2303,Tickets[TripKey],Tickets[RouteLen]),0))</f>
        <v/>
      </c>
      <c r="J2303">
        <f>IF(A2303="","",IFERROR(XLOOKUP(A2303,Tickets[TripKey],Tickets[Capacity]),0))</f>
        <v/>
      </c>
      <c r="K2303">
        <f>IF(A2303="","",I2303*J2303)</f>
        <v/>
      </c>
      <c r="L2303">
        <f>IF(A2303="","",IFERROR(MINIFS(Tickets[Trip Start Time],Tickets[TripKey],A2303),""))</f>
        <v/>
      </c>
    </row>
    <row r="2304">
      <c r="B2304" s="8">
        <f>IF(A2304="","",IFERROR(DATEVALUE(TEXTBEFORE(A2304,"|")),--LEFT(A2304,10)))</f>
        <v/>
      </c>
      <c r="C2304">
        <f>IF(A2304="","",TEXTBEFORE(TEXTAFTER(A2304,"|"),"|"))</f>
        <v/>
      </c>
      <c r="D2304">
        <f>IF(A2304="","",TEXTAFTER(A2304,"|",2))</f>
        <v/>
      </c>
      <c r="E2304">
        <f>IF(A2304="","",SUMIF(Tickets[TripKey],A2304,Tickets[TP]))</f>
        <v/>
      </c>
      <c r="F2304">
        <f>IF(A2304="","",SUMIF(Tickets[TripKey],A2304,Tickets[Revenue]))</f>
        <v/>
      </c>
      <c r="G2304">
        <f>IF(A2304="","",SUMIF(Tickets[TripKey],A2304,Tickets[PK]))</f>
        <v/>
      </c>
      <c r="H2304">
        <f>IF(A2304="","",IFERROR(XLOOKUP(A2304,Tickets[TripKey],Tickets[VehClean]),""))</f>
        <v/>
      </c>
      <c r="I2304">
        <f>IF(A2304="","",IFERROR(XLOOKUP(A2304,Tickets[TripKey],Tickets[RouteLen]),0))</f>
        <v/>
      </c>
      <c r="J2304">
        <f>IF(A2304="","",IFERROR(XLOOKUP(A2304,Tickets[TripKey],Tickets[Capacity]),0))</f>
        <v/>
      </c>
      <c r="K2304">
        <f>IF(A2304="","",I2304*J2304)</f>
        <v/>
      </c>
      <c r="L2304">
        <f>IF(A2304="","",IFERROR(MINIFS(Tickets[Trip Start Time],Tickets[TripKey],A2304),""))</f>
        <v/>
      </c>
    </row>
    <row r="2305">
      <c r="B2305" s="8">
        <f>IF(A2305="","",IFERROR(DATEVALUE(TEXTBEFORE(A2305,"|")),--LEFT(A2305,10)))</f>
        <v/>
      </c>
      <c r="C2305">
        <f>IF(A2305="","",TEXTBEFORE(TEXTAFTER(A2305,"|"),"|"))</f>
        <v/>
      </c>
      <c r="D2305">
        <f>IF(A2305="","",TEXTAFTER(A2305,"|",2))</f>
        <v/>
      </c>
      <c r="E2305">
        <f>IF(A2305="","",SUMIF(Tickets[TripKey],A2305,Tickets[TP]))</f>
        <v/>
      </c>
      <c r="F2305">
        <f>IF(A2305="","",SUMIF(Tickets[TripKey],A2305,Tickets[Revenue]))</f>
        <v/>
      </c>
      <c r="G2305">
        <f>IF(A2305="","",SUMIF(Tickets[TripKey],A2305,Tickets[PK]))</f>
        <v/>
      </c>
      <c r="H2305">
        <f>IF(A2305="","",IFERROR(XLOOKUP(A2305,Tickets[TripKey],Tickets[VehClean]),""))</f>
        <v/>
      </c>
      <c r="I2305">
        <f>IF(A2305="","",IFERROR(XLOOKUP(A2305,Tickets[TripKey],Tickets[RouteLen]),0))</f>
        <v/>
      </c>
      <c r="J2305">
        <f>IF(A2305="","",IFERROR(XLOOKUP(A2305,Tickets[TripKey],Tickets[Capacity]),0))</f>
        <v/>
      </c>
      <c r="K2305">
        <f>IF(A2305="","",I2305*J2305)</f>
        <v/>
      </c>
      <c r="L2305">
        <f>IF(A2305="","",IFERROR(MINIFS(Tickets[Trip Start Time],Tickets[TripKey],A2305),""))</f>
        <v/>
      </c>
    </row>
    <row r="2306">
      <c r="B2306" s="8">
        <f>IF(A2306="","",IFERROR(DATEVALUE(TEXTBEFORE(A2306,"|")),--LEFT(A2306,10)))</f>
        <v/>
      </c>
      <c r="C2306">
        <f>IF(A2306="","",TEXTBEFORE(TEXTAFTER(A2306,"|"),"|"))</f>
        <v/>
      </c>
      <c r="D2306">
        <f>IF(A2306="","",TEXTAFTER(A2306,"|",2))</f>
        <v/>
      </c>
      <c r="E2306">
        <f>IF(A2306="","",SUMIF(Tickets[TripKey],A2306,Tickets[TP]))</f>
        <v/>
      </c>
      <c r="F2306">
        <f>IF(A2306="","",SUMIF(Tickets[TripKey],A2306,Tickets[Revenue]))</f>
        <v/>
      </c>
      <c r="G2306">
        <f>IF(A2306="","",SUMIF(Tickets[TripKey],A2306,Tickets[PK]))</f>
        <v/>
      </c>
      <c r="H2306">
        <f>IF(A2306="","",IFERROR(XLOOKUP(A2306,Tickets[TripKey],Tickets[VehClean]),""))</f>
        <v/>
      </c>
      <c r="I2306">
        <f>IF(A2306="","",IFERROR(XLOOKUP(A2306,Tickets[TripKey],Tickets[RouteLen]),0))</f>
        <v/>
      </c>
      <c r="J2306">
        <f>IF(A2306="","",IFERROR(XLOOKUP(A2306,Tickets[TripKey],Tickets[Capacity]),0))</f>
        <v/>
      </c>
      <c r="K2306">
        <f>IF(A2306="","",I2306*J2306)</f>
        <v/>
      </c>
      <c r="L2306">
        <f>IF(A2306="","",IFERROR(MINIFS(Tickets[Trip Start Time],Tickets[TripKey],A2306),""))</f>
        <v/>
      </c>
    </row>
    <row r="2307">
      <c r="B2307" s="8">
        <f>IF(A2307="","",IFERROR(DATEVALUE(TEXTBEFORE(A2307,"|")),--LEFT(A2307,10)))</f>
        <v/>
      </c>
      <c r="C2307">
        <f>IF(A2307="","",TEXTBEFORE(TEXTAFTER(A2307,"|"),"|"))</f>
        <v/>
      </c>
      <c r="D2307">
        <f>IF(A2307="","",TEXTAFTER(A2307,"|",2))</f>
        <v/>
      </c>
      <c r="E2307">
        <f>IF(A2307="","",SUMIF(Tickets[TripKey],A2307,Tickets[TP]))</f>
        <v/>
      </c>
      <c r="F2307">
        <f>IF(A2307="","",SUMIF(Tickets[TripKey],A2307,Tickets[Revenue]))</f>
        <v/>
      </c>
      <c r="G2307">
        <f>IF(A2307="","",SUMIF(Tickets[TripKey],A2307,Tickets[PK]))</f>
        <v/>
      </c>
      <c r="H2307">
        <f>IF(A2307="","",IFERROR(XLOOKUP(A2307,Tickets[TripKey],Tickets[VehClean]),""))</f>
        <v/>
      </c>
      <c r="I2307">
        <f>IF(A2307="","",IFERROR(XLOOKUP(A2307,Tickets[TripKey],Tickets[RouteLen]),0))</f>
        <v/>
      </c>
      <c r="J2307">
        <f>IF(A2307="","",IFERROR(XLOOKUP(A2307,Tickets[TripKey],Tickets[Capacity]),0))</f>
        <v/>
      </c>
      <c r="K2307">
        <f>IF(A2307="","",I2307*J2307)</f>
        <v/>
      </c>
      <c r="L2307">
        <f>IF(A2307="","",IFERROR(MINIFS(Tickets[Trip Start Time],Tickets[TripKey],A2307),""))</f>
        <v/>
      </c>
    </row>
    <row r="2308">
      <c r="B2308" s="8">
        <f>IF(A2308="","",IFERROR(DATEVALUE(TEXTBEFORE(A2308,"|")),--LEFT(A2308,10)))</f>
        <v/>
      </c>
      <c r="C2308">
        <f>IF(A2308="","",TEXTBEFORE(TEXTAFTER(A2308,"|"),"|"))</f>
        <v/>
      </c>
      <c r="D2308">
        <f>IF(A2308="","",TEXTAFTER(A2308,"|",2))</f>
        <v/>
      </c>
      <c r="E2308">
        <f>IF(A2308="","",SUMIF(Tickets[TripKey],A2308,Tickets[TP]))</f>
        <v/>
      </c>
      <c r="F2308">
        <f>IF(A2308="","",SUMIF(Tickets[TripKey],A2308,Tickets[Revenue]))</f>
        <v/>
      </c>
      <c r="G2308">
        <f>IF(A2308="","",SUMIF(Tickets[TripKey],A2308,Tickets[PK]))</f>
        <v/>
      </c>
      <c r="H2308">
        <f>IF(A2308="","",IFERROR(XLOOKUP(A2308,Tickets[TripKey],Tickets[VehClean]),""))</f>
        <v/>
      </c>
      <c r="I2308">
        <f>IF(A2308="","",IFERROR(XLOOKUP(A2308,Tickets[TripKey],Tickets[RouteLen]),0))</f>
        <v/>
      </c>
      <c r="J2308">
        <f>IF(A2308="","",IFERROR(XLOOKUP(A2308,Tickets[TripKey],Tickets[Capacity]),0))</f>
        <v/>
      </c>
      <c r="K2308">
        <f>IF(A2308="","",I2308*J2308)</f>
        <v/>
      </c>
      <c r="L2308">
        <f>IF(A2308="","",IFERROR(MINIFS(Tickets[Trip Start Time],Tickets[TripKey],A2308),""))</f>
        <v/>
      </c>
    </row>
    <row r="2309">
      <c r="B2309" s="8">
        <f>IF(A2309="","",IFERROR(DATEVALUE(TEXTBEFORE(A2309,"|")),--LEFT(A2309,10)))</f>
        <v/>
      </c>
      <c r="C2309">
        <f>IF(A2309="","",TEXTBEFORE(TEXTAFTER(A2309,"|"),"|"))</f>
        <v/>
      </c>
      <c r="D2309">
        <f>IF(A2309="","",TEXTAFTER(A2309,"|",2))</f>
        <v/>
      </c>
      <c r="E2309">
        <f>IF(A2309="","",SUMIF(Tickets[TripKey],A2309,Tickets[TP]))</f>
        <v/>
      </c>
      <c r="F2309">
        <f>IF(A2309="","",SUMIF(Tickets[TripKey],A2309,Tickets[Revenue]))</f>
        <v/>
      </c>
      <c r="G2309">
        <f>IF(A2309="","",SUMIF(Tickets[TripKey],A2309,Tickets[PK]))</f>
        <v/>
      </c>
      <c r="H2309">
        <f>IF(A2309="","",IFERROR(XLOOKUP(A2309,Tickets[TripKey],Tickets[VehClean]),""))</f>
        <v/>
      </c>
      <c r="I2309">
        <f>IF(A2309="","",IFERROR(XLOOKUP(A2309,Tickets[TripKey],Tickets[RouteLen]),0))</f>
        <v/>
      </c>
      <c r="J2309">
        <f>IF(A2309="","",IFERROR(XLOOKUP(A2309,Tickets[TripKey],Tickets[Capacity]),0))</f>
        <v/>
      </c>
      <c r="K2309">
        <f>IF(A2309="","",I2309*J2309)</f>
        <v/>
      </c>
      <c r="L2309">
        <f>IF(A2309="","",IFERROR(MINIFS(Tickets[Trip Start Time],Tickets[TripKey],A2309),""))</f>
        <v/>
      </c>
    </row>
    <row r="2310">
      <c r="B2310" s="8">
        <f>IF(A2310="","",IFERROR(DATEVALUE(TEXTBEFORE(A2310,"|")),--LEFT(A2310,10)))</f>
        <v/>
      </c>
      <c r="C2310">
        <f>IF(A2310="","",TEXTBEFORE(TEXTAFTER(A2310,"|"),"|"))</f>
        <v/>
      </c>
      <c r="D2310">
        <f>IF(A2310="","",TEXTAFTER(A2310,"|",2))</f>
        <v/>
      </c>
      <c r="E2310">
        <f>IF(A2310="","",SUMIF(Tickets[TripKey],A2310,Tickets[TP]))</f>
        <v/>
      </c>
      <c r="F2310">
        <f>IF(A2310="","",SUMIF(Tickets[TripKey],A2310,Tickets[Revenue]))</f>
        <v/>
      </c>
      <c r="G2310">
        <f>IF(A2310="","",SUMIF(Tickets[TripKey],A2310,Tickets[PK]))</f>
        <v/>
      </c>
      <c r="H2310">
        <f>IF(A2310="","",IFERROR(XLOOKUP(A2310,Tickets[TripKey],Tickets[VehClean]),""))</f>
        <v/>
      </c>
      <c r="I2310">
        <f>IF(A2310="","",IFERROR(XLOOKUP(A2310,Tickets[TripKey],Tickets[RouteLen]),0))</f>
        <v/>
      </c>
      <c r="J2310">
        <f>IF(A2310="","",IFERROR(XLOOKUP(A2310,Tickets[TripKey],Tickets[Capacity]),0))</f>
        <v/>
      </c>
      <c r="K2310">
        <f>IF(A2310="","",I2310*J2310)</f>
        <v/>
      </c>
      <c r="L2310">
        <f>IF(A2310="","",IFERROR(MINIFS(Tickets[Trip Start Time],Tickets[TripKey],A2310),""))</f>
        <v/>
      </c>
    </row>
    <row r="2311">
      <c r="B2311" s="8">
        <f>IF(A2311="","",IFERROR(DATEVALUE(TEXTBEFORE(A2311,"|")),--LEFT(A2311,10)))</f>
        <v/>
      </c>
      <c r="C2311">
        <f>IF(A2311="","",TEXTBEFORE(TEXTAFTER(A2311,"|"),"|"))</f>
        <v/>
      </c>
      <c r="D2311">
        <f>IF(A2311="","",TEXTAFTER(A2311,"|",2))</f>
        <v/>
      </c>
      <c r="E2311">
        <f>IF(A2311="","",SUMIF(Tickets[TripKey],A2311,Tickets[TP]))</f>
        <v/>
      </c>
      <c r="F2311">
        <f>IF(A2311="","",SUMIF(Tickets[TripKey],A2311,Tickets[Revenue]))</f>
        <v/>
      </c>
      <c r="G2311">
        <f>IF(A2311="","",SUMIF(Tickets[TripKey],A2311,Tickets[PK]))</f>
        <v/>
      </c>
      <c r="H2311">
        <f>IF(A2311="","",IFERROR(XLOOKUP(A2311,Tickets[TripKey],Tickets[VehClean]),""))</f>
        <v/>
      </c>
      <c r="I2311">
        <f>IF(A2311="","",IFERROR(XLOOKUP(A2311,Tickets[TripKey],Tickets[RouteLen]),0))</f>
        <v/>
      </c>
      <c r="J2311">
        <f>IF(A2311="","",IFERROR(XLOOKUP(A2311,Tickets[TripKey],Tickets[Capacity]),0))</f>
        <v/>
      </c>
      <c r="K2311">
        <f>IF(A2311="","",I2311*J2311)</f>
        <v/>
      </c>
      <c r="L2311">
        <f>IF(A2311="","",IFERROR(MINIFS(Tickets[Trip Start Time],Tickets[TripKey],A2311),""))</f>
        <v/>
      </c>
    </row>
    <row r="2312">
      <c r="B2312" s="8">
        <f>IF(A2312="","",IFERROR(DATEVALUE(TEXTBEFORE(A2312,"|")),--LEFT(A2312,10)))</f>
        <v/>
      </c>
      <c r="C2312">
        <f>IF(A2312="","",TEXTBEFORE(TEXTAFTER(A2312,"|"),"|"))</f>
        <v/>
      </c>
      <c r="D2312">
        <f>IF(A2312="","",TEXTAFTER(A2312,"|",2))</f>
        <v/>
      </c>
      <c r="E2312">
        <f>IF(A2312="","",SUMIF(Tickets[TripKey],A2312,Tickets[TP]))</f>
        <v/>
      </c>
      <c r="F2312">
        <f>IF(A2312="","",SUMIF(Tickets[TripKey],A2312,Tickets[Revenue]))</f>
        <v/>
      </c>
      <c r="G2312">
        <f>IF(A2312="","",SUMIF(Tickets[TripKey],A2312,Tickets[PK]))</f>
        <v/>
      </c>
      <c r="H2312">
        <f>IF(A2312="","",IFERROR(XLOOKUP(A2312,Tickets[TripKey],Tickets[VehClean]),""))</f>
        <v/>
      </c>
      <c r="I2312">
        <f>IF(A2312="","",IFERROR(XLOOKUP(A2312,Tickets[TripKey],Tickets[RouteLen]),0))</f>
        <v/>
      </c>
      <c r="J2312">
        <f>IF(A2312="","",IFERROR(XLOOKUP(A2312,Tickets[TripKey],Tickets[Capacity]),0))</f>
        <v/>
      </c>
      <c r="K2312">
        <f>IF(A2312="","",I2312*J2312)</f>
        <v/>
      </c>
      <c r="L2312">
        <f>IF(A2312="","",IFERROR(MINIFS(Tickets[Trip Start Time],Tickets[TripKey],A2312),""))</f>
        <v/>
      </c>
    </row>
    <row r="2313">
      <c r="B2313" s="8">
        <f>IF(A2313="","",IFERROR(DATEVALUE(TEXTBEFORE(A2313,"|")),--LEFT(A2313,10)))</f>
        <v/>
      </c>
      <c r="C2313">
        <f>IF(A2313="","",TEXTBEFORE(TEXTAFTER(A2313,"|"),"|"))</f>
        <v/>
      </c>
      <c r="D2313">
        <f>IF(A2313="","",TEXTAFTER(A2313,"|",2))</f>
        <v/>
      </c>
      <c r="E2313">
        <f>IF(A2313="","",SUMIF(Tickets[TripKey],A2313,Tickets[TP]))</f>
        <v/>
      </c>
      <c r="F2313">
        <f>IF(A2313="","",SUMIF(Tickets[TripKey],A2313,Tickets[Revenue]))</f>
        <v/>
      </c>
      <c r="G2313">
        <f>IF(A2313="","",SUMIF(Tickets[TripKey],A2313,Tickets[PK]))</f>
        <v/>
      </c>
      <c r="H2313">
        <f>IF(A2313="","",IFERROR(XLOOKUP(A2313,Tickets[TripKey],Tickets[VehClean]),""))</f>
        <v/>
      </c>
      <c r="I2313">
        <f>IF(A2313="","",IFERROR(XLOOKUP(A2313,Tickets[TripKey],Tickets[RouteLen]),0))</f>
        <v/>
      </c>
      <c r="J2313">
        <f>IF(A2313="","",IFERROR(XLOOKUP(A2313,Tickets[TripKey],Tickets[Capacity]),0))</f>
        <v/>
      </c>
      <c r="K2313">
        <f>IF(A2313="","",I2313*J2313)</f>
        <v/>
      </c>
      <c r="L2313">
        <f>IF(A2313="","",IFERROR(MINIFS(Tickets[Trip Start Time],Tickets[TripKey],A2313),""))</f>
        <v/>
      </c>
    </row>
    <row r="2314">
      <c r="B2314" s="8">
        <f>IF(A2314="","",IFERROR(DATEVALUE(TEXTBEFORE(A2314,"|")),--LEFT(A2314,10)))</f>
        <v/>
      </c>
      <c r="C2314">
        <f>IF(A2314="","",TEXTBEFORE(TEXTAFTER(A2314,"|"),"|"))</f>
        <v/>
      </c>
      <c r="D2314">
        <f>IF(A2314="","",TEXTAFTER(A2314,"|",2))</f>
        <v/>
      </c>
      <c r="E2314">
        <f>IF(A2314="","",SUMIF(Tickets[TripKey],A2314,Tickets[TP]))</f>
        <v/>
      </c>
      <c r="F2314">
        <f>IF(A2314="","",SUMIF(Tickets[TripKey],A2314,Tickets[Revenue]))</f>
        <v/>
      </c>
      <c r="G2314">
        <f>IF(A2314="","",SUMIF(Tickets[TripKey],A2314,Tickets[PK]))</f>
        <v/>
      </c>
      <c r="H2314">
        <f>IF(A2314="","",IFERROR(XLOOKUP(A2314,Tickets[TripKey],Tickets[VehClean]),""))</f>
        <v/>
      </c>
      <c r="I2314">
        <f>IF(A2314="","",IFERROR(XLOOKUP(A2314,Tickets[TripKey],Tickets[RouteLen]),0))</f>
        <v/>
      </c>
      <c r="J2314">
        <f>IF(A2314="","",IFERROR(XLOOKUP(A2314,Tickets[TripKey],Tickets[Capacity]),0))</f>
        <v/>
      </c>
      <c r="K2314">
        <f>IF(A2314="","",I2314*J2314)</f>
        <v/>
      </c>
      <c r="L2314">
        <f>IF(A2314="","",IFERROR(MINIFS(Tickets[Trip Start Time],Tickets[TripKey],A2314),""))</f>
        <v/>
      </c>
    </row>
    <row r="2315">
      <c r="B2315" s="8">
        <f>IF(A2315="","",IFERROR(DATEVALUE(TEXTBEFORE(A2315,"|")),--LEFT(A2315,10)))</f>
        <v/>
      </c>
      <c r="C2315">
        <f>IF(A2315="","",TEXTBEFORE(TEXTAFTER(A2315,"|"),"|"))</f>
        <v/>
      </c>
      <c r="D2315">
        <f>IF(A2315="","",TEXTAFTER(A2315,"|",2))</f>
        <v/>
      </c>
      <c r="E2315">
        <f>IF(A2315="","",SUMIF(Tickets[TripKey],A2315,Tickets[TP]))</f>
        <v/>
      </c>
      <c r="F2315">
        <f>IF(A2315="","",SUMIF(Tickets[TripKey],A2315,Tickets[Revenue]))</f>
        <v/>
      </c>
      <c r="G2315">
        <f>IF(A2315="","",SUMIF(Tickets[TripKey],A2315,Tickets[PK]))</f>
        <v/>
      </c>
      <c r="H2315">
        <f>IF(A2315="","",IFERROR(XLOOKUP(A2315,Tickets[TripKey],Tickets[VehClean]),""))</f>
        <v/>
      </c>
      <c r="I2315">
        <f>IF(A2315="","",IFERROR(XLOOKUP(A2315,Tickets[TripKey],Tickets[RouteLen]),0))</f>
        <v/>
      </c>
      <c r="J2315">
        <f>IF(A2315="","",IFERROR(XLOOKUP(A2315,Tickets[TripKey],Tickets[Capacity]),0))</f>
        <v/>
      </c>
      <c r="K2315">
        <f>IF(A2315="","",I2315*J2315)</f>
        <v/>
      </c>
      <c r="L2315">
        <f>IF(A2315="","",IFERROR(MINIFS(Tickets[Trip Start Time],Tickets[TripKey],A2315),""))</f>
        <v/>
      </c>
    </row>
    <row r="2316">
      <c r="B2316" s="8">
        <f>IF(A2316="","",IFERROR(DATEVALUE(TEXTBEFORE(A2316,"|")),--LEFT(A2316,10)))</f>
        <v/>
      </c>
      <c r="C2316">
        <f>IF(A2316="","",TEXTBEFORE(TEXTAFTER(A2316,"|"),"|"))</f>
        <v/>
      </c>
      <c r="D2316">
        <f>IF(A2316="","",TEXTAFTER(A2316,"|",2))</f>
        <v/>
      </c>
      <c r="E2316">
        <f>IF(A2316="","",SUMIF(Tickets[TripKey],A2316,Tickets[TP]))</f>
        <v/>
      </c>
      <c r="F2316">
        <f>IF(A2316="","",SUMIF(Tickets[TripKey],A2316,Tickets[Revenue]))</f>
        <v/>
      </c>
      <c r="G2316">
        <f>IF(A2316="","",SUMIF(Tickets[TripKey],A2316,Tickets[PK]))</f>
        <v/>
      </c>
      <c r="H2316">
        <f>IF(A2316="","",IFERROR(XLOOKUP(A2316,Tickets[TripKey],Tickets[VehClean]),""))</f>
        <v/>
      </c>
      <c r="I2316">
        <f>IF(A2316="","",IFERROR(XLOOKUP(A2316,Tickets[TripKey],Tickets[RouteLen]),0))</f>
        <v/>
      </c>
      <c r="J2316">
        <f>IF(A2316="","",IFERROR(XLOOKUP(A2316,Tickets[TripKey],Tickets[Capacity]),0))</f>
        <v/>
      </c>
      <c r="K2316">
        <f>IF(A2316="","",I2316*J2316)</f>
        <v/>
      </c>
      <c r="L2316">
        <f>IF(A2316="","",IFERROR(MINIFS(Tickets[Trip Start Time],Tickets[TripKey],A2316),""))</f>
        <v/>
      </c>
    </row>
    <row r="2317">
      <c r="B2317" s="8">
        <f>IF(A2317="","",IFERROR(DATEVALUE(TEXTBEFORE(A2317,"|")),--LEFT(A2317,10)))</f>
        <v/>
      </c>
      <c r="C2317">
        <f>IF(A2317="","",TEXTBEFORE(TEXTAFTER(A2317,"|"),"|"))</f>
        <v/>
      </c>
      <c r="D2317">
        <f>IF(A2317="","",TEXTAFTER(A2317,"|",2))</f>
        <v/>
      </c>
      <c r="E2317">
        <f>IF(A2317="","",SUMIF(Tickets[TripKey],A2317,Tickets[TP]))</f>
        <v/>
      </c>
      <c r="F2317">
        <f>IF(A2317="","",SUMIF(Tickets[TripKey],A2317,Tickets[Revenue]))</f>
        <v/>
      </c>
      <c r="G2317">
        <f>IF(A2317="","",SUMIF(Tickets[TripKey],A2317,Tickets[PK]))</f>
        <v/>
      </c>
      <c r="H2317">
        <f>IF(A2317="","",IFERROR(XLOOKUP(A2317,Tickets[TripKey],Tickets[VehClean]),""))</f>
        <v/>
      </c>
      <c r="I2317">
        <f>IF(A2317="","",IFERROR(XLOOKUP(A2317,Tickets[TripKey],Tickets[RouteLen]),0))</f>
        <v/>
      </c>
      <c r="J2317">
        <f>IF(A2317="","",IFERROR(XLOOKUP(A2317,Tickets[TripKey],Tickets[Capacity]),0))</f>
        <v/>
      </c>
      <c r="K2317">
        <f>IF(A2317="","",I2317*J2317)</f>
        <v/>
      </c>
      <c r="L2317">
        <f>IF(A2317="","",IFERROR(MINIFS(Tickets[Trip Start Time],Tickets[TripKey],A2317),""))</f>
        <v/>
      </c>
    </row>
    <row r="2318">
      <c r="B2318" s="8">
        <f>IF(A2318="","",IFERROR(DATEVALUE(TEXTBEFORE(A2318,"|")),--LEFT(A2318,10)))</f>
        <v/>
      </c>
      <c r="C2318">
        <f>IF(A2318="","",TEXTBEFORE(TEXTAFTER(A2318,"|"),"|"))</f>
        <v/>
      </c>
      <c r="D2318">
        <f>IF(A2318="","",TEXTAFTER(A2318,"|",2))</f>
        <v/>
      </c>
      <c r="E2318">
        <f>IF(A2318="","",SUMIF(Tickets[TripKey],A2318,Tickets[TP]))</f>
        <v/>
      </c>
      <c r="F2318">
        <f>IF(A2318="","",SUMIF(Tickets[TripKey],A2318,Tickets[Revenue]))</f>
        <v/>
      </c>
      <c r="G2318">
        <f>IF(A2318="","",SUMIF(Tickets[TripKey],A2318,Tickets[PK]))</f>
        <v/>
      </c>
      <c r="H2318">
        <f>IF(A2318="","",IFERROR(XLOOKUP(A2318,Tickets[TripKey],Tickets[VehClean]),""))</f>
        <v/>
      </c>
      <c r="I2318">
        <f>IF(A2318="","",IFERROR(XLOOKUP(A2318,Tickets[TripKey],Tickets[RouteLen]),0))</f>
        <v/>
      </c>
      <c r="J2318">
        <f>IF(A2318="","",IFERROR(XLOOKUP(A2318,Tickets[TripKey],Tickets[Capacity]),0))</f>
        <v/>
      </c>
      <c r="K2318">
        <f>IF(A2318="","",I2318*J2318)</f>
        <v/>
      </c>
      <c r="L2318">
        <f>IF(A2318="","",IFERROR(MINIFS(Tickets[Trip Start Time],Tickets[TripKey],A2318),""))</f>
        <v/>
      </c>
    </row>
    <row r="2319">
      <c r="B2319" s="8">
        <f>IF(A2319="","",IFERROR(DATEVALUE(TEXTBEFORE(A2319,"|")),--LEFT(A2319,10)))</f>
        <v/>
      </c>
      <c r="C2319">
        <f>IF(A2319="","",TEXTBEFORE(TEXTAFTER(A2319,"|"),"|"))</f>
        <v/>
      </c>
      <c r="D2319">
        <f>IF(A2319="","",TEXTAFTER(A2319,"|",2))</f>
        <v/>
      </c>
      <c r="E2319">
        <f>IF(A2319="","",SUMIF(Tickets[TripKey],A2319,Tickets[TP]))</f>
        <v/>
      </c>
      <c r="F2319">
        <f>IF(A2319="","",SUMIF(Tickets[TripKey],A2319,Tickets[Revenue]))</f>
        <v/>
      </c>
      <c r="G2319">
        <f>IF(A2319="","",SUMIF(Tickets[TripKey],A2319,Tickets[PK]))</f>
        <v/>
      </c>
      <c r="H2319">
        <f>IF(A2319="","",IFERROR(XLOOKUP(A2319,Tickets[TripKey],Tickets[VehClean]),""))</f>
        <v/>
      </c>
      <c r="I2319">
        <f>IF(A2319="","",IFERROR(XLOOKUP(A2319,Tickets[TripKey],Tickets[RouteLen]),0))</f>
        <v/>
      </c>
      <c r="J2319">
        <f>IF(A2319="","",IFERROR(XLOOKUP(A2319,Tickets[TripKey],Tickets[Capacity]),0))</f>
        <v/>
      </c>
      <c r="K2319">
        <f>IF(A2319="","",I2319*J2319)</f>
        <v/>
      </c>
      <c r="L2319">
        <f>IF(A2319="","",IFERROR(MINIFS(Tickets[Trip Start Time],Tickets[TripKey],A2319),""))</f>
        <v/>
      </c>
    </row>
    <row r="2320">
      <c r="B2320" s="8">
        <f>IF(A2320="","",IFERROR(DATEVALUE(TEXTBEFORE(A2320,"|")),--LEFT(A2320,10)))</f>
        <v/>
      </c>
      <c r="C2320">
        <f>IF(A2320="","",TEXTBEFORE(TEXTAFTER(A2320,"|"),"|"))</f>
        <v/>
      </c>
      <c r="D2320">
        <f>IF(A2320="","",TEXTAFTER(A2320,"|",2))</f>
        <v/>
      </c>
      <c r="E2320">
        <f>IF(A2320="","",SUMIF(Tickets[TripKey],A2320,Tickets[TP]))</f>
        <v/>
      </c>
      <c r="F2320">
        <f>IF(A2320="","",SUMIF(Tickets[TripKey],A2320,Tickets[Revenue]))</f>
        <v/>
      </c>
      <c r="G2320">
        <f>IF(A2320="","",SUMIF(Tickets[TripKey],A2320,Tickets[PK]))</f>
        <v/>
      </c>
      <c r="H2320">
        <f>IF(A2320="","",IFERROR(XLOOKUP(A2320,Tickets[TripKey],Tickets[VehClean]),""))</f>
        <v/>
      </c>
      <c r="I2320">
        <f>IF(A2320="","",IFERROR(XLOOKUP(A2320,Tickets[TripKey],Tickets[RouteLen]),0))</f>
        <v/>
      </c>
      <c r="J2320">
        <f>IF(A2320="","",IFERROR(XLOOKUP(A2320,Tickets[TripKey],Tickets[Capacity]),0))</f>
        <v/>
      </c>
      <c r="K2320">
        <f>IF(A2320="","",I2320*J2320)</f>
        <v/>
      </c>
      <c r="L2320">
        <f>IF(A2320="","",IFERROR(MINIFS(Tickets[Trip Start Time],Tickets[TripKey],A2320),""))</f>
        <v/>
      </c>
    </row>
    <row r="2321">
      <c r="B2321" s="8">
        <f>IF(A2321="","",IFERROR(DATEVALUE(TEXTBEFORE(A2321,"|")),--LEFT(A2321,10)))</f>
        <v/>
      </c>
      <c r="C2321">
        <f>IF(A2321="","",TEXTBEFORE(TEXTAFTER(A2321,"|"),"|"))</f>
        <v/>
      </c>
      <c r="D2321">
        <f>IF(A2321="","",TEXTAFTER(A2321,"|",2))</f>
        <v/>
      </c>
      <c r="E2321">
        <f>IF(A2321="","",SUMIF(Tickets[TripKey],A2321,Tickets[TP]))</f>
        <v/>
      </c>
      <c r="F2321">
        <f>IF(A2321="","",SUMIF(Tickets[TripKey],A2321,Tickets[Revenue]))</f>
        <v/>
      </c>
      <c r="G2321">
        <f>IF(A2321="","",SUMIF(Tickets[TripKey],A2321,Tickets[PK]))</f>
        <v/>
      </c>
      <c r="H2321">
        <f>IF(A2321="","",IFERROR(XLOOKUP(A2321,Tickets[TripKey],Tickets[VehClean]),""))</f>
        <v/>
      </c>
      <c r="I2321">
        <f>IF(A2321="","",IFERROR(XLOOKUP(A2321,Tickets[TripKey],Tickets[RouteLen]),0))</f>
        <v/>
      </c>
      <c r="J2321">
        <f>IF(A2321="","",IFERROR(XLOOKUP(A2321,Tickets[TripKey],Tickets[Capacity]),0))</f>
        <v/>
      </c>
      <c r="K2321">
        <f>IF(A2321="","",I2321*J2321)</f>
        <v/>
      </c>
      <c r="L2321">
        <f>IF(A2321="","",IFERROR(MINIFS(Tickets[Trip Start Time],Tickets[TripKey],A2321),""))</f>
        <v/>
      </c>
    </row>
    <row r="2322">
      <c r="B2322" s="8">
        <f>IF(A2322="","",IFERROR(DATEVALUE(TEXTBEFORE(A2322,"|")),--LEFT(A2322,10)))</f>
        <v/>
      </c>
      <c r="C2322">
        <f>IF(A2322="","",TEXTBEFORE(TEXTAFTER(A2322,"|"),"|"))</f>
        <v/>
      </c>
      <c r="D2322">
        <f>IF(A2322="","",TEXTAFTER(A2322,"|",2))</f>
        <v/>
      </c>
      <c r="E2322">
        <f>IF(A2322="","",SUMIF(Tickets[TripKey],A2322,Tickets[TP]))</f>
        <v/>
      </c>
      <c r="F2322">
        <f>IF(A2322="","",SUMIF(Tickets[TripKey],A2322,Tickets[Revenue]))</f>
        <v/>
      </c>
      <c r="G2322">
        <f>IF(A2322="","",SUMIF(Tickets[TripKey],A2322,Tickets[PK]))</f>
        <v/>
      </c>
      <c r="H2322">
        <f>IF(A2322="","",IFERROR(XLOOKUP(A2322,Tickets[TripKey],Tickets[VehClean]),""))</f>
        <v/>
      </c>
      <c r="I2322">
        <f>IF(A2322="","",IFERROR(XLOOKUP(A2322,Tickets[TripKey],Tickets[RouteLen]),0))</f>
        <v/>
      </c>
      <c r="J2322">
        <f>IF(A2322="","",IFERROR(XLOOKUP(A2322,Tickets[TripKey],Tickets[Capacity]),0))</f>
        <v/>
      </c>
      <c r="K2322">
        <f>IF(A2322="","",I2322*J2322)</f>
        <v/>
      </c>
      <c r="L2322">
        <f>IF(A2322="","",IFERROR(MINIFS(Tickets[Trip Start Time],Tickets[TripKey],A2322),""))</f>
        <v/>
      </c>
    </row>
    <row r="2323">
      <c r="B2323" s="8">
        <f>IF(A2323="","",IFERROR(DATEVALUE(TEXTBEFORE(A2323,"|")),--LEFT(A2323,10)))</f>
        <v/>
      </c>
      <c r="C2323">
        <f>IF(A2323="","",TEXTBEFORE(TEXTAFTER(A2323,"|"),"|"))</f>
        <v/>
      </c>
      <c r="D2323">
        <f>IF(A2323="","",TEXTAFTER(A2323,"|",2))</f>
        <v/>
      </c>
      <c r="E2323">
        <f>IF(A2323="","",SUMIF(Tickets[TripKey],A2323,Tickets[TP]))</f>
        <v/>
      </c>
      <c r="F2323">
        <f>IF(A2323="","",SUMIF(Tickets[TripKey],A2323,Tickets[Revenue]))</f>
        <v/>
      </c>
      <c r="G2323">
        <f>IF(A2323="","",SUMIF(Tickets[TripKey],A2323,Tickets[PK]))</f>
        <v/>
      </c>
      <c r="H2323">
        <f>IF(A2323="","",IFERROR(XLOOKUP(A2323,Tickets[TripKey],Tickets[VehClean]),""))</f>
        <v/>
      </c>
      <c r="I2323">
        <f>IF(A2323="","",IFERROR(XLOOKUP(A2323,Tickets[TripKey],Tickets[RouteLen]),0))</f>
        <v/>
      </c>
      <c r="J2323">
        <f>IF(A2323="","",IFERROR(XLOOKUP(A2323,Tickets[TripKey],Tickets[Capacity]),0))</f>
        <v/>
      </c>
      <c r="K2323">
        <f>IF(A2323="","",I2323*J2323)</f>
        <v/>
      </c>
      <c r="L2323">
        <f>IF(A2323="","",IFERROR(MINIFS(Tickets[Trip Start Time],Tickets[TripKey],A2323),""))</f>
        <v/>
      </c>
    </row>
    <row r="2324">
      <c r="B2324" s="8">
        <f>IF(A2324="","",IFERROR(DATEVALUE(TEXTBEFORE(A2324,"|")),--LEFT(A2324,10)))</f>
        <v/>
      </c>
      <c r="C2324">
        <f>IF(A2324="","",TEXTBEFORE(TEXTAFTER(A2324,"|"),"|"))</f>
        <v/>
      </c>
      <c r="D2324">
        <f>IF(A2324="","",TEXTAFTER(A2324,"|",2))</f>
        <v/>
      </c>
      <c r="E2324">
        <f>IF(A2324="","",SUMIF(Tickets[TripKey],A2324,Tickets[TP]))</f>
        <v/>
      </c>
      <c r="F2324">
        <f>IF(A2324="","",SUMIF(Tickets[TripKey],A2324,Tickets[Revenue]))</f>
        <v/>
      </c>
      <c r="G2324">
        <f>IF(A2324="","",SUMIF(Tickets[TripKey],A2324,Tickets[PK]))</f>
        <v/>
      </c>
      <c r="H2324">
        <f>IF(A2324="","",IFERROR(XLOOKUP(A2324,Tickets[TripKey],Tickets[VehClean]),""))</f>
        <v/>
      </c>
      <c r="I2324">
        <f>IF(A2324="","",IFERROR(XLOOKUP(A2324,Tickets[TripKey],Tickets[RouteLen]),0))</f>
        <v/>
      </c>
      <c r="J2324">
        <f>IF(A2324="","",IFERROR(XLOOKUP(A2324,Tickets[TripKey],Tickets[Capacity]),0))</f>
        <v/>
      </c>
      <c r="K2324">
        <f>IF(A2324="","",I2324*J2324)</f>
        <v/>
      </c>
      <c r="L2324">
        <f>IF(A2324="","",IFERROR(MINIFS(Tickets[Trip Start Time],Tickets[TripKey],A2324),""))</f>
        <v/>
      </c>
    </row>
    <row r="2325">
      <c r="B2325" s="8">
        <f>IF(A2325="","",IFERROR(DATEVALUE(TEXTBEFORE(A2325,"|")),--LEFT(A2325,10)))</f>
        <v/>
      </c>
      <c r="C2325">
        <f>IF(A2325="","",TEXTBEFORE(TEXTAFTER(A2325,"|"),"|"))</f>
        <v/>
      </c>
      <c r="D2325">
        <f>IF(A2325="","",TEXTAFTER(A2325,"|",2))</f>
        <v/>
      </c>
      <c r="E2325">
        <f>IF(A2325="","",SUMIF(Tickets[TripKey],A2325,Tickets[TP]))</f>
        <v/>
      </c>
      <c r="F2325">
        <f>IF(A2325="","",SUMIF(Tickets[TripKey],A2325,Tickets[Revenue]))</f>
        <v/>
      </c>
      <c r="G2325">
        <f>IF(A2325="","",SUMIF(Tickets[TripKey],A2325,Tickets[PK]))</f>
        <v/>
      </c>
      <c r="H2325">
        <f>IF(A2325="","",IFERROR(XLOOKUP(A2325,Tickets[TripKey],Tickets[VehClean]),""))</f>
        <v/>
      </c>
      <c r="I2325">
        <f>IF(A2325="","",IFERROR(XLOOKUP(A2325,Tickets[TripKey],Tickets[RouteLen]),0))</f>
        <v/>
      </c>
      <c r="J2325">
        <f>IF(A2325="","",IFERROR(XLOOKUP(A2325,Tickets[TripKey],Tickets[Capacity]),0))</f>
        <v/>
      </c>
      <c r="K2325">
        <f>IF(A2325="","",I2325*J2325)</f>
        <v/>
      </c>
      <c r="L2325">
        <f>IF(A2325="","",IFERROR(MINIFS(Tickets[Trip Start Time],Tickets[TripKey],A2325),""))</f>
        <v/>
      </c>
    </row>
    <row r="2326">
      <c r="B2326" s="8">
        <f>IF(A2326="","",IFERROR(DATEVALUE(TEXTBEFORE(A2326,"|")),--LEFT(A2326,10)))</f>
        <v/>
      </c>
      <c r="C2326">
        <f>IF(A2326="","",TEXTBEFORE(TEXTAFTER(A2326,"|"),"|"))</f>
        <v/>
      </c>
      <c r="D2326">
        <f>IF(A2326="","",TEXTAFTER(A2326,"|",2))</f>
        <v/>
      </c>
      <c r="E2326">
        <f>IF(A2326="","",SUMIF(Tickets[TripKey],A2326,Tickets[TP]))</f>
        <v/>
      </c>
      <c r="F2326">
        <f>IF(A2326="","",SUMIF(Tickets[TripKey],A2326,Tickets[Revenue]))</f>
        <v/>
      </c>
      <c r="G2326">
        <f>IF(A2326="","",SUMIF(Tickets[TripKey],A2326,Tickets[PK]))</f>
        <v/>
      </c>
      <c r="H2326">
        <f>IF(A2326="","",IFERROR(XLOOKUP(A2326,Tickets[TripKey],Tickets[VehClean]),""))</f>
        <v/>
      </c>
      <c r="I2326">
        <f>IF(A2326="","",IFERROR(XLOOKUP(A2326,Tickets[TripKey],Tickets[RouteLen]),0))</f>
        <v/>
      </c>
      <c r="J2326">
        <f>IF(A2326="","",IFERROR(XLOOKUP(A2326,Tickets[TripKey],Tickets[Capacity]),0))</f>
        <v/>
      </c>
      <c r="K2326">
        <f>IF(A2326="","",I2326*J2326)</f>
        <v/>
      </c>
      <c r="L2326">
        <f>IF(A2326="","",IFERROR(MINIFS(Tickets[Trip Start Time],Tickets[TripKey],A2326),""))</f>
        <v/>
      </c>
    </row>
    <row r="2327">
      <c r="B2327" s="8">
        <f>IF(A2327="","",IFERROR(DATEVALUE(TEXTBEFORE(A2327,"|")),--LEFT(A2327,10)))</f>
        <v/>
      </c>
      <c r="C2327">
        <f>IF(A2327="","",TEXTBEFORE(TEXTAFTER(A2327,"|"),"|"))</f>
        <v/>
      </c>
      <c r="D2327">
        <f>IF(A2327="","",TEXTAFTER(A2327,"|",2))</f>
        <v/>
      </c>
      <c r="E2327">
        <f>IF(A2327="","",SUMIF(Tickets[TripKey],A2327,Tickets[TP]))</f>
        <v/>
      </c>
      <c r="F2327">
        <f>IF(A2327="","",SUMIF(Tickets[TripKey],A2327,Tickets[Revenue]))</f>
        <v/>
      </c>
      <c r="G2327">
        <f>IF(A2327="","",SUMIF(Tickets[TripKey],A2327,Tickets[PK]))</f>
        <v/>
      </c>
      <c r="H2327">
        <f>IF(A2327="","",IFERROR(XLOOKUP(A2327,Tickets[TripKey],Tickets[VehClean]),""))</f>
        <v/>
      </c>
      <c r="I2327">
        <f>IF(A2327="","",IFERROR(XLOOKUP(A2327,Tickets[TripKey],Tickets[RouteLen]),0))</f>
        <v/>
      </c>
      <c r="J2327">
        <f>IF(A2327="","",IFERROR(XLOOKUP(A2327,Tickets[TripKey],Tickets[Capacity]),0))</f>
        <v/>
      </c>
      <c r="K2327">
        <f>IF(A2327="","",I2327*J2327)</f>
        <v/>
      </c>
      <c r="L2327">
        <f>IF(A2327="","",IFERROR(MINIFS(Tickets[Trip Start Time],Tickets[TripKey],A2327),""))</f>
        <v/>
      </c>
    </row>
    <row r="2328">
      <c r="B2328" s="8">
        <f>IF(A2328="","",IFERROR(DATEVALUE(TEXTBEFORE(A2328,"|")),--LEFT(A2328,10)))</f>
        <v/>
      </c>
      <c r="C2328">
        <f>IF(A2328="","",TEXTBEFORE(TEXTAFTER(A2328,"|"),"|"))</f>
        <v/>
      </c>
      <c r="D2328">
        <f>IF(A2328="","",TEXTAFTER(A2328,"|",2))</f>
        <v/>
      </c>
      <c r="E2328">
        <f>IF(A2328="","",SUMIF(Tickets[TripKey],A2328,Tickets[TP]))</f>
        <v/>
      </c>
      <c r="F2328">
        <f>IF(A2328="","",SUMIF(Tickets[TripKey],A2328,Tickets[Revenue]))</f>
        <v/>
      </c>
      <c r="G2328">
        <f>IF(A2328="","",SUMIF(Tickets[TripKey],A2328,Tickets[PK]))</f>
        <v/>
      </c>
      <c r="H2328">
        <f>IF(A2328="","",IFERROR(XLOOKUP(A2328,Tickets[TripKey],Tickets[VehClean]),""))</f>
        <v/>
      </c>
      <c r="I2328">
        <f>IF(A2328="","",IFERROR(XLOOKUP(A2328,Tickets[TripKey],Tickets[RouteLen]),0))</f>
        <v/>
      </c>
      <c r="J2328">
        <f>IF(A2328="","",IFERROR(XLOOKUP(A2328,Tickets[TripKey],Tickets[Capacity]),0))</f>
        <v/>
      </c>
      <c r="K2328">
        <f>IF(A2328="","",I2328*J2328)</f>
        <v/>
      </c>
      <c r="L2328">
        <f>IF(A2328="","",IFERROR(MINIFS(Tickets[Trip Start Time],Tickets[TripKey],A2328),""))</f>
        <v/>
      </c>
    </row>
    <row r="2329">
      <c r="B2329" s="8">
        <f>IF(A2329="","",IFERROR(DATEVALUE(TEXTBEFORE(A2329,"|")),--LEFT(A2329,10)))</f>
        <v/>
      </c>
      <c r="C2329">
        <f>IF(A2329="","",TEXTBEFORE(TEXTAFTER(A2329,"|"),"|"))</f>
        <v/>
      </c>
      <c r="D2329">
        <f>IF(A2329="","",TEXTAFTER(A2329,"|",2))</f>
        <v/>
      </c>
      <c r="E2329">
        <f>IF(A2329="","",SUMIF(Tickets[TripKey],A2329,Tickets[TP]))</f>
        <v/>
      </c>
      <c r="F2329">
        <f>IF(A2329="","",SUMIF(Tickets[TripKey],A2329,Tickets[Revenue]))</f>
        <v/>
      </c>
      <c r="G2329">
        <f>IF(A2329="","",SUMIF(Tickets[TripKey],A2329,Tickets[PK]))</f>
        <v/>
      </c>
      <c r="H2329">
        <f>IF(A2329="","",IFERROR(XLOOKUP(A2329,Tickets[TripKey],Tickets[VehClean]),""))</f>
        <v/>
      </c>
      <c r="I2329">
        <f>IF(A2329="","",IFERROR(XLOOKUP(A2329,Tickets[TripKey],Tickets[RouteLen]),0))</f>
        <v/>
      </c>
      <c r="J2329">
        <f>IF(A2329="","",IFERROR(XLOOKUP(A2329,Tickets[TripKey],Tickets[Capacity]),0))</f>
        <v/>
      </c>
      <c r="K2329">
        <f>IF(A2329="","",I2329*J2329)</f>
        <v/>
      </c>
      <c r="L2329">
        <f>IF(A2329="","",IFERROR(MINIFS(Tickets[Trip Start Time],Tickets[TripKey],A2329),""))</f>
        <v/>
      </c>
    </row>
    <row r="2330">
      <c r="B2330" s="8">
        <f>IF(A2330="","",IFERROR(DATEVALUE(TEXTBEFORE(A2330,"|")),--LEFT(A2330,10)))</f>
        <v/>
      </c>
      <c r="C2330">
        <f>IF(A2330="","",TEXTBEFORE(TEXTAFTER(A2330,"|"),"|"))</f>
        <v/>
      </c>
      <c r="D2330">
        <f>IF(A2330="","",TEXTAFTER(A2330,"|",2))</f>
        <v/>
      </c>
      <c r="E2330">
        <f>IF(A2330="","",SUMIF(Tickets[TripKey],A2330,Tickets[TP]))</f>
        <v/>
      </c>
      <c r="F2330">
        <f>IF(A2330="","",SUMIF(Tickets[TripKey],A2330,Tickets[Revenue]))</f>
        <v/>
      </c>
      <c r="G2330">
        <f>IF(A2330="","",SUMIF(Tickets[TripKey],A2330,Tickets[PK]))</f>
        <v/>
      </c>
      <c r="H2330">
        <f>IF(A2330="","",IFERROR(XLOOKUP(A2330,Tickets[TripKey],Tickets[VehClean]),""))</f>
        <v/>
      </c>
      <c r="I2330">
        <f>IF(A2330="","",IFERROR(XLOOKUP(A2330,Tickets[TripKey],Tickets[RouteLen]),0))</f>
        <v/>
      </c>
      <c r="J2330">
        <f>IF(A2330="","",IFERROR(XLOOKUP(A2330,Tickets[TripKey],Tickets[Capacity]),0))</f>
        <v/>
      </c>
      <c r="K2330">
        <f>IF(A2330="","",I2330*J2330)</f>
        <v/>
      </c>
      <c r="L2330">
        <f>IF(A2330="","",IFERROR(MINIFS(Tickets[Trip Start Time],Tickets[TripKey],A2330),""))</f>
        <v/>
      </c>
    </row>
    <row r="2331">
      <c r="B2331" s="8">
        <f>IF(A2331="","",IFERROR(DATEVALUE(TEXTBEFORE(A2331,"|")),--LEFT(A2331,10)))</f>
        <v/>
      </c>
      <c r="C2331">
        <f>IF(A2331="","",TEXTBEFORE(TEXTAFTER(A2331,"|"),"|"))</f>
        <v/>
      </c>
      <c r="D2331">
        <f>IF(A2331="","",TEXTAFTER(A2331,"|",2))</f>
        <v/>
      </c>
      <c r="E2331">
        <f>IF(A2331="","",SUMIF(Tickets[TripKey],A2331,Tickets[TP]))</f>
        <v/>
      </c>
      <c r="F2331">
        <f>IF(A2331="","",SUMIF(Tickets[TripKey],A2331,Tickets[Revenue]))</f>
        <v/>
      </c>
      <c r="G2331">
        <f>IF(A2331="","",SUMIF(Tickets[TripKey],A2331,Tickets[PK]))</f>
        <v/>
      </c>
      <c r="H2331">
        <f>IF(A2331="","",IFERROR(XLOOKUP(A2331,Tickets[TripKey],Tickets[VehClean]),""))</f>
        <v/>
      </c>
      <c r="I2331">
        <f>IF(A2331="","",IFERROR(XLOOKUP(A2331,Tickets[TripKey],Tickets[RouteLen]),0))</f>
        <v/>
      </c>
      <c r="J2331">
        <f>IF(A2331="","",IFERROR(XLOOKUP(A2331,Tickets[TripKey],Tickets[Capacity]),0))</f>
        <v/>
      </c>
      <c r="K2331">
        <f>IF(A2331="","",I2331*J2331)</f>
        <v/>
      </c>
      <c r="L2331">
        <f>IF(A2331="","",IFERROR(MINIFS(Tickets[Trip Start Time],Tickets[TripKey],A2331),""))</f>
        <v/>
      </c>
    </row>
    <row r="2332">
      <c r="B2332" s="8">
        <f>IF(A2332="","",IFERROR(DATEVALUE(TEXTBEFORE(A2332,"|")),--LEFT(A2332,10)))</f>
        <v/>
      </c>
      <c r="C2332">
        <f>IF(A2332="","",TEXTBEFORE(TEXTAFTER(A2332,"|"),"|"))</f>
        <v/>
      </c>
      <c r="D2332">
        <f>IF(A2332="","",TEXTAFTER(A2332,"|",2))</f>
        <v/>
      </c>
      <c r="E2332">
        <f>IF(A2332="","",SUMIF(Tickets[TripKey],A2332,Tickets[TP]))</f>
        <v/>
      </c>
      <c r="F2332">
        <f>IF(A2332="","",SUMIF(Tickets[TripKey],A2332,Tickets[Revenue]))</f>
        <v/>
      </c>
      <c r="G2332">
        <f>IF(A2332="","",SUMIF(Tickets[TripKey],A2332,Tickets[PK]))</f>
        <v/>
      </c>
      <c r="H2332">
        <f>IF(A2332="","",IFERROR(XLOOKUP(A2332,Tickets[TripKey],Tickets[VehClean]),""))</f>
        <v/>
      </c>
      <c r="I2332">
        <f>IF(A2332="","",IFERROR(XLOOKUP(A2332,Tickets[TripKey],Tickets[RouteLen]),0))</f>
        <v/>
      </c>
      <c r="J2332">
        <f>IF(A2332="","",IFERROR(XLOOKUP(A2332,Tickets[TripKey],Tickets[Capacity]),0))</f>
        <v/>
      </c>
      <c r="K2332">
        <f>IF(A2332="","",I2332*J2332)</f>
        <v/>
      </c>
      <c r="L2332">
        <f>IF(A2332="","",IFERROR(MINIFS(Tickets[Trip Start Time],Tickets[TripKey],A2332),""))</f>
        <v/>
      </c>
    </row>
    <row r="2333">
      <c r="B2333" s="8">
        <f>IF(A2333="","",IFERROR(DATEVALUE(TEXTBEFORE(A2333,"|")),--LEFT(A2333,10)))</f>
        <v/>
      </c>
      <c r="C2333">
        <f>IF(A2333="","",TEXTBEFORE(TEXTAFTER(A2333,"|"),"|"))</f>
        <v/>
      </c>
      <c r="D2333">
        <f>IF(A2333="","",TEXTAFTER(A2333,"|",2))</f>
        <v/>
      </c>
      <c r="E2333">
        <f>IF(A2333="","",SUMIF(Tickets[TripKey],A2333,Tickets[TP]))</f>
        <v/>
      </c>
      <c r="F2333">
        <f>IF(A2333="","",SUMIF(Tickets[TripKey],A2333,Tickets[Revenue]))</f>
        <v/>
      </c>
      <c r="G2333">
        <f>IF(A2333="","",SUMIF(Tickets[TripKey],A2333,Tickets[PK]))</f>
        <v/>
      </c>
      <c r="H2333">
        <f>IF(A2333="","",IFERROR(XLOOKUP(A2333,Tickets[TripKey],Tickets[VehClean]),""))</f>
        <v/>
      </c>
      <c r="I2333">
        <f>IF(A2333="","",IFERROR(XLOOKUP(A2333,Tickets[TripKey],Tickets[RouteLen]),0))</f>
        <v/>
      </c>
      <c r="J2333">
        <f>IF(A2333="","",IFERROR(XLOOKUP(A2333,Tickets[TripKey],Tickets[Capacity]),0))</f>
        <v/>
      </c>
      <c r="K2333">
        <f>IF(A2333="","",I2333*J2333)</f>
        <v/>
      </c>
      <c r="L2333">
        <f>IF(A2333="","",IFERROR(MINIFS(Tickets[Trip Start Time],Tickets[TripKey],A2333),""))</f>
        <v/>
      </c>
    </row>
    <row r="2334">
      <c r="B2334" s="8">
        <f>IF(A2334="","",IFERROR(DATEVALUE(TEXTBEFORE(A2334,"|")),--LEFT(A2334,10)))</f>
        <v/>
      </c>
      <c r="C2334">
        <f>IF(A2334="","",TEXTBEFORE(TEXTAFTER(A2334,"|"),"|"))</f>
        <v/>
      </c>
      <c r="D2334">
        <f>IF(A2334="","",TEXTAFTER(A2334,"|",2))</f>
        <v/>
      </c>
      <c r="E2334">
        <f>IF(A2334="","",SUMIF(Tickets[TripKey],A2334,Tickets[TP]))</f>
        <v/>
      </c>
      <c r="F2334">
        <f>IF(A2334="","",SUMIF(Tickets[TripKey],A2334,Tickets[Revenue]))</f>
        <v/>
      </c>
      <c r="G2334">
        <f>IF(A2334="","",SUMIF(Tickets[TripKey],A2334,Tickets[PK]))</f>
        <v/>
      </c>
      <c r="H2334">
        <f>IF(A2334="","",IFERROR(XLOOKUP(A2334,Tickets[TripKey],Tickets[VehClean]),""))</f>
        <v/>
      </c>
      <c r="I2334">
        <f>IF(A2334="","",IFERROR(XLOOKUP(A2334,Tickets[TripKey],Tickets[RouteLen]),0))</f>
        <v/>
      </c>
      <c r="J2334">
        <f>IF(A2334="","",IFERROR(XLOOKUP(A2334,Tickets[TripKey],Tickets[Capacity]),0))</f>
        <v/>
      </c>
      <c r="K2334">
        <f>IF(A2334="","",I2334*J2334)</f>
        <v/>
      </c>
      <c r="L2334">
        <f>IF(A2334="","",IFERROR(MINIFS(Tickets[Trip Start Time],Tickets[TripKey],A2334),""))</f>
        <v/>
      </c>
    </row>
    <row r="2335">
      <c r="B2335" s="8">
        <f>IF(A2335="","",IFERROR(DATEVALUE(TEXTBEFORE(A2335,"|")),--LEFT(A2335,10)))</f>
        <v/>
      </c>
      <c r="C2335">
        <f>IF(A2335="","",TEXTBEFORE(TEXTAFTER(A2335,"|"),"|"))</f>
        <v/>
      </c>
      <c r="D2335">
        <f>IF(A2335="","",TEXTAFTER(A2335,"|",2))</f>
        <v/>
      </c>
      <c r="E2335">
        <f>IF(A2335="","",SUMIF(Tickets[TripKey],A2335,Tickets[TP]))</f>
        <v/>
      </c>
      <c r="F2335">
        <f>IF(A2335="","",SUMIF(Tickets[TripKey],A2335,Tickets[Revenue]))</f>
        <v/>
      </c>
      <c r="G2335">
        <f>IF(A2335="","",SUMIF(Tickets[TripKey],A2335,Tickets[PK]))</f>
        <v/>
      </c>
      <c r="H2335">
        <f>IF(A2335="","",IFERROR(XLOOKUP(A2335,Tickets[TripKey],Tickets[VehClean]),""))</f>
        <v/>
      </c>
      <c r="I2335">
        <f>IF(A2335="","",IFERROR(XLOOKUP(A2335,Tickets[TripKey],Tickets[RouteLen]),0))</f>
        <v/>
      </c>
      <c r="J2335">
        <f>IF(A2335="","",IFERROR(XLOOKUP(A2335,Tickets[TripKey],Tickets[Capacity]),0))</f>
        <v/>
      </c>
      <c r="K2335">
        <f>IF(A2335="","",I2335*J2335)</f>
        <v/>
      </c>
      <c r="L2335">
        <f>IF(A2335="","",IFERROR(MINIFS(Tickets[Trip Start Time],Tickets[TripKey],A2335),""))</f>
        <v/>
      </c>
    </row>
    <row r="2336">
      <c r="B2336" s="8">
        <f>IF(A2336="","",IFERROR(DATEVALUE(TEXTBEFORE(A2336,"|")),--LEFT(A2336,10)))</f>
        <v/>
      </c>
      <c r="C2336">
        <f>IF(A2336="","",TEXTBEFORE(TEXTAFTER(A2336,"|"),"|"))</f>
        <v/>
      </c>
      <c r="D2336">
        <f>IF(A2336="","",TEXTAFTER(A2336,"|",2))</f>
        <v/>
      </c>
      <c r="E2336">
        <f>IF(A2336="","",SUMIF(Tickets[TripKey],A2336,Tickets[TP]))</f>
        <v/>
      </c>
      <c r="F2336">
        <f>IF(A2336="","",SUMIF(Tickets[TripKey],A2336,Tickets[Revenue]))</f>
        <v/>
      </c>
      <c r="G2336">
        <f>IF(A2336="","",SUMIF(Tickets[TripKey],A2336,Tickets[PK]))</f>
        <v/>
      </c>
      <c r="H2336">
        <f>IF(A2336="","",IFERROR(XLOOKUP(A2336,Tickets[TripKey],Tickets[VehClean]),""))</f>
        <v/>
      </c>
      <c r="I2336">
        <f>IF(A2336="","",IFERROR(XLOOKUP(A2336,Tickets[TripKey],Tickets[RouteLen]),0))</f>
        <v/>
      </c>
      <c r="J2336">
        <f>IF(A2336="","",IFERROR(XLOOKUP(A2336,Tickets[TripKey],Tickets[Capacity]),0))</f>
        <v/>
      </c>
      <c r="K2336">
        <f>IF(A2336="","",I2336*J2336)</f>
        <v/>
      </c>
      <c r="L2336">
        <f>IF(A2336="","",IFERROR(MINIFS(Tickets[Trip Start Time],Tickets[TripKey],A2336),""))</f>
        <v/>
      </c>
    </row>
    <row r="2337">
      <c r="B2337" s="8">
        <f>IF(A2337="","",IFERROR(DATEVALUE(TEXTBEFORE(A2337,"|")),--LEFT(A2337,10)))</f>
        <v/>
      </c>
      <c r="C2337">
        <f>IF(A2337="","",TEXTBEFORE(TEXTAFTER(A2337,"|"),"|"))</f>
        <v/>
      </c>
      <c r="D2337">
        <f>IF(A2337="","",TEXTAFTER(A2337,"|",2))</f>
        <v/>
      </c>
      <c r="E2337">
        <f>IF(A2337="","",SUMIF(Tickets[TripKey],A2337,Tickets[TP]))</f>
        <v/>
      </c>
      <c r="F2337">
        <f>IF(A2337="","",SUMIF(Tickets[TripKey],A2337,Tickets[Revenue]))</f>
        <v/>
      </c>
      <c r="G2337">
        <f>IF(A2337="","",SUMIF(Tickets[TripKey],A2337,Tickets[PK]))</f>
        <v/>
      </c>
      <c r="H2337">
        <f>IF(A2337="","",IFERROR(XLOOKUP(A2337,Tickets[TripKey],Tickets[VehClean]),""))</f>
        <v/>
      </c>
      <c r="I2337">
        <f>IF(A2337="","",IFERROR(XLOOKUP(A2337,Tickets[TripKey],Tickets[RouteLen]),0))</f>
        <v/>
      </c>
      <c r="J2337">
        <f>IF(A2337="","",IFERROR(XLOOKUP(A2337,Tickets[TripKey],Tickets[Capacity]),0))</f>
        <v/>
      </c>
      <c r="K2337">
        <f>IF(A2337="","",I2337*J2337)</f>
        <v/>
      </c>
      <c r="L2337">
        <f>IF(A2337="","",IFERROR(MINIFS(Tickets[Trip Start Time],Tickets[TripKey],A2337),""))</f>
        <v/>
      </c>
    </row>
    <row r="2338">
      <c r="B2338" s="8">
        <f>IF(A2338="","",IFERROR(DATEVALUE(TEXTBEFORE(A2338,"|")),--LEFT(A2338,10)))</f>
        <v/>
      </c>
      <c r="C2338">
        <f>IF(A2338="","",TEXTBEFORE(TEXTAFTER(A2338,"|"),"|"))</f>
        <v/>
      </c>
      <c r="D2338">
        <f>IF(A2338="","",TEXTAFTER(A2338,"|",2))</f>
        <v/>
      </c>
      <c r="E2338">
        <f>IF(A2338="","",SUMIF(Tickets[TripKey],A2338,Tickets[TP]))</f>
        <v/>
      </c>
      <c r="F2338">
        <f>IF(A2338="","",SUMIF(Tickets[TripKey],A2338,Tickets[Revenue]))</f>
        <v/>
      </c>
      <c r="G2338">
        <f>IF(A2338="","",SUMIF(Tickets[TripKey],A2338,Tickets[PK]))</f>
        <v/>
      </c>
      <c r="H2338">
        <f>IF(A2338="","",IFERROR(XLOOKUP(A2338,Tickets[TripKey],Tickets[VehClean]),""))</f>
        <v/>
      </c>
      <c r="I2338">
        <f>IF(A2338="","",IFERROR(XLOOKUP(A2338,Tickets[TripKey],Tickets[RouteLen]),0))</f>
        <v/>
      </c>
      <c r="J2338">
        <f>IF(A2338="","",IFERROR(XLOOKUP(A2338,Tickets[TripKey],Tickets[Capacity]),0))</f>
        <v/>
      </c>
      <c r="K2338">
        <f>IF(A2338="","",I2338*J2338)</f>
        <v/>
      </c>
      <c r="L2338">
        <f>IF(A2338="","",IFERROR(MINIFS(Tickets[Trip Start Time],Tickets[TripKey],A2338),""))</f>
        <v/>
      </c>
    </row>
    <row r="2339">
      <c r="B2339" s="8">
        <f>IF(A2339="","",IFERROR(DATEVALUE(TEXTBEFORE(A2339,"|")),--LEFT(A2339,10)))</f>
        <v/>
      </c>
      <c r="C2339">
        <f>IF(A2339="","",TEXTBEFORE(TEXTAFTER(A2339,"|"),"|"))</f>
        <v/>
      </c>
      <c r="D2339">
        <f>IF(A2339="","",TEXTAFTER(A2339,"|",2))</f>
        <v/>
      </c>
      <c r="E2339">
        <f>IF(A2339="","",SUMIF(Tickets[TripKey],A2339,Tickets[TP]))</f>
        <v/>
      </c>
      <c r="F2339">
        <f>IF(A2339="","",SUMIF(Tickets[TripKey],A2339,Tickets[Revenue]))</f>
        <v/>
      </c>
      <c r="G2339">
        <f>IF(A2339="","",SUMIF(Tickets[TripKey],A2339,Tickets[PK]))</f>
        <v/>
      </c>
      <c r="H2339">
        <f>IF(A2339="","",IFERROR(XLOOKUP(A2339,Tickets[TripKey],Tickets[VehClean]),""))</f>
        <v/>
      </c>
      <c r="I2339">
        <f>IF(A2339="","",IFERROR(XLOOKUP(A2339,Tickets[TripKey],Tickets[RouteLen]),0))</f>
        <v/>
      </c>
      <c r="J2339">
        <f>IF(A2339="","",IFERROR(XLOOKUP(A2339,Tickets[TripKey],Tickets[Capacity]),0))</f>
        <v/>
      </c>
      <c r="K2339">
        <f>IF(A2339="","",I2339*J2339)</f>
        <v/>
      </c>
      <c r="L2339">
        <f>IF(A2339="","",IFERROR(MINIFS(Tickets[Trip Start Time],Tickets[TripKey],A2339),""))</f>
        <v/>
      </c>
    </row>
    <row r="2340">
      <c r="B2340" s="8">
        <f>IF(A2340="","",IFERROR(DATEVALUE(TEXTBEFORE(A2340,"|")),--LEFT(A2340,10)))</f>
        <v/>
      </c>
      <c r="C2340">
        <f>IF(A2340="","",TEXTBEFORE(TEXTAFTER(A2340,"|"),"|"))</f>
        <v/>
      </c>
      <c r="D2340">
        <f>IF(A2340="","",TEXTAFTER(A2340,"|",2))</f>
        <v/>
      </c>
      <c r="E2340">
        <f>IF(A2340="","",SUMIF(Tickets[TripKey],A2340,Tickets[TP]))</f>
        <v/>
      </c>
      <c r="F2340">
        <f>IF(A2340="","",SUMIF(Tickets[TripKey],A2340,Tickets[Revenue]))</f>
        <v/>
      </c>
      <c r="G2340">
        <f>IF(A2340="","",SUMIF(Tickets[TripKey],A2340,Tickets[PK]))</f>
        <v/>
      </c>
      <c r="H2340">
        <f>IF(A2340="","",IFERROR(XLOOKUP(A2340,Tickets[TripKey],Tickets[VehClean]),""))</f>
        <v/>
      </c>
      <c r="I2340">
        <f>IF(A2340="","",IFERROR(XLOOKUP(A2340,Tickets[TripKey],Tickets[RouteLen]),0))</f>
        <v/>
      </c>
      <c r="J2340">
        <f>IF(A2340="","",IFERROR(XLOOKUP(A2340,Tickets[TripKey],Tickets[Capacity]),0))</f>
        <v/>
      </c>
      <c r="K2340">
        <f>IF(A2340="","",I2340*J2340)</f>
        <v/>
      </c>
      <c r="L2340">
        <f>IF(A2340="","",IFERROR(MINIFS(Tickets[Trip Start Time],Tickets[TripKey],A2340),""))</f>
        <v/>
      </c>
    </row>
    <row r="2341">
      <c r="B2341" s="8">
        <f>IF(A2341="","",IFERROR(DATEVALUE(TEXTBEFORE(A2341,"|")),--LEFT(A2341,10)))</f>
        <v/>
      </c>
      <c r="C2341">
        <f>IF(A2341="","",TEXTBEFORE(TEXTAFTER(A2341,"|"),"|"))</f>
        <v/>
      </c>
      <c r="D2341">
        <f>IF(A2341="","",TEXTAFTER(A2341,"|",2))</f>
        <v/>
      </c>
      <c r="E2341">
        <f>IF(A2341="","",SUMIF(Tickets[TripKey],A2341,Tickets[TP]))</f>
        <v/>
      </c>
      <c r="F2341">
        <f>IF(A2341="","",SUMIF(Tickets[TripKey],A2341,Tickets[Revenue]))</f>
        <v/>
      </c>
      <c r="G2341">
        <f>IF(A2341="","",SUMIF(Tickets[TripKey],A2341,Tickets[PK]))</f>
        <v/>
      </c>
      <c r="H2341">
        <f>IF(A2341="","",IFERROR(XLOOKUP(A2341,Tickets[TripKey],Tickets[VehClean]),""))</f>
        <v/>
      </c>
      <c r="I2341">
        <f>IF(A2341="","",IFERROR(XLOOKUP(A2341,Tickets[TripKey],Tickets[RouteLen]),0))</f>
        <v/>
      </c>
      <c r="J2341">
        <f>IF(A2341="","",IFERROR(XLOOKUP(A2341,Tickets[TripKey],Tickets[Capacity]),0))</f>
        <v/>
      </c>
      <c r="K2341">
        <f>IF(A2341="","",I2341*J2341)</f>
        <v/>
      </c>
      <c r="L2341">
        <f>IF(A2341="","",IFERROR(MINIFS(Tickets[Trip Start Time],Tickets[TripKey],A2341),""))</f>
        <v/>
      </c>
    </row>
    <row r="2342">
      <c r="B2342" s="8">
        <f>IF(A2342="","",IFERROR(DATEVALUE(TEXTBEFORE(A2342,"|")),--LEFT(A2342,10)))</f>
        <v/>
      </c>
      <c r="C2342">
        <f>IF(A2342="","",TEXTBEFORE(TEXTAFTER(A2342,"|"),"|"))</f>
        <v/>
      </c>
      <c r="D2342">
        <f>IF(A2342="","",TEXTAFTER(A2342,"|",2))</f>
        <v/>
      </c>
      <c r="E2342">
        <f>IF(A2342="","",SUMIF(Tickets[TripKey],A2342,Tickets[TP]))</f>
        <v/>
      </c>
      <c r="F2342">
        <f>IF(A2342="","",SUMIF(Tickets[TripKey],A2342,Tickets[Revenue]))</f>
        <v/>
      </c>
      <c r="G2342">
        <f>IF(A2342="","",SUMIF(Tickets[TripKey],A2342,Tickets[PK]))</f>
        <v/>
      </c>
      <c r="H2342">
        <f>IF(A2342="","",IFERROR(XLOOKUP(A2342,Tickets[TripKey],Tickets[VehClean]),""))</f>
        <v/>
      </c>
      <c r="I2342">
        <f>IF(A2342="","",IFERROR(XLOOKUP(A2342,Tickets[TripKey],Tickets[RouteLen]),0))</f>
        <v/>
      </c>
      <c r="J2342">
        <f>IF(A2342="","",IFERROR(XLOOKUP(A2342,Tickets[TripKey],Tickets[Capacity]),0))</f>
        <v/>
      </c>
      <c r="K2342">
        <f>IF(A2342="","",I2342*J2342)</f>
        <v/>
      </c>
      <c r="L2342">
        <f>IF(A2342="","",IFERROR(MINIFS(Tickets[Trip Start Time],Tickets[TripKey],A2342),""))</f>
        <v/>
      </c>
    </row>
    <row r="2343">
      <c r="B2343" s="8">
        <f>IF(A2343="","",IFERROR(DATEVALUE(TEXTBEFORE(A2343,"|")),--LEFT(A2343,10)))</f>
        <v/>
      </c>
      <c r="C2343">
        <f>IF(A2343="","",TEXTBEFORE(TEXTAFTER(A2343,"|"),"|"))</f>
        <v/>
      </c>
      <c r="D2343">
        <f>IF(A2343="","",TEXTAFTER(A2343,"|",2))</f>
        <v/>
      </c>
      <c r="E2343">
        <f>IF(A2343="","",SUMIF(Tickets[TripKey],A2343,Tickets[TP]))</f>
        <v/>
      </c>
      <c r="F2343">
        <f>IF(A2343="","",SUMIF(Tickets[TripKey],A2343,Tickets[Revenue]))</f>
        <v/>
      </c>
      <c r="G2343">
        <f>IF(A2343="","",SUMIF(Tickets[TripKey],A2343,Tickets[PK]))</f>
        <v/>
      </c>
      <c r="H2343">
        <f>IF(A2343="","",IFERROR(XLOOKUP(A2343,Tickets[TripKey],Tickets[VehClean]),""))</f>
        <v/>
      </c>
      <c r="I2343">
        <f>IF(A2343="","",IFERROR(XLOOKUP(A2343,Tickets[TripKey],Tickets[RouteLen]),0))</f>
        <v/>
      </c>
      <c r="J2343">
        <f>IF(A2343="","",IFERROR(XLOOKUP(A2343,Tickets[TripKey],Tickets[Capacity]),0))</f>
        <v/>
      </c>
      <c r="K2343">
        <f>IF(A2343="","",I2343*J2343)</f>
        <v/>
      </c>
      <c r="L2343">
        <f>IF(A2343="","",IFERROR(MINIFS(Tickets[Trip Start Time],Tickets[TripKey],A2343),""))</f>
        <v/>
      </c>
    </row>
    <row r="2344">
      <c r="B2344" s="8">
        <f>IF(A2344="","",IFERROR(DATEVALUE(TEXTBEFORE(A2344,"|")),--LEFT(A2344,10)))</f>
        <v/>
      </c>
      <c r="C2344">
        <f>IF(A2344="","",TEXTBEFORE(TEXTAFTER(A2344,"|"),"|"))</f>
        <v/>
      </c>
      <c r="D2344">
        <f>IF(A2344="","",TEXTAFTER(A2344,"|",2))</f>
        <v/>
      </c>
      <c r="E2344">
        <f>IF(A2344="","",SUMIF(Tickets[TripKey],A2344,Tickets[TP]))</f>
        <v/>
      </c>
      <c r="F2344">
        <f>IF(A2344="","",SUMIF(Tickets[TripKey],A2344,Tickets[Revenue]))</f>
        <v/>
      </c>
      <c r="G2344">
        <f>IF(A2344="","",SUMIF(Tickets[TripKey],A2344,Tickets[PK]))</f>
        <v/>
      </c>
      <c r="H2344">
        <f>IF(A2344="","",IFERROR(XLOOKUP(A2344,Tickets[TripKey],Tickets[VehClean]),""))</f>
        <v/>
      </c>
      <c r="I2344">
        <f>IF(A2344="","",IFERROR(XLOOKUP(A2344,Tickets[TripKey],Tickets[RouteLen]),0))</f>
        <v/>
      </c>
      <c r="J2344">
        <f>IF(A2344="","",IFERROR(XLOOKUP(A2344,Tickets[TripKey],Tickets[Capacity]),0))</f>
        <v/>
      </c>
      <c r="K2344">
        <f>IF(A2344="","",I2344*J2344)</f>
        <v/>
      </c>
      <c r="L2344">
        <f>IF(A2344="","",IFERROR(MINIFS(Tickets[Trip Start Time],Tickets[TripKey],A2344),""))</f>
        <v/>
      </c>
    </row>
    <row r="2345">
      <c r="B2345" s="8">
        <f>IF(A2345="","",IFERROR(DATEVALUE(TEXTBEFORE(A2345,"|")),--LEFT(A2345,10)))</f>
        <v/>
      </c>
      <c r="C2345">
        <f>IF(A2345="","",TEXTBEFORE(TEXTAFTER(A2345,"|"),"|"))</f>
        <v/>
      </c>
      <c r="D2345">
        <f>IF(A2345="","",TEXTAFTER(A2345,"|",2))</f>
        <v/>
      </c>
      <c r="E2345">
        <f>IF(A2345="","",SUMIF(Tickets[TripKey],A2345,Tickets[TP]))</f>
        <v/>
      </c>
      <c r="F2345">
        <f>IF(A2345="","",SUMIF(Tickets[TripKey],A2345,Tickets[Revenue]))</f>
        <v/>
      </c>
      <c r="G2345">
        <f>IF(A2345="","",SUMIF(Tickets[TripKey],A2345,Tickets[PK]))</f>
        <v/>
      </c>
      <c r="H2345">
        <f>IF(A2345="","",IFERROR(XLOOKUP(A2345,Tickets[TripKey],Tickets[VehClean]),""))</f>
        <v/>
      </c>
      <c r="I2345">
        <f>IF(A2345="","",IFERROR(XLOOKUP(A2345,Tickets[TripKey],Tickets[RouteLen]),0))</f>
        <v/>
      </c>
      <c r="J2345">
        <f>IF(A2345="","",IFERROR(XLOOKUP(A2345,Tickets[TripKey],Tickets[Capacity]),0))</f>
        <v/>
      </c>
      <c r="K2345">
        <f>IF(A2345="","",I2345*J2345)</f>
        <v/>
      </c>
      <c r="L2345">
        <f>IF(A2345="","",IFERROR(MINIFS(Tickets[Trip Start Time],Tickets[TripKey],A2345),""))</f>
        <v/>
      </c>
    </row>
    <row r="2346">
      <c r="B2346" s="8">
        <f>IF(A2346="","",IFERROR(DATEVALUE(TEXTBEFORE(A2346,"|")),--LEFT(A2346,10)))</f>
        <v/>
      </c>
      <c r="C2346">
        <f>IF(A2346="","",TEXTBEFORE(TEXTAFTER(A2346,"|"),"|"))</f>
        <v/>
      </c>
      <c r="D2346">
        <f>IF(A2346="","",TEXTAFTER(A2346,"|",2))</f>
        <v/>
      </c>
      <c r="E2346">
        <f>IF(A2346="","",SUMIF(Tickets[TripKey],A2346,Tickets[TP]))</f>
        <v/>
      </c>
      <c r="F2346">
        <f>IF(A2346="","",SUMIF(Tickets[TripKey],A2346,Tickets[Revenue]))</f>
        <v/>
      </c>
      <c r="G2346">
        <f>IF(A2346="","",SUMIF(Tickets[TripKey],A2346,Tickets[PK]))</f>
        <v/>
      </c>
      <c r="H2346">
        <f>IF(A2346="","",IFERROR(XLOOKUP(A2346,Tickets[TripKey],Tickets[VehClean]),""))</f>
        <v/>
      </c>
      <c r="I2346">
        <f>IF(A2346="","",IFERROR(XLOOKUP(A2346,Tickets[TripKey],Tickets[RouteLen]),0))</f>
        <v/>
      </c>
      <c r="J2346">
        <f>IF(A2346="","",IFERROR(XLOOKUP(A2346,Tickets[TripKey],Tickets[Capacity]),0))</f>
        <v/>
      </c>
      <c r="K2346">
        <f>IF(A2346="","",I2346*J2346)</f>
        <v/>
      </c>
      <c r="L2346">
        <f>IF(A2346="","",IFERROR(MINIFS(Tickets[Trip Start Time],Tickets[TripKey],A2346),""))</f>
        <v/>
      </c>
    </row>
    <row r="2347">
      <c r="B2347" s="8">
        <f>IF(A2347="","",IFERROR(DATEVALUE(TEXTBEFORE(A2347,"|")),--LEFT(A2347,10)))</f>
        <v/>
      </c>
      <c r="C2347">
        <f>IF(A2347="","",TEXTBEFORE(TEXTAFTER(A2347,"|"),"|"))</f>
        <v/>
      </c>
      <c r="D2347">
        <f>IF(A2347="","",TEXTAFTER(A2347,"|",2))</f>
        <v/>
      </c>
      <c r="E2347">
        <f>IF(A2347="","",SUMIF(Tickets[TripKey],A2347,Tickets[TP]))</f>
        <v/>
      </c>
      <c r="F2347">
        <f>IF(A2347="","",SUMIF(Tickets[TripKey],A2347,Tickets[Revenue]))</f>
        <v/>
      </c>
      <c r="G2347">
        <f>IF(A2347="","",SUMIF(Tickets[TripKey],A2347,Tickets[PK]))</f>
        <v/>
      </c>
      <c r="H2347">
        <f>IF(A2347="","",IFERROR(XLOOKUP(A2347,Tickets[TripKey],Tickets[VehClean]),""))</f>
        <v/>
      </c>
      <c r="I2347">
        <f>IF(A2347="","",IFERROR(XLOOKUP(A2347,Tickets[TripKey],Tickets[RouteLen]),0))</f>
        <v/>
      </c>
      <c r="J2347">
        <f>IF(A2347="","",IFERROR(XLOOKUP(A2347,Tickets[TripKey],Tickets[Capacity]),0))</f>
        <v/>
      </c>
      <c r="K2347">
        <f>IF(A2347="","",I2347*J2347)</f>
        <v/>
      </c>
      <c r="L2347">
        <f>IF(A2347="","",IFERROR(MINIFS(Tickets[Trip Start Time],Tickets[TripKey],A2347),""))</f>
        <v/>
      </c>
    </row>
    <row r="2348">
      <c r="B2348" s="8">
        <f>IF(A2348="","",IFERROR(DATEVALUE(TEXTBEFORE(A2348,"|")),--LEFT(A2348,10)))</f>
        <v/>
      </c>
      <c r="C2348">
        <f>IF(A2348="","",TEXTBEFORE(TEXTAFTER(A2348,"|"),"|"))</f>
        <v/>
      </c>
      <c r="D2348">
        <f>IF(A2348="","",TEXTAFTER(A2348,"|",2))</f>
        <v/>
      </c>
      <c r="E2348">
        <f>IF(A2348="","",SUMIF(Tickets[TripKey],A2348,Tickets[TP]))</f>
        <v/>
      </c>
      <c r="F2348">
        <f>IF(A2348="","",SUMIF(Tickets[TripKey],A2348,Tickets[Revenue]))</f>
        <v/>
      </c>
      <c r="G2348">
        <f>IF(A2348="","",SUMIF(Tickets[TripKey],A2348,Tickets[PK]))</f>
        <v/>
      </c>
      <c r="H2348">
        <f>IF(A2348="","",IFERROR(XLOOKUP(A2348,Tickets[TripKey],Tickets[VehClean]),""))</f>
        <v/>
      </c>
      <c r="I2348">
        <f>IF(A2348="","",IFERROR(XLOOKUP(A2348,Tickets[TripKey],Tickets[RouteLen]),0))</f>
        <v/>
      </c>
      <c r="J2348">
        <f>IF(A2348="","",IFERROR(XLOOKUP(A2348,Tickets[TripKey],Tickets[Capacity]),0))</f>
        <v/>
      </c>
      <c r="K2348">
        <f>IF(A2348="","",I2348*J2348)</f>
        <v/>
      </c>
      <c r="L2348">
        <f>IF(A2348="","",IFERROR(MINIFS(Tickets[Trip Start Time],Tickets[TripKey],A2348),""))</f>
        <v/>
      </c>
    </row>
    <row r="2349">
      <c r="B2349" s="8">
        <f>IF(A2349="","",IFERROR(DATEVALUE(TEXTBEFORE(A2349,"|")),--LEFT(A2349,10)))</f>
        <v/>
      </c>
      <c r="C2349">
        <f>IF(A2349="","",TEXTBEFORE(TEXTAFTER(A2349,"|"),"|"))</f>
        <v/>
      </c>
      <c r="D2349">
        <f>IF(A2349="","",TEXTAFTER(A2349,"|",2))</f>
        <v/>
      </c>
      <c r="E2349">
        <f>IF(A2349="","",SUMIF(Tickets[TripKey],A2349,Tickets[TP]))</f>
        <v/>
      </c>
      <c r="F2349">
        <f>IF(A2349="","",SUMIF(Tickets[TripKey],A2349,Tickets[Revenue]))</f>
        <v/>
      </c>
      <c r="G2349">
        <f>IF(A2349="","",SUMIF(Tickets[TripKey],A2349,Tickets[PK]))</f>
        <v/>
      </c>
      <c r="H2349">
        <f>IF(A2349="","",IFERROR(XLOOKUP(A2349,Tickets[TripKey],Tickets[VehClean]),""))</f>
        <v/>
      </c>
      <c r="I2349">
        <f>IF(A2349="","",IFERROR(XLOOKUP(A2349,Tickets[TripKey],Tickets[RouteLen]),0))</f>
        <v/>
      </c>
      <c r="J2349">
        <f>IF(A2349="","",IFERROR(XLOOKUP(A2349,Tickets[TripKey],Tickets[Capacity]),0))</f>
        <v/>
      </c>
      <c r="K2349">
        <f>IF(A2349="","",I2349*J2349)</f>
        <v/>
      </c>
      <c r="L2349">
        <f>IF(A2349="","",IFERROR(MINIFS(Tickets[Trip Start Time],Tickets[TripKey],A2349),""))</f>
        <v/>
      </c>
    </row>
    <row r="2350">
      <c r="B2350" s="8">
        <f>IF(A2350="","",IFERROR(DATEVALUE(TEXTBEFORE(A2350,"|")),--LEFT(A2350,10)))</f>
        <v/>
      </c>
      <c r="C2350">
        <f>IF(A2350="","",TEXTBEFORE(TEXTAFTER(A2350,"|"),"|"))</f>
        <v/>
      </c>
      <c r="D2350">
        <f>IF(A2350="","",TEXTAFTER(A2350,"|",2))</f>
        <v/>
      </c>
      <c r="E2350">
        <f>IF(A2350="","",SUMIF(Tickets[TripKey],A2350,Tickets[TP]))</f>
        <v/>
      </c>
      <c r="F2350">
        <f>IF(A2350="","",SUMIF(Tickets[TripKey],A2350,Tickets[Revenue]))</f>
        <v/>
      </c>
      <c r="G2350">
        <f>IF(A2350="","",SUMIF(Tickets[TripKey],A2350,Tickets[PK]))</f>
        <v/>
      </c>
      <c r="H2350">
        <f>IF(A2350="","",IFERROR(XLOOKUP(A2350,Tickets[TripKey],Tickets[VehClean]),""))</f>
        <v/>
      </c>
      <c r="I2350">
        <f>IF(A2350="","",IFERROR(XLOOKUP(A2350,Tickets[TripKey],Tickets[RouteLen]),0))</f>
        <v/>
      </c>
      <c r="J2350">
        <f>IF(A2350="","",IFERROR(XLOOKUP(A2350,Tickets[TripKey],Tickets[Capacity]),0))</f>
        <v/>
      </c>
      <c r="K2350">
        <f>IF(A2350="","",I2350*J2350)</f>
        <v/>
      </c>
      <c r="L2350">
        <f>IF(A2350="","",IFERROR(MINIFS(Tickets[Trip Start Time],Tickets[TripKey],A2350),""))</f>
        <v/>
      </c>
    </row>
    <row r="2351">
      <c r="B2351" s="8">
        <f>IF(A2351="","",IFERROR(DATEVALUE(TEXTBEFORE(A2351,"|")),--LEFT(A2351,10)))</f>
        <v/>
      </c>
      <c r="C2351">
        <f>IF(A2351="","",TEXTBEFORE(TEXTAFTER(A2351,"|"),"|"))</f>
        <v/>
      </c>
      <c r="D2351">
        <f>IF(A2351="","",TEXTAFTER(A2351,"|",2))</f>
        <v/>
      </c>
      <c r="E2351">
        <f>IF(A2351="","",SUMIF(Tickets[TripKey],A2351,Tickets[TP]))</f>
        <v/>
      </c>
      <c r="F2351">
        <f>IF(A2351="","",SUMIF(Tickets[TripKey],A2351,Tickets[Revenue]))</f>
        <v/>
      </c>
      <c r="G2351">
        <f>IF(A2351="","",SUMIF(Tickets[TripKey],A2351,Tickets[PK]))</f>
        <v/>
      </c>
      <c r="H2351">
        <f>IF(A2351="","",IFERROR(XLOOKUP(A2351,Tickets[TripKey],Tickets[VehClean]),""))</f>
        <v/>
      </c>
      <c r="I2351">
        <f>IF(A2351="","",IFERROR(XLOOKUP(A2351,Tickets[TripKey],Tickets[RouteLen]),0))</f>
        <v/>
      </c>
      <c r="J2351">
        <f>IF(A2351="","",IFERROR(XLOOKUP(A2351,Tickets[TripKey],Tickets[Capacity]),0))</f>
        <v/>
      </c>
      <c r="K2351">
        <f>IF(A2351="","",I2351*J2351)</f>
        <v/>
      </c>
      <c r="L2351">
        <f>IF(A2351="","",IFERROR(MINIFS(Tickets[Trip Start Time],Tickets[TripKey],A2351),""))</f>
        <v/>
      </c>
    </row>
    <row r="2352">
      <c r="B2352" s="8">
        <f>IF(A2352="","",IFERROR(DATEVALUE(TEXTBEFORE(A2352,"|")),--LEFT(A2352,10)))</f>
        <v/>
      </c>
      <c r="C2352">
        <f>IF(A2352="","",TEXTBEFORE(TEXTAFTER(A2352,"|"),"|"))</f>
        <v/>
      </c>
      <c r="D2352">
        <f>IF(A2352="","",TEXTAFTER(A2352,"|",2))</f>
        <v/>
      </c>
      <c r="E2352">
        <f>IF(A2352="","",SUMIF(Tickets[TripKey],A2352,Tickets[TP]))</f>
        <v/>
      </c>
      <c r="F2352">
        <f>IF(A2352="","",SUMIF(Tickets[TripKey],A2352,Tickets[Revenue]))</f>
        <v/>
      </c>
      <c r="G2352">
        <f>IF(A2352="","",SUMIF(Tickets[TripKey],A2352,Tickets[PK]))</f>
        <v/>
      </c>
      <c r="H2352">
        <f>IF(A2352="","",IFERROR(XLOOKUP(A2352,Tickets[TripKey],Tickets[VehClean]),""))</f>
        <v/>
      </c>
      <c r="I2352">
        <f>IF(A2352="","",IFERROR(XLOOKUP(A2352,Tickets[TripKey],Tickets[RouteLen]),0))</f>
        <v/>
      </c>
      <c r="J2352">
        <f>IF(A2352="","",IFERROR(XLOOKUP(A2352,Tickets[TripKey],Tickets[Capacity]),0))</f>
        <v/>
      </c>
      <c r="K2352">
        <f>IF(A2352="","",I2352*J2352)</f>
        <v/>
      </c>
      <c r="L2352">
        <f>IF(A2352="","",IFERROR(MINIFS(Tickets[Trip Start Time],Tickets[TripKey],A2352),""))</f>
        <v/>
      </c>
    </row>
    <row r="2353">
      <c r="B2353" s="8">
        <f>IF(A2353="","",IFERROR(DATEVALUE(TEXTBEFORE(A2353,"|")),--LEFT(A2353,10)))</f>
        <v/>
      </c>
      <c r="C2353">
        <f>IF(A2353="","",TEXTBEFORE(TEXTAFTER(A2353,"|"),"|"))</f>
        <v/>
      </c>
      <c r="D2353">
        <f>IF(A2353="","",TEXTAFTER(A2353,"|",2))</f>
        <v/>
      </c>
      <c r="E2353">
        <f>IF(A2353="","",SUMIF(Tickets[TripKey],A2353,Tickets[TP]))</f>
        <v/>
      </c>
      <c r="F2353">
        <f>IF(A2353="","",SUMIF(Tickets[TripKey],A2353,Tickets[Revenue]))</f>
        <v/>
      </c>
      <c r="G2353">
        <f>IF(A2353="","",SUMIF(Tickets[TripKey],A2353,Tickets[PK]))</f>
        <v/>
      </c>
      <c r="H2353">
        <f>IF(A2353="","",IFERROR(XLOOKUP(A2353,Tickets[TripKey],Tickets[VehClean]),""))</f>
        <v/>
      </c>
      <c r="I2353">
        <f>IF(A2353="","",IFERROR(XLOOKUP(A2353,Tickets[TripKey],Tickets[RouteLen]),0))</f>
        <v/>
      </c>
      <c r="J2353">
        <f>IF(A2353="","",IFERROR(XLOOKUP(A2353,Tickets[TripKey],Tickets[Capacity]),0))</f>
        <v/>
      </c>
      <c r="K2353">
        <f>IF(A2353="","",I2353*J2353)</f>
        <v/>
      </c>
      <c r="L2353">
        <f>IF(A2353="","",IFERROR(MINIFS(Tickets[Trip Start Time],Tickets[TripKey],A2353),""))</f>
        <v/>
      </c>
    </row>
    <row r="2354">
      <c r="B2354" s="8">
        <f>IF(A2354="","",IFERROR(DATEVALUE(TEXTBEFORE(A2354,"|")),--LEFT(A2354,10)))</f>
        <v/>
      </c>
      <c r="C2354">
        <f>IF(A2354="","",TEXTBEFORE(TEXTAFTER(A2354,"|"),"|"))</f>
        <v/>
      </c>
      <c r="D2354">
        <f>IF(A2354="","",TEXTAFTER(A2354,"|",2))</f>
        <v/>
      </c>
      <c r="E2354">
        <f>IF(A2354="","",SUMIF(Tickets[TripKey],A2354,Tickets[TP]))</f>
        <v/>
      </c>
      <c r="F2354">
        <f>IF(A2354="","",SUMIF(Tickets[TripKey],A2354,Tickets[Revenue]))</f>
        <v/>
      </c>
      <c r="G2354">
        <f>IF(A2354="","",SUMIF(Tickets[TripKey],A2354,Tickets[PK]))</f>
        <v/>
      </c>
      <c r="H2354">
        <f>IF(A2354="","",IFERROR(XLOOKUP(A2354,Tickets[TripKey],Tickets[VehClean]),""))</f>
        <v/>
      </c>
      <c r="I2354">
        <f>IF(A2354="","",IFERROR(XLOOKUP(A2354,Tickets[TripKey],Tickets[RouteLen]),0))</f>
        <v/>
      </c>
      <c r="J2354">
        <f>IF(A2354="","",IFERROR(XLOOKUP(A2354,Tickets[TripKey],Tickets[Capacity]),0))</f>
        <v/>
      </c>
      <c r="K2354">
        <f>IF(A2354="","",I2354*J2354)</f>
        <v/>
      </c>
      <c r="L2354">
        <f>IF(A2354="","",IFERROR(MINIFS(Tickets[Trip Start Time],Tickets[TripKey],A2354),""))</f>
        <v/>
      </c>
    </row>
    <row r="2355">
      <c r="B2355" s="8">
        <f>IF(A2355="","",IFERROR(DATEVALUE(TEXTBEFORE(A2355,"|")),--LEFT(A2355,10)))</f>
        <v/>
      </c>
      <c r="C2355">
        <f>IF(A2355="","",TEXTBEFORE(TEXTAFTER(A2355,"|"),"|"))</f>
        <v/>
      </c>
      <c r="D2355">
        <f>IF(A2355="","",TEXTAFTER(A2355,"|",2))</f>
        <v/>
      </c>
      <c r="E2355">
        <f>IF(A2355="","",SUMIF(Tickets[TripKey],A2355,Tickets[TP]))</f>
        <v/>
      </c>
      <c r="F2355">
        <f>IF(A2355="","",SUMIF(Tickets[TripKey],A2355,Tickets[Revenue]))</f>
        <v/>
      </c>
      <c r="G2355">
        <f>IF(A2355="","",SUMIF(Tickets[TripKey],A2355,Tickets[PK]))</f>
        <v/>
      </c>
      <c r="H2355">
        <f>IF(A2355="","",IFERROR(XLOOKUP(A2355,Tickets[TripKey],Tickets[VehClean]),""))</f>
        <v/>
      </c>
      <c r="I2355">
        <f>IF(A2355="","",IFERROR(XLOOKUP(A2355,Tickets[TripKey],Tickets[RouteLen]),0))</f>
        <v/>
      </c>
      <c r="J2355">
        <f>IF(A2355="","",IFERROR(XLOOKUP(A2355,Tickets[TripKey],Tickets[Capacity]),0))</f>
        <v/>
      </c>
      <c r="K2355">
        <f>IF(A2355="","",I2355*J2355)</f>
        <v/>
      </c>
      <c r="L2355">
        <f>IF(A2355="","",IFERROR(MINIFS(Tickets[Trip Start Time],Tickets[TripKey],A2355),""))</f>
        <v/>
      </c>
    </row>
    <row r="2356">
      <c r="B2356" s="8">
        <f>IF(A2356="","",IFERROR(DATEVALUE(TEXTBEFORE(A2356,"|")),--LEFT(A2356,10)))</f>
        <v/>
      </c>
      <c r="C2356">
        <f>IF(A2356="","",TEXTBEFORE(TEXTAFTER(A2356,"|"),"|"))</f>
        <v/>
      </c>
      <c r="D2356">
        <f>IF(A2356="","",TEXTAFTER(A2356,"|",2))</f>
        <v/>
      </c>
      <c r="E2356">
        <f>IF(A2356="","",SUMIF(Tickets[TripKey],A2356,Tickets[TP]))</f>
        <v/>
      </c>
      <c r="F2356">
        <f>IF(A2356="","",SUMIF(Tickets[TripKey],A2356,Tickets[Revenue]))</f>
        <v/>
      </c>
      <c r="G2356">
        <f>IF(A2356="","",SUMIF(Tickets[TripKey],A2356,Tickets[PK]))</f>
        <v/>
      </c>
      <c r="H2356">
        <f>IF(A2356="","",IFERROR(XLOOKUP(A2356,Tickets[TripKey],Tickets[VehClean]),""))</f>
        <v/>
      </c>
      <c r="I2356">
        <f>IF(A2356="","",IFERROR(XLOOKUP(A2356,Tickets[TripKey],Tickets[RouteLen]),0))</f>
        <v/>
      </c>
      <c r="J2356">
        <f>IF(A2356="","",IFERROR(XLOOKUP(A2356,Tickets[TripKey],Tickets[Capacity]),0))</f>
        <v/>
      </c>
      <c r="K2356">
        <f>IF(A2356="","",I2356*J2356)</f>
        <v/>
      </c>
      <c r="L2356">
        <f>IF(A2356="","",IFERROR(MINIFS(Tickets[Trip Start Time],Tickets[TripKey],A2356),""))</f>
        <v/>
      </c>
    </row>
    <row r="2357">
      <c r="B2357" s="8">
        <f>IF(A2357="","",IFERROR(DATEVALUE(TEXTBEFORE(A2357,"|")),--LEFT(A2357,10)))</f>
        <v/>
      </c>
      <c r="C2357">
        <f>IF(A2357="","",TEXTBEFORE(TEXTAFTER(A2357,"|"),"|"))</f>
        <v/>
      </c>
      <c r="D2357">
        <f>IF(A2357="","",TEXTAFTER(A2357,"|",2))</f>
        <v/>
      </c>
      <c r="E2357">
        <f>IF(A2357="","",SUMIF(Tickets[TripKey],A2357,Tickets[TP]))</f>
        <v/>
      </c>
      <c r="F2357">
        <f>IF(A2357="","",SUMIF(Tickets[TripKey],A2357,Tickets[Revenue]))</f>
        <v/>
      </c>
      <c r="G2357">
        <f>IF(A2357="","",SUMIF(Tickets[TripKey],A2357,Tickets[PK]))</f>
        <v/>
      </c>
      <c r="H2357">
        <f>IF(A2357="","",IFERROR(XLOOKUP(A2357,Tickets[TripKey],Tickets[VehClean]),""))</f>
        <v/>
      </c>
      <c r="I2357">
        <f>IF(A2357="","",IFERROR(XLOOKUP(A2357,Tickets[TripKey],Tickets[RouteLen]),0))</f>
        <v/>
      </c>
      <c r="J2357">
        <f>IF(A2357="","",IFERROR(XLOOKUP(A2357,Tickets[TripKey],Tickets[Capacity]),0))</f>
        <v/>
      </c>
      <c r="K2357">
        <f>IF(A2357="","",I2357*J2357)</f>
        <v/>
      </c>
      <c r="L2357">
        <f>IF(A2357="","",IFERROR(MINIFS(Tickets[Trip Start Time],Tickets[TripKey],A2357),""))</f>
        <v/>
      </c>
    </row>
    <row r="2358">
      <c r="B2358" s="8">
        <f>IF(A2358="","",IFERROR(DATEVALUE(TEXTBEFORE(A2358,"|")),--LEFT(A2358,10)))</f>
        <v/>
      </c>
      <c r="C2358">
        <f>IF(A2358="","",TEXTBEFORE(TEXTAFTER(A2358,"|"),"|"))</f>
        <v/>
      </c>
      <c r="D2358">
        <f>IF(A2358="","",TEXTAFTER(A2358,"|",2))</f>
        <v/>
      </c>
      <c r="E2358">
        <f>IF(A2358="","",SUMIF(Tickets[TripKey],A2358,Tickets[TP]))</f>
        <v/>
      </c>
      <c r="F2358">
        <f>IF(A2358="","",SUMIF(Tickets[TripKey],A2358,Tickets[Revenue]))</f>
        <v/>
      </c>
      <c r="G2358">
        <f>IF(A2358="","",SUMIF(Tickets[TripKey],A2358,Tickets[PK]))</f>
        <v/>
      </c>
      <c r="H2358">
        <f>IF(A2358="","",IFERROR(XLOOKUP(A2358,Tickets[TripKey],Tickets[VehClean]),""))</f>
        <v/>
      </c>
      <c r="I2358">
        <f>IF(A2358="","",IFERROR(XLOOKUP(A2358,Tickets[TripKey],Tickets[RouteLen]),0))</f>
        <v/>
      </c>
      <c r="J2358">
        <f>IF(A2358="","",IFERROR(XLOOKUP(A2358,Tickets[TripKey],Tickets[Capacity]),0))</f>
        <v/>
      </c>
      <c r="K2358">
        <f>IF(A2358="","",I2358*J2358)</f>
        <v/>
      </c>
      <c r="L2358">
        <f>IF(A2358="","",IFERROR(MINIFS(Tickets[Trip Start Time],Tickets[TripKey],A2358),""))</f>
        <v/>
      </c>
    </row>
    <row r="2359">
      <c r="B2359" s="8">
        <f>IF(A2359="","",IFERROR(DATEVALUE(TEXTBEFORE(A2359,"|")),--LEFT(A2359,10)))</f>
        <v/>
      </c>
      <c r="C2359">
        <f>IF(A2359="","",TEXTBEFORE(TEXTAFTER(A2359,"|"),"|"))</f>
        <v/>
      </c>
      <c r="D2359">
        <f>IF(A2359="","",TEXTAFTER(A2359,"|",2))</f>
        <v/>
      </c>
      <c r="E2359">
        <f>IF(A2359="","",SUMIF(Tickets[TripKey],A2359,Tickets[TP]))</f>
        <v/>
      </c>
      <c r="F2359">
        <f>IF(A2359="","",SUMIF(Tickets[TripKey],A2359,Tickets[Revenue]))</f>
        <v/>
      </c>
      <c r="G2359">
        <f>IF(A2359="","",SUMIF(Tickets[TripKey],A2359,Tickets[PK]))</f>
        <v/>
      </c>
      <c r="H2359">
        <f>IF(A2359="","",IFERROR(XLOOKUP(A2359,Tickets[TripKey],Tickets[VehClean]),""))</f>
        <v/>
      </c>
      <c r="I2359">
        <f>IF(A2359="","",IFERROR(XLOOKUP(A2359,Tickets[TripKey],Tickets[RouteLen]),0))</f>
        <v/>
      </c>
      <c r="J2359">
        <f>IF(A2359="","",IFERROR(XLOOKUP(A2359,Tickets[TripKey],Tickets[Capacity]),0))</f>
        <v/>
      </c>
      <c r="K2359">
        <f>IF(A2359="","",I2359*J2359)</f>
        <v/>
      </c>
      <c r="L2359">
        <f>IF(A2359="","",IFERROR(MINIFS(Tickets[Trip Start Time],Tickets[TripKey],A2359),""))</f>
        <v/>
      </c>
    </row>
    <row r="2360">
      <c r="B2360" s="8">
        <f>IF(A2360="","",IFERROR(DATEVALUE(TEXTBEFORE(A2360,"|")),--LEFT(A2360,10)))</f>
        <v/>
      </c>
      <c r="C2360">
        <f>IF(A2360="","",TEXTBEFORE(TEXTAFTER(A2360,"|"),"|"))</f>
        <v/>
      </c>
      <c r="D2360">
        <f>IF(A2360="","",TEXTAFTER(A2360,"|",2))</f>
        <v/>
      </c>
      <c r="E2360">
        <f>IF(A2360="","",SUMIF(Tickets[TripKey],A2360,Tickets[TP]))</f>
        <v/>
      </c>
      <c r="F2360">
        <f>IF(A2360="","",SUMIF(Tickets[TripKey],A2360,Tickets[Revenue]))</f>
        <v/>
      </c>
      <c r="G2360">
        <f>IF(A2360="","",SUMIF(Tickets[TripKey],A2360,Tickets[PK]))</f>
        <v/>
      </c>
      <c r="H2360">
        <f>IF(A2360="","",IFERROR(XLOOKUP(A2360,Tickets[TripKey],Tickets[VehClean]),""))</f>
        <v/>
      </c>
      <c r="I2360">
        <f>IF(A2360="","",IFERROR(XLOOKUP(A2360,Tickets[TripKey],Tickets[RouteLen]),0))</f>
        <v/>
      </c>
      <c r="J2360">
        <f>IF(A2360="","",IFERROR(XLOOKUP(A2360,Tickets[TripKey],Tickets[Capacity]),0))</f>
        <v/>
      </c>
      <c r="K2360">
        <f>IF(A2360="","",I2360*J2360)</f>
        <v/>
      </c>
      <c r="L2360">
        <f>IF(A2360="","",IFERROR(MINIFS(Tickets[Trip Start Time],Tickets[TripKey],A2360),""))</f>
        <v/>
      </c>
    </row>
    <row r="2361">
      <c r="B2361" s="8">
        <f>IF(A2361="","",IFERROR(DATEVALUE(TEXTBEFORE(A2361,"|")),--LEFT(A2361,10)))</f>
        <v/>
      </c>
      <c r="C2361">
        <f>IF(A2361="","",TEXTBEFORE(TEXTAFTER(A2361,"|"),"|"))</f>
        <v/>
      </c>
      <c r="D2361">
        <f>IF(A2361="","",TEXTAFTER(A2361,"|",2))</f>
        <v/>
      </c>
      <c r="E2361">
        <f>IF(A2361="","",SUMIF(Tickets[TripKey],A2361,Tickets[TP]))</f>
        <v/>
      </c>
      <c r="F2361">
        <f>IF(A2361="","",SUMIF(Tickets[TripKey],A2361,Tickets[Revenue]))</f>
        <v/>
      </c>
      <c r="G2361">
        <f>IF(A2361="","",SUMIF(Tickets[TripKey],A2361,Tickets[PK]))</f>
        <v/>
      </c>
      <c r="H2361">
        <f>IF(A2361="","",IFERROR(XLOOKUP(A2361,Tickets[TripKey],Tickets[VehClean]),""))</f>
        <v/>
      </c>
      <c r="I2361">
        <f>IF(A2361="","",IFERROR(XLOOKUP(A2361,Tickets[TripKey],Tickets[RouteLen]),0))</f>
        <v/>
      </c>
      <c r="J2361">
        <f>IF(A2361="","",IFERROR(XLOOKUP(A2361,Tickets[TripKey],Tickets[Capacity]),0))</f>
        <v/>
      </c>
      <c r="K2361">
        <f>IF(A2361="","",I2361*J2361)</f>
        <v/>
      </c>
      <c r="L2361">
        <f>IF(A2361="","",IFERROR(MINIFS(Tickets[Trip Start Time],Tickets[TripKey],A2361),""))</f>
        <v/>
      </c>
    </row>
    <row r="2362">
      <c r="B2362" s="8">
        <f>IF(A2362="","",IFERROR(DATEVALUE(TEXTBEFORE(A2362,"|")),--LEFT(A2362,10)))</f>
        <v/>
      </c>
      <c r="C2362">
        <f>IF(A2362="","",TEXTBEFORE(TEXTAFTER(A2362,"|"),"|"))</f>
        <v/>
      </c>
      <c r="D2362">
        <f>IF(A2362="","",TEXTAFTER(A2362,"|",2))</f>
        <v/>
      </c>
      <c r="E2362">
        <f>IF(A2362="","",SUMIF(Tickets[TripKey],A2362,Tickets[TP]))</f>
        <v/>
      </c>
      <c r="F2362">
        <f>IF(A2362="","",SUMIF(Tickets[TripKey],A2362,Tickets[Revenue]))</f>
        <v/>
      </c>
      <c r="G2362">
        <f>IF(A2362="","",SUMIF(Tickets[TripKey],A2362,Tickets[PK]))</f>
        <v/>
      </c>
      <c r="H2362">
        <f>IF(A2362="","",IFERROR(XLOOKUP(A2362,Tickets[TripKey],Tickets[VehClean]),""))</f>
        <v/>
      </c>
      <c r="I2362">
        <f>IF(A2362="","",IFERROR(XLOOKUP(A2362,Tickets[TripKey],Tickets[RouteLen]),0))</f>
        <v/>
      </c>
      <c r="J2362">
        <f>IF(A2362="","",IFERROR(XLOOKUP(A2362,Tickets[TripKey],Tickets[Capacity]),0))</f>
        <v/>
      </c>
      <c r="K2362">
        <f>IF(A2362="","",I2362*J2362)</f>
        <v/>
      </c>
      <c r="L2362">
        <f>IF(A2362="","",IFERROR(MINIFS(Tickets[Trip Start Time],Tickets[TripKey],A2362),""))</f>
        <v/>
      </c>
    </row>
    <row r="2363">
      <c r="B2363" s="8">
        <f>IF(A2363="","",IFERROR(DATEVALUE(TEXTBEFORE(A2363,"|")),--LEFT(A2363,10)))</f>
        <v/>
      </c>
      <c r="C2363">
        <f>IF(A2363="","",TEXTBEFORE(TEXTAFTER(A2363,"|"),"|"))</f>
        <v/>
      </c>
      <c r="D2363">
        <f>IF(A2363="","",TEXTAFTER(A2363,"|",2))</f>
        <v/>
      </c>
      <c r="E2363">
        <f>IF(A2363="","",SUMIF(Tickets[TripKey],A2363,Tickets[TP]))</f>
        <v/>
      </c>
      <c r="F2363">
        <f>IF(A2363="","",SUMIF(Tickets[TripKey],A2363,Tickets[Revenue]))</f>
        <v/>
      </c>
      <c r="G2363">
        <f>IF(A2363="","",SUMIF(Tickets[TripKey],A2363,Tickets[PK]))</f>
        <v/>
      </c>
      <c r="H2363">
        <f>IF(A2363="","",IFERROR(XLOOKUP(A2363,Tickets[TripKey],Tickets[VehClean]),""))</f>
        <v/>
      </c>
      <c r="I2363">
        <f>IF(A2363="","",IFERROR(XLOOKUP(A2363,Tickets[TripKey],Tickets[RouteLen]),0))</f>
        <v/>
      </c>
      <c r="J2363">
        <f>IF(A2363="","",IFERROR(XLOOKUP(A2363,Tickets[TripKey],Tickets[Capacity]),0))</f>
        <v/>
      </c>
      <c r="K2363">
        <f>IF(A2363="","",I2363*J2363)</f>
        <v/>
      </c>
      <c r="L2363">
        <f>IF(A2363="","",IFERROR(MINIFS(Tickets[Trip Start Time],Tickets[TripKey],A2363),""))</f>
        <v/>
      </c>
    </row>
    <row r="2364">
      <c r="B2364" s="8">
        <f>IF(A2364="","",IFERROR(DATEVALUE(TEXTBEFORE(A2364,"|")),--LEFT(A2364,10)))</f>
        <v/>
      </c>
      <c r="C2364">
        <f>IF(A2364="","",TEXTBEFORE(TEXTAFTER(A2364,"|"),"|"))</f>
        <v/>
      </c>
      <c r="D2364">
        <f>IF(A2364="","",TEXTAFTER(A2364,"|",2))</f>
        <v/>
      </c>
      <c r="E2364">
        <f>IF(A2364="","",SUMIF(Tickets[TripKey],A2364,Tickets[TP]))</f>
        <v/>
      </c>
      <c r="F2364">
        <f>IF(A2364="","",SUMIF(Tickets[TripKey],A2364,Tickets[Revenue]))</f>
        <v/>
      </c>
      <c r="G2364">
        <f>IF(A2364="","",SUMIF(Tickets[TripKey],A2364,Tickets[PK]))</f>
        <v/>
      </c>
      <c r="H2364">
        <f>IF(A2364="","",IFERROR(XLOOKUP(A2364,Tickets[TripKey],Tickets[VehClean]),""))</f>
        <v/>
      </c>
      <c r="I2364">
        <f>IF(A2364="","",IFERROR(XLOOKUP(A2364,Tickets[TripKey],Tickets[RouteLen]),0))</f>
        <v/>
      </c>
      <c r="J2364">
        <f>IF(A2364="","",IFERROR(XLOOKUP(A2364,Tickets[TripKey],Tickets[Capacity]),0))</f>
        <v/>
      </c>
      <c r="K2364">
        <f>IF(A2364="","",I2364*J2364)</f>
        <v/>
      </c>
      <c r="L2364">
        <f>IF(A2364="","",IFERROR(MINIFS(Tickets[Trip Start Time],Tickets[TripKey],A2364),""))</f>
        <v/>
      </c>
    </row>
    <row r="2365">
      <c r="B2365" s="8">
        <f>IF(A2365="","",IFERROR(DATEVALUE(TEXTBEFORE(A2365,"|")),--LEFT(A2365,10)))</f>
        <v/>
      </c>
      <c r="C2365">
        <f>IF(A2365="","",TEXTBEFORE(TEXTAFTER(A2365,"|"),"|"))</f>
        <v/>
      </c>
      <c r="D2365">
        <f>IF(A2365="","",TEXTAFTER(A2365,"|",2))</f>
        <v/>
      </c>
      <c r="E2365">
        <f>IF(A2365="","",SUMIF(Tickets[TripKey],A2365,Tickets[TP]))</f>
        <v/>
      </c>
      <c r="F2365">
        <f>IF(A2365="","",SUMIF(Tickets[TripKey],A2365,Tickets[Revenue]))</f>
        <v/>
      </c>
      <c r="G2365">
        <f>IF(A2365="","",SUMIF(Tickets[TripKey],A2365,Tickets[PK]))</f>
        <v/>
      </c>
      <c r="H2365">
        <f>IF(A2365="","",IFERROR(XLOOKUP(A2365,Tickets[TripKey],Tickets[VehClean]),""))</f>
        <v/>
      </c>
      <c r="I2365">
        <f>IF(A2365="","",IFERROR(XLOOKUP(A2365,Tickets[TripKey],Tickets[RouteLen]),0))</f>
        <v/>
      </c>
      <c r="J2365">
        <f>IF(A2365="","",IFERROR(XLOOKUP(A2365,Tickets[TripKey],Tickets[Capacity]),0))</f>
        <v/>
      </c>
      <c r="K2365">
        <f>IF(A2365="","",I2365*J2365)</f>
        <v/>
      </c>
      <c r="L2365">
        <f>IF(A2365="","",IFERROR(MINIFS(Tickets[Trip Start Time],Tickets[TripKey],A2365),""))</f>
        <v/>
      </c>
    </row>
    <row r="2366">
      <c r="B2366" s="8">
        <f>IF(A2366="","",IFERROR(DATEVALUE(TEXTBEFORE(A2366,"|")),--LEFT(A2366,10)))</f>
        <v/>
      </c>
      <c r="C2366">
        <f>IF(A2366="","",TEXTBEFORE(TEXTAFTER(A2366,"|"),"|"))</f>
        <v/>
      </c>
      <c r="D2366">
        <f>IF(A2366="","",TEXTAFTER(A2366,"|",2))</f>
        <v/>
      </c>
      <c r="E2366">
        <f>IF(A2366="","",SUMIF(Tickets[TripKey],A2366,Tickets[TP]))</f>
        <v/>
      </c>
      <c r="F2366">
        <f>IF(A2366="","",SUMIF(Tickets[TripKey],A2366,Tickets[Revenue]))</f>
        <v/>
      </c>
      <c r="G2366">
        <f>IF(A2366="","",SUMIF(Tickets[TripKey],A2366,Tickets[PK]))</f>
        <v/>
      </c>
      <c r="H2366">
        <f>IF(A2366="","",IFERROR(XLOOKUP(A2366,Tickets[TripKey],Tickets[VehClean]),""))</f>
        <v/>
      </c>
      <c r="I2366">
        <f>IF(A2366="","",IFERROR(XLOOKUP(A2366,Tickets[TripKey],Tickets[RouteLen]),0))</f>
        <v/>
      </c>
      <c r="J2366">
        <f>IF(A2366="","",IFERROR(XLOOKUP(A2366,Tickets[TripKey],Tickets[Capacity]),0))</f>
        <v/>
      </c>
      <c r="K2366">
        <f>IF(A2366="","",I2366*J2366)</f>
        <v/>
      </c>
      <c r="L2366">
        <f>IF(A2366="","",IFERROR(MINIFS(Tickets[Trip Start Time],Tickets[TripKey],A2366),""))</f>
        <v/>
      </c>
    </row>
    <row r="2367">
      <c r="B2367" s="8">
        <f>IF(A2367="","",IFERROR(DATEVALUE(TEXTBEFORE(A2367,"|")),--LEFT(A2367,10)))</f>
        <v/>
      </c>
      <c r="C2367">
        <f>IF(A2367="","",TEXTBEFORE(TEXTAFTER(A2367,"|"),"|"))</f>
        <v/>
      </c>
      <c r="D2367">
        <f>IF(A2367="","",TEXTAFTER(A2367,"|",2))</f>
        <v/>
      </c>
      <c r="E2367">
        <f>IF(A2367="","",SUMIF(Tickets[TripKey],A2367,Tickets[TP]))</f>
        <v/>
      </c>
      <c r="F2367">
        <f>IF(A2367="","",SUMIF(Tickets[TripKey],A2367,Tickets[Revenue]))</f>
        <v/>
      </c>
      <c r="G2367">
        <f>IF(A2367="","",SUMIF(Tickets[TripKey],A2367,Tickets[PK]))</f>
        <v/>
      </c>
      <c r="H2367">
        <f>IF(A2367="","",IFERROR(XLOOKUP(A2367,Tickets[TripKey],Tickets[VehClean]),""))</f>
        <v/>
      </c>
      <c r="I2367">
        <f>IF(A2367="","",IFERROR(XLOOKUP(A2367,Tickets[TripKey],Tickets[RouteLen]),0))</f>
        <v/>
      </c>
      <c r="J2367">
        <f>IF(A2367="","",IFERROR(XLOOKUP(A2367,Tickets[TripKey],Tickets[Capacity]),0))</f>
        <v/>
      </c>
      <c r="K2367">
        <f>IF(A2367="","",I2367*J2367)</f>
        <v/>
      </c>
      <c r="L2367">
        <f>IF(A2367="","",IFERROR(MINIFS(Tickets[Trip Start Time],Tickets[TripKey],A2367),""))</f>
        <v/>
      </c>
    </row>
    <row r="2368">
      <c r="B2368" s="8">
        <f>IF(A2368="","",IFERROR(DATEVALUE(TEXTBEFORE(A2368,"|")),--LEFT(A2368,10)))</f>
        <v/>
      </c>
      <c r="C2368">
        <f>IF(A2368="","",TEXTBEFORE(TEXTAFTER(A2368,"|"),"|"))</f>
        <v/>
      </c>
      <c r="D2368">
        <f>IF(A2368="","",TEXTAFTER(A2368,"|",2))</f>
        <v/>
      </c>
      <c r="E2368">
        <f>IF(A2368="","",SUMIF(Tickets[TripKey],A2368,Tickets[TP]))</f>
        <v/>
      </c>
      <c r="F2368">
        <f>IF(A2368="","",SUMIF(Tickets[TripKey],A2368,Tickets[Revenue]))</f>
        <v/>
      </c>
      <c r="G2368">
        <f>IF(A2368="","",SUMIF(Tickets[TripKey],A2368,Tickets[PK]))</f>
        <v/>
      </c>
      <c r="H2368">
        <f>IF(A2368="","",IFERROR(XLOOKUP(A2368,Tickets[TripKey],Tickets[VehClean]),""))</f>
        <v/>
      </c>
      <c r="I2368">
        <f>IF(A2368="","",IFERROR(XLOOKUP(A2368,Tickets[TripKey],Tickets[RouteLen]),0))</f>
        <v/>
      </c>
      <c r="J2368">
        <f>IF(A2368="","",IFERROR(XLOOKUP(A2368,Tickets[TripKey],Tickets[Capacity]),0))</f>
        <v/>
      </c>
      <c r="K2368">
        <f>IF(A2368="","",I2368*J2368)</f>
        <v/>
      </c>
      <c r="L2368">
        <f>IF(A2368="","",IFERROR(MINIFS(Tickets[Trip Start Time],Tickets[TripKey],A2368),""))</f>
        <v/>
      </c>
    </row>
    <row r="2369">
      <c r="B2369" s="8">
        <f>IF(A2369="","",IFERROR(DATEVALUE(TEXTBEFORE(A2369,"|")),--LEFT(A2369,10)))</f>
        <v/>
      </c>
      <c r="C2369">
        <f>IF(A2369="","",TEXTBEFORE(TEXTAFTER(A2369,"|"),"|"))</f>
        <v/>
      </c>
      <c r="D2369">
        <f>IF(A2369="","",TEXTAFTER(A2369,"|",2))</f>
        <v/>
      </c>
      <c r="E2369">
        <f>IF(A2369="","",SUMIF(Tickets[TripKey],A2369,Tickets[TP]))</f>
        <v/>
      </c>
      <c r="F2369">
        <f>IF(A2369="","",SUMIF(Tickets[TripKey],A2369,Tickets[Revenue]))</f>
        <v/>
      </c>
      <c r="G2369">
        <f>IF(A2369="","",SUMIF(Tickets[TripKey],A2369,Tickets[PK]))</f>
        <v/>
      </c>
      <c r="H2369">
        <f>IF(A2369="","",IFERROR(XLOOKUP(A2369,Tickets[TripKey],Tickets[VehClean]),""))</f>
        <v/>
      </c>
      <c r="I2369">
        <f>IF(A2369="","",IFERROR(XLOOKUP(A2369,Tickets[TripKey],Tickets[RouteLen]),0))</f>
        <v/>
      </c>
      <c r="J2369">
        <f>IF(A2369="","",IFERROR(XLOOKUP(A2369,Tickets[TripKey],Tickets[Capacity]),0))</f>
        <v/>
      </c>
      <c r="K2369">
        <f>IF(A2369="","",I2369*J2369)</f>
        <v/>
      </c>
      <c r="L2369">
        <f>IF(A2369="","",IFERROR(MINIFS(Tickets[Trip Start Time],Tickets[TripKey],A2369),""))</f>
        <v/>
      </c>
    </row>
    <row r="2370">
      <c r="B2370" s="8">
        <f>IF(A2370="","",IFERROR(DATEVALUE(TEXTBEFORE(A2370,"|")),--LEFT(A2370,10)))</f>
        <v/>
      </c>
      <c r="C2370">
        <f>IF(A2370="","",TEXTBEFORE(TEXTAFTER(A2370,"|"),"|"))</f>
        <v/>
      </c>
      <c r="D2370">
        <f>IF(A2370="","",TEXTAFTER(A2370,"|",2))</f>
        <v/>
      </c>
      <c r="E2370">
        <f>IF(A2370="","",SUMIF(Tickets[TripKey],A2370,Tickets[TP]))</f>
        <v/>
      </c>
      <c r="F2370">
        <f>IF(A2370="","",SUMIF(Tickets[TripKey],A2370,Tickets[Revenue]))</f>
        <v/>
      </c>
      <c r="G2370">
        <f>IF(A2370="","",SUMIF(Tickets[TripKey],A2370,Tickets[PK]))</f>
        <v/>
      </c>
      <c r="H2370">
        <f>IF(A2370="","",IFERROR(XLOOKUP(A2370,Tickets[TripKey],Tickets[VehClean]),""))</f>
        <v/>
      </c>
      <c r="I2370">
        <f>IF(A2370="","",IFERROR(XLOOKUP(A2370,Tickets[TripKey],Tickets[RouteLen]),0))</f>
        <v/>
      </c>
      <c r="J2370">
        <f>IF(A2370="","",IFERROR(XLOOKUP(A2370,Tickets[TripKey],Tickets[Capacity]),0))</f>
        <v/>
      </c>
      <c r="K2370">
        <f>IF(A2370="","",I2370*J2370)</f>
        <v/>
      </c>
      <c r="L2370">
        <f>IF(A2370="","",IFERROR(MINIFS(Tickets[Trip Start Time],Tickets[TripKey],A2370),""))</f>
        <v/>
      </c>
    </row>
    <row r="2371">
      <c r="B2371" s="8">
        <f>IF(A2371="","",IFERROR(DATEVALUE(TEXTBEFORE(A2371,"|")),--LEFT(A2371,10)))</f>
        <v/>
      </c>
      <c r="C2371">
        <f>IF(A2371="","",TEXTBEFORE(TEXTAFTER(A2371,"|"),"|"))</f>
        <v/>
      </c>
      <c r="D2371">
        <f>IF(A2371="","",TEXTAFTER(A2371,"|",2))</f>
        <v/>
      </c>
      <c r="E2371">
        <f>IF(A2371="","",SUMIF(Tickets[TripKey],A2371,Tickets[TP]))</f>
        <v/>
      </c>
      <c r="F2371">
        <f>IF(A2371="","",SUMIF(Tickets[TripKey],A2371,Tickets[Revenue]))</f>
        <v/>
      </c>
      <c r="G2371">
        <f>IF(A2371="","",SUMIF(Tickets[TripKey],A2371,Tickets[PK]))</f>
        <v/>
      </c>
      <c r="H2371">
        <f>IF(A2371="","",IFERROR(XLOOKUP(A2371,Tickets[TripKey],Tickets[VehClean]),""))</f>
        <v/>
      </c>
      <c r="I2371">
        <f>IF(A2371="","",IFERROR(XLOOKUP(A2371,Tickets[TripKey],Tickets[RouteLen]),0))</f>
        <v/>
      </c>
      <c r="J2371">
        <f>IF(A2371="","",IFERROR(XLOOKUP(A2371,Tickets[TripKey],Tickets[Capacity]),0))</f>
        <v/>
      </c>
      <c r="K2371">
        <f>IF(A2371="","",I2371*J2371)</f>
        <v/>
      </c>
      <c r="L2371">
        <f>IF(A2371="","",IFERROR(MINIFS(Tickets[Trip Start Time],Tickets[TripKey],A2371),""))</f>
        <v/>
      </c>
    </row>
    <row r="2372">
      <c r="B2372" s="8">
        <f>IF(A2372="","",IFERROR(DATEVALUE(TEXTBEFORE(A2372,"|")),--LEFT(A2372,10)))</f>
        <v/>
      </c>
      <c r="C2372">
        <f>IF(A2372="","",TEXTBEFORE(TEXTAFTER(A2372,"|"),"|"))</f>
        <v/>
      </c>
      <c r="D2372">
        <f>IF(A2372="","",TEXTAFTER(A2372,"|",2))</f>
        <v/>
      </c>
      <c r="E2372">
        <f>IF(A2372="","",SUMIF(Tickets[TripKey],A2372,Tickets[TP]))</f>
        <v/>
      </c>
      <c r="F2372">
        <f>IF(A2372="","",SUMIF(Tickets[TripKey],A2372,Tickets[Revenue]))</f>
        <v/>
      </c>
      <c r="G2372">
        <f>IF(A2372="","",SUMIF(Tickets[TripKey],A2372,Tickets[PK]))</f>
        <v/>
      </c>
      <c r="H2372">
        <f>IF(A2372="","",IFERROR(XLOOKUP(A2372,Tickets[TripKey],Tickets[VehClean]),""))</f>
        <v/>
      </c>
      <c r="I2372">
        <f>IF(A2372="","",IFERROR(XLOOKUP(A2372,Tickets[TripKey],Tickets[RouteLen]),0))</f>
        <v/>
      </c>
      <c r="J2372">
        <f>IF(A2372="","",IFERROR(XLOOKUP(A2372,Tickets[TripKey],Tickets[Capacity]),0))</f>
        <v/>
      </c>
      <c r="K2372">
        <f>IF(A2372="","",I2372*J2372)</f>
        <v/>
      </c>
      <c r="L2372">
        <f>IF(A2372="","",IFERROR(MINIFS(Tickets[Trip Start Time],Tickets[TripKey],A2372),""))</f>
        <v/>
      </c>
    </row>
    <row r="2373">
      <c r="B2373" s="8">
        <f>IF(A2373="","",IFERROR(DATEVALUE(TEXTBEFORE(A2373,"|")),--LEFT(A2373,10)))</f>
        <v/>
      </c>
      <c r="C2373">
        <f>IF(A2373="","",TEXTBEFORE(TEXTAFTER(A2373,"|"),"|"))</f>
        <v/>
      </c>
      <c r="D2373">
        <f>IF(A2373="","",TEXTAFTER(A2373,"|",2))</f>
        <v/>
      </c>
      <c r="E2373">
        <f>IF(A2373="","",SUMIF(Tickets[TripKey],A2373,Tickets[TP]))</f>
        <v/>
      </c>
      <c r="F2373">
        <f>IF(A2373="","",SUMIF(Tickets[TripKey],A2373,Tickets[Revenue]))</f>
        <v/>
      </c>
      <c r="G2373">
        <f>IF(A2373="","",SUMIF(Tickets[TripKey],A2373,Tickets[PK]))</f>
        <v/>
      </c>
      <c r="H2373">
        <f>IF(A2373="","",IFERROR(XLOOKUP(A2373,Tickets[TripKey],Tickets[VehClean]),""))</f>
        <v/>
      </c>
      <c r="I2373">
        <f>IF(A2373="","",IFERROR(XLOOKUP(A2373,Tickets[TripKey],Tickets[RouteLen]),0))</f>
        <v/>
      </c>
      <c r="J2373">
        <f>IF(A2373="","",IFERROR(XLOOKUP(A2373,Tickets[TripKey],Tickets[Capacity]),0))</f>
        <v/>
      </c>
      <c r="K2373">
        <f>IF(A2373="","",I2373*J2373)</f>
        <v/>
      </c>
      <c r="L2373">
        <f>IF(A2373="","",IFERROR(MINIFS(Tickets[Trip Start Time],Tickets[TripKey],A2373),""))</f>
        <v/>
      </c>
    </row>
    <row r="2374">
      <c r="B2374" s="8">
        <f>IF(A2374="","",IFERROR(DATEVALUE(TEXTBEFORE(A2374,"|")),--LEFT(A2374,10)))</f>
        <v/>
      </c>
      <c r="C2374">
        <f>IF(A2374="","",TEXTBEFORE(TEXTAFTER(A2374,"|"),"|"))</f>
        <v/>
      </c>
      <c r="D2374">
        <f>IF(A2374="","",TEXTAFTER(A2374,"|",2))</f>
        <v/>
      </c>
      <c r="E2374">
        <f>IF(A2374="","",SUMIF(Tickets[TripKey],A2374,Tickets[TP]))</f>
        <v/>
      </c>
      <c r="F2374">
        <f>IF(A2374="","",SUMIF(Tickets[TripKey],A2374,Tickets[Revenue]))</f>
        <v/>
      </c>
      <c r="G2374">
        <f>IF(A2374="","",SUMIF(Tickets[TripKey],A2374,Tickets[PK]))</f>
        <v/>
      </c>
      <c r="H2374">
        <f>IF(A2374="","",IFERROR(XLOOKUP(A2374,Tickets[TripKey],Tickets[VehClean]),""))</f>
        <v/>
      </c>
      <c r="I2374">
        <f>IF(A2374="","",IFERROR(XLOOKUP(A2374,Tickets[TripKey],Tickets[RouteLen]),0))</f>
        <v/>
      </c>
      <c r="J2374">
        <f>IF(A2374="","",IFERROR(XLOOKUP(A2374,Tickets[TripKey],Tickets[Capacity]),0))</f>
        <v/>
      </c>
      <c r="K2374">
        <f>IF(A2374="","",I2374*J2374)</f>
        <v/>
      </c>
      <c r="L2374">
        <f>IF(A2374="","",IFERROR(MINIFS(Tickets[Trip Start Time],Tickets[TripKey],A2374),""))</f>
        <v/>
      </c>
    </row>
    <row r="2375">
      <c r="B2375" s="8">
        <f>IF(A2375="","",IFERROR(DATEVALUE(TEXTBEFORE(A2375,"|")),--LEFT(A2375,10)))</f>
        <v/>
      </c>
      <c r="C2375">
        <f>IF(A2375="","",TEXTBEFORE(TEXTAFTER(A2375,"|"),"|"))</f>
        <v/>
      </c>
      <c r="D2375">
        <f>IF(A2375="","",TEXTAFTER(A2375,"|",2))</f>
        <v/>
      </c>
      <c r="E2375">
        <f>IF(A2375="","",SUMIF(Tickets[TripKey],A2375,Tickets[TP]))</f>
        <v/>
      </c>
      <c r="F2375">
        <f>IF(A2375="","",SUMIF(Tickets[TripKey],A2375,Tickets[Revenue]))</f>
        <v/>
      </c>
      <c r="G2375">
        <f>IF(A2375="","",SUMIF(Tickets[TripKey],A2375,Tickets[PK]))</f>
        <v/>
      </c>
      <c r="H2375">
        <f>IF(A2375="","",IFERROR(XLOOKUP(A2375,Tickets[TripKey],Tickets[VehClean]),""))</f>
        <v/>
      </c>
      <c r="I2375">
        <f>IF(A2375="","",IFERROR(XLOOKUP(A2375,Tickets[TripKey],Tickets[RouteLen]),0))</f>
        <v/>
      </c>
      <c r="J2375">
        <f>IF(A2375="","",IFERROR(XLOOKUP(A2375,Tickets[TripKey],Tickets[Capacity]),0))</f>
        <v/>
      </c>
      <c r="K2375">
        <f>IF(A2375="","",I2375*J2375)</f>
        <v/>
      </c>
      <c r="L2375">
        <f>IF(A2375="","",IFERROR(MINIFS(Tickets[Trip Start Time],Tickets[TripKey],A2375),""))</f>
        <v/>
      </c>
    </row>
    <row r="2376">
      <c r="B2376" s="8">
        <f>IF(A2376="","",IFERROR(DATEVALUE(TEXTBEFORE(A2376,"|")),--LEFT(A2376,10)))</f>
        <v/>
      </c>
      <c r="C2376">
        <f>IF(A2376="","",TEXTBEFORE(TEXTAFTER(A2376,"|"),"|"))</f>
        <v/>
      </c>
      <c r="D2376">
        <f>IF(A2376="","",TEXTAFTER(A2376,"|",2))</f>
        <v/>
      </c>
      <c r="E2376">
        <f>IF(A2376="","",SUMIF(Tickets[TripKey],A2376,Tickets[TP]))</f>
        <v/>
      </c>
      <c r="F2376">
        <f>IF(A2376="","",SUMIF(Tickets[TripKey],A2376,Tickets[Revenue]))</f>
        <v/>
      </c>
      <c r="G2376">
        <f>IF(A2376="","",SUMIF(Tickets[TripKey],A2376,Tickets[PK]))</f>
        <v/>
      </c>
      <c r="H2376">
        <f>IF(A2376="","",IFERROR(XLOOKUP(A2376,Tickets[TripKey],Tickets[VehClean]),""))</f>
        <v/>
      </c>
      <c r="I2376">
        <f>IF(A2376="","",IFERROR(XLOOKUP(A2376,Tickets[TripKey],Tickets[RouteLen]),0))</f>
        <v/>
      </c>
      <c r="J2376">
        <f>IF(A2376="","",IFERROR(XLOOKUP(A2376,Tickets[TripKey],Tickets[Capacity]),0))</f>
        <v/>
      </c>
      <c r="K2376">
        <f>IF(A2376="","",I2376*J2376)</f>
        <v/>
      </c>
      <c r="L2376">
        <f>IF(A2376="","",IFERROR(MINIFS(Tickets[Trip Start Time],Tickets[TripKey],A2376),""))</f>
        <v/>
      </c>
    </row>
    <row r="2377">
      <c r="B2377" s="8">
        <f>IF(A2377="","",IFERROR(DATEVALUE(TEXTBEFORE(A2377,"|")),--LEFT(A2377,10)))</f>
        <v/>
      </c>
      <c r="C2377">
        <f>IF(A2377="","",TEXTBEFORE(TEXTAFTER(A2377,"|"),"|"))</f>
        <v/>
      </c>
      <c r="D2377">
        <f>IF(A2377="","",TEXTAFTER(A2377,"|",2))</f>
        <v/>
      </c>
      <c r="E2377">
        <f>IF(A2377="","",SUMIF(Tickets[TripKey],A2377,Tickets[TP]))</f>
        <v/>
      </c>
      <c r="F2377">
        <f>IF(A2377="","",SUMIF(Tickets[TripKey],A2377,Tickets[Revenue]))</f>
        <v/>
      </c>
      <c r="G2377">
        <f>IF(A2377="","",SUMIF(Tickets[TripKey],A2377,Tickets[PK]))</f>
        <v/>
      </c>
      <c r="H2377">
        <f>IF(A2377="","",IFERROR(XLOOKUP(A2377,Tickets[TripKey],Tickets[VehClean]),""))</f>
        <v/>
      </c>
      <c r="I2377">
        <f>IF(A2377="","",IFERROR(XLOOKUP(A2377,Tickets[TripKey],Tickets[RouteLen]),0))</f>
        <v/>
      </c>
      <c r="J2377">
        <f>IF(A2377="","",IFERROR(XLOOKUP(A2377,Tickets[TripKey],Tickets[Capacity]),0))</f>
        <v/>
      </c>
      <c r="K2377">
        <f>IF(A2377="","",I2377*J2377)</f>
        <v/>
      </c>
      <c r="L2377">
        <f>IF(A2377="","",IFERROR(MINIFS(Tickets[Trip Start Time],Tickets[TripKey],A2377),""))</f>
        <v/>
      </c>
    </row>
    <row r="2378">
      <c r="B2378" s="8">
        <f>IF(A2378="","",IFERROR(DATEVALUE(TEXTBEFORE(A2378,"|")),--LEFT(A2378,10)))</f>
        <v/>
      </c>
      <c r="C2378">
        <f>IF(A2378="","",TEXTBEFORE(TEXTAFTER(A2378,"|"),"|"))</f>
        <v/>
      </c>
      <c r="D2378">
        <f>IF(A2378="","",TEXTAFTER(A2378,"|",2))</f>
        <v/>
      </c>
      <c r="E2378">
        <f>IF(A2378="","",SUMIF(Tickets[TripKey],A2378,Tickets[TP]))</f>
        <v/>
      </c>
      <c r="F2378">
        <f>IF(A2378="","",SUMIF(Tickets[TripKey],A2378,Tickets[Revenue]))</f>
        <v/>
      </c>
      <c r="G2378">
        <f>IF(A2378="","",SUMIF(Tickets[TripKey],A2378,Tickets[PK]))</f>
        <v/>
      </c>
      <c r="H2378">
        <f>IF(A2378="","",IFERROR(XLOOKUP(A2378,Tickets[TripKey],Tickets[VehClean]),""))</f>
        <v/>
      </c>
      <c r="I2378">
        <f>IF(A2378="","",IFERROR(XLOOKUP(A2378,Tickets[TripKey],Tickets[RouteLen]),0))</f>
        <v/>
      </c>
      <c r="J2378">
        <f>IF(A2378="","",IFERROR(XLOOKUP(A2378,Tickets[TripKey],Tickets[Capacity]),0))</f>
        <v/>
      </c>
      <c r="K2378">
        <f>IF(A2378="","",I2378*J2378)</f>
        <v/>
      </c>
      <c r="L2378">
        <f>IF(A2378="","",IFERROR(MINIFS(Tickets[Trip Start Time],Tickets[TripKey],A2378),""))</f>
        <v/>
      </c>
    </row>
    <row r="2379">
      <c r="B2379" s="8">
        <f>IF(A2379="","",IFERROR(DATEVALUE(TEXTBEFORE(A2379,"|")),--LEFT(A2379,10)))</f>
        <v/>
      </c>
      <c r="C2379">
        <f>IF(A2379="","",TEXTBEFORE(TEXTAFTER(A2379,"|"),"|"))</f>
        <v/>
      </c>
      <c r="D2379">
        <f>IF(A2379="","",TEXTAFTER(A2379,"|",2))</f>
        <v/>
      </c>
      <c r="E2379">
        <f>IF(A2379="","",SUMIF(Tickets[TripKey],A2379,Tickets[TP]))</f>
        <v/>
      </c>
      <c r="F2379">
        <f>IF(A2379="","",SUMIF(Tickets[TripKey],A2379,Tickets[Revenue]))</f>
        <v/>
      </c>
      <c r="G2379">
        <f>IF(A2379="","",SUMIF(Tickets[TripKey],A2379,Tickets[PK]))</f>
        <v/>
      </c>
      <c r="H2379">
        <f>IF(A2379="","",IFERROR(XLOOKUP(A2379,Tickets[TripKey],Tickets[VehClean]),""))</f>
        <v/>
      </c>
      <c r="I2379">
        <f>IF(A2379="","",IFERROR(XLOOKUP(A2379,Tickets[TripKey],Tickets[RouteLen]),0))</f>
        <v/>
      </c>
      <c r="J2379">
        <f>IF(A2379="","",IFERROR(XLOOKUP(A2379,Tickets[TripKey],Tickets[Capacity]),0))</f>
        <v/>
      </c>
      <c r="K2379">
        <f>IF(A2379="","",I2379*J2379)</f>
        <v/>
      </c>
      <c r="L2379">
        <f>IF(A2379="","",IFERROR(MINIFS(Tickets[Trip Start Time],Tickets[TripKey],A2379),""))</f>
        <v/>
      </c>
    </row>
    <row r="2380">
      <c r="B2380" s="8">
        <f>IF(A2380="","",IFERROR(DATEVALUE(TEXTBEFORE(A2380,"|")),--LEFT(A2380,10)))</f>
        <v/>
      </c>
      <c r="C2380">
        <f>IF(A2380="","",TEXTBEFORE(TEXTAFTER(A2380,"|"),"|"))</f>
        <v/>
      </c>
      <c r="D2380">
        <f>IF(A2380="","",TEXTAFTER(A2380,"|",2))</f>
        <v/>
      </c>
      <c r="E2380">
        <f>IF(A2380="","",SUMIF(Tickets[TripKey],A2380,Tickets[TP]))</f>
        <v/>
      </c>
      <c r="F2380">
        <f>IF(A2380="","",SUMIF(Tickets[TripKey],A2380,Tickets[Revenue]))</f>
        <v/>
      </c>
      <c r="G2380">
        <f>IF(A2380="","",SUMIF(Tickets[TripKey],A2380,Tickets[PK]))</f>
        <v/>
      </c>
      <c r="H2380">
        <f>IF(A2380="","",IFERROR(XLOOKUP(A2380,Tickets[TripKey],Tickets[VehClean]),""))</f>
        <v/>
      </c>
      <c r="I2380">
        <f>IF(A2380="","",IFERROR(XLOOKUP(A2380,Tickets[TripKey],Tickets[RouteLen]),0))</f>
        <v/>
      </c>
      <c r="J2380">
        <f>IF(A2380="","",IFERROR(XLOOKUP(A2380,Tickets[TripKey],Tickets[Capacity]),0))</f>
        <v/>
      </c>
      <c r="K2380">
        <f>IF(A2380="","",I2380*J2380)</f>
        <v/>
      </c>
      <c r="L2380">
        <f>IF(A2380="","",IFERROR(MINIFS(Tickets[Trip Start Time],Tickets[TripKey],A2380),""))</f>
        <v/>
      </c>
    </row>
    <row r="2381">
      <c r="B2381" s="8">
        <f>IF(A2381="","",IFERROR(DATEVALUE(TEXTBEFORE(A2381,"|")),--LEFT(A2381,10)))</f>
        <v/>
      </c>
      <c r="C2381">
        <f>IF(A2381="","",TEXTBEFORE(TEXTAFTER(A2381,"|"),"|"))</f>
        <v/>
      </c>
      <c r="D2381">
        <f>IF(A2381="","",TEXTAFTER(A2381,"|",2))</f>
        <v/>
      </c>
      <c r="E2381">
        <f>IF(A2381="","",SUMIF(Tickets[TripKey],A2381,Tickets[TP]))</f>
        <v/>
      </c>
      <c r="F2381">
        <f>IF(A2381="","",SUMIF(Tickets[TripKey],A2381,Tickets[Revenue]))</f>
        <v/>
      </c>
      <c r="G2381">
        <f>IF(A2381="","",SUMIF(Tickets[TripKey],A2381,Tickets[PK]))</f>
        <v/>
      </c>
      <c r="H2381">
        <f>IF(A2381="","",IFERROR(XLOOKUP(A2381,Tickets[TripKey],Tickets[VehClean]),""))</f>
        <v/>
      </c>
      <c r="I2381">
        <f>IF(A2381="","",IFERROR(XLOOKUP(A2381,Tickets[TripKey],Tickets[RouteLen]),0))</f>
        <v/>
      </c>
      <c r="J2381">
        <f>IF(A2381="","",IFERROR(XLOOKUP(A2381,Tickets[TripKey],Tickets[Capacity]),0))</f>
        <v/>
      </c>
      <c r="K2381">
        <f>IF(A2381="","",I2381*J2381)</f>
        <v/>
      </c>
      <c r="L2381">
        <f>IF(A2381="","",IFERROR(MINIFS(Tickets[Trip Start Time],Tickets[TripKey],A2381),""))</f>
        <v/>
      </c>
    </row>
    <row r="2382">
      <c r="B2382" s="8">
        <f>IF(A2382="","",IFERROR(DATEVALUE(TEXTBEFORE(A2382,"|")),--LEFT(A2382,10)))</f>
        <v/>
      </c>
      <c r="C2382">
        <f>IF(A2382="","",TEXTBEFORE(TEXTAFTER(A2382,"|"),"|"))</f>
        <v/>
      </c>
      <c r="D2382">
        <f>IF(A2382="","",TEXTAFTER(A2382,"|",2))</f>
        <v/>
      </c>
      <c r="E2382">
        <f>IF(A2382="","",SUMIF(Tickets[TripKey],A2382,Tickets[TP]))</f>
        <v/>
      </c>
      <c r="F2382">
        <f>IF(A2382="","",SUMIF(Tickets[TripKey],A2382,Tickets[Revenue]))</f>
        <v/>
      </c>
      <c r="G2382">
        <f>IF(A2382="","",SUMIF(Tickets[TripKey],A2382,Tickets[PK]))</f>
        <v/>
      </c>
      <c r="H2382">
        <f>IF(A2382="","",IFERROR(XLOOKUP(A2382,Tickets[TripKey],Tickets[VehClean]),""))</f>
        <v/>
      </c>
      <c r="I2382">
        <f>IF(A2382="","",IFERROR(XLOOKUP(A2382,Tickets[TripKey],Tickets[RouteLen]),0))</f>
        <v/>
      </c>
      <c r="J2382">
        <f>IF(A2382="","",IFERROR(XLOOKUP(A2382,Tickets[TripKey],Tickets[Capacity]),0))</f>
        <v/>
      </c>
      <c r="K2382">
        <f>IF(A2382="","",I2382*J2382)</f>
        <v/>
      </c>
      <c r="L2382">
        <f>IF(A2382="","",IFERROR(MINIFS(Tickets[Trip Start Time],Tickets[TripKey],A2382),""))</f>
        <v/>
      </c>
    </row>
    <row r="2383">
      <c r="B2383" s="8">
        <f>IF(A2383="","",IFERROR(DATEVALUE(TEXTBEFORE(A2383,"|")),--LEFT(A2383,10)))</f>
        <v/>
      </c>
      <c r="C2383">
        <f>IF(A2383="","",TEXTBEFORE(TEXTAFTER(A2383,"|"),"|"))</f>
        <v/>
      </c>
      <c r="D2383">
        <f>IF(A2383="","",TEXTAFTER(A2383,"|",2))</f>
        <v/>
      </c>
      <c r="E2383">
        <f>IF(A2383="","",SUMIF(Tickets[TripKey],A2383,Tickets[TP]))</f>
        <v/>
      </c>
      <c r="F2383">
        <f>IF(A2383="","",SUMIF(Tickets[TripKey],A2383,Tickets[Revenue]))</f>
        <v/>
      </c>
      <c r="G2383">
        <f>IF(A2383="","",SUMIF(Tickets[TripKey],A2383,Tickets[PK]))</f>
        <v/>
      </c>
      <c r="H2383">
        <f>IF(A2383="","",IFERROR(XLOOKUP(A2383,Tickets[TripKey],Tickets[VehClean]),""))</f>
        <v/>
      </c>
      <c r="I2383">
        <f>IF(A2383="","",IFERROR(XLOOKUP(A2383,Tickets[TripKey],Tickets[RouteLen]),0))</f>
        <v/>
      </c>
      <c r="J2383">
        <f>IF(A2383="","",IFERROR(XLOOKUP(A2383,Tickets[TripKey],Tickets[Capacity]),0))</f>
        <v/>
      </c>
      <c r="K2383">
        <f>IF(A2383="","",I2383*J2383)</f>
        <v/>
      </c>
      <c r="L2383">
        <f>IF(A2383="","",IFERROR(MINIFS(Tickets[Trip Start Time],Tickets[TripKey],A2383),""))</f>
        <v/>
      </c>
    </row>
    <row r="2384">
      <c r="B2384" s="8">
        <f>IF(A2384="","",IFERROR(DATEVALUE(TEXTBEFORE(A2384,"|")),--LEFT(A2384,10)))</f>
        <v/>
      </c>
      <c r="C2384">
        <f>IF(A2384="","",TEXTBEFORE(TEXTAFTER(A2384,"|"),"|"))</f>
        <v/>
      </c>
      <c r="D2384">
        <f>IF(A2384="","",TEXTAFTER(A2384,"|",2))</f>
        <v/>
      </c>
      <c r="E2384">
        <f>IF(A2384="","",SUMIF(Tickets[TripKey],A2384,Tickets[TP]))</f>
        <v/>
      </c>
      <c r="F2384">
        <f>IF(A2384="","",SUMIF(Tickets[TripKey],A2384,Tickets[Revenue]))</f>
        <v/>
      </c>
      <c r="G2384">
        <f>IF(A2384="","",SUMIF(Tickets[TripKey],A2384,Tickets[PK]))</f>
        <v/>
      </c>
      <c r="H2384">
        <f>IF(A2384="","",IFERROR(XLOOKUP(A2384,Tickets[TripKey],Tickets[VehClean]),""))</f>
        <v/>
      </c>
      <c r="I2384">
        <f>IF(A2384="","",IFERROR(XLOOKUP(A2384,Tickets[TripKey],Tickets[RouteLen]),0))</f>
        <v/>
      </c>
      <c r="J2384">
        <f>IF(A2384="","",IFERROR(XLOOKUP(A2384,Tickets[TripKey],Tickets[Capacity]),0))</f>
        <v/>
      </c>
      <c r="K2384">
        <f>IF(A2384="","",I2384*J2384)</f>
        <v/>
      </c>
      <c r="L2384">
        <f>IF(A2384="","",IFERROR(MINIFS(Tickets[Trip Start Time],Tickets[TripKey],A2384),""))</f>
        <v/>
      </c>
    </row>
    <row r="2385">
      <c r="B2385" s="8">
        <f>IF(A2385="","",IFERROR(DATEVALUE(TEXTBEFORE(A2385,"|")),--LEFT(A2385,10)))</f>
        <v/>
      </c>
      <c r="C2385">
        <f>IF(A2385="","",TEXTBEFORE(TEXTAFTER(A2385,"|"),"|"))</f>
        <v/>
      </c>
      <c r="D2385">
        <f>IF(A2385="","",TEXTAFTER(A2385,"|",2))</f>
        <v/>
      </c>
      <c r="E2385">
        <f>IF(A2385="","",SUMIF(Tickets[TripKey],A2385,Tickets[TP]))</f>
        <v/>
      </c>
      <c r="F2385">
        <f>IF(A2385="","",SUMIF(Tickets[TripKey],A2385,Tickets[Revenue]))</f>
        <v/>
      </c>
      <c r="G2385">
        <f>IF(A2385="","",SUMIF(Tickets[TripKey],A2385,Tickets[PK]))</f>
        <v/>
      </c>
      <c r="H2385">
        <f>IF(A2385="","",IFERROR(XLOOKUP(A2385,Tickets[TripKey],Tickets[VehClean]),""))</f>
        <v/>
      </c>
      <c r="I2385">
        <f>IF(A2385="","",IFERROR(XLOOKUP(A2385,Tickets[TripKey],Tickets[RouteLen]),0))</f>
        <v/>
      </c>
      <c r="J2385">
        <f>IF(A2385="","",IFERROR(XLOOKUP(A2385,Tickets[TripKey],Tickets[Capacity]),0))</f>
        <v/>
      </c>
      <c r="K2385">
        <f>IF(A2385="","",I2385*J2385)</f>
        <v/>
      </c>
      <c r="L2385">
        <f>IF(A2385="","",IFERROR(MINIFS(Tickets[Trip Start Time],Tickets[TripKey],A2385),""))</f>
        <v/>
      </c>
    </row>
    <row r="2386">
      <c r="B2386" s="8">
        <f>IF(A2386="","",IFERROR(DATEVALUE(TEXTBEFORE(A2386,"|")),--LEFT(A2386,10)))</f>
        <v/>
      </c>
      <c r="C2386">
        <f>IF(A2386="","",TEXTBEFORE(TEXTAFTER(A2386,"|"),"|"))</f>
        <v/>
      </c>
      <c r="D2386">
        <f>IF(A2386="","",TEXTAFTER(A2386,"|",2))</f>
        <v/>
      </c>
      <c r="E2386">
        <f>IF(A2386="","",SUMIF(Tickets[TripKey],A2386,Tickets[TP]))</f>
        <v/>
      </c>
      <c r="F2386">
        <f>IF(A2386="","",SUMIF(Tickets[TripKey],A2386,Tickets[Revenue]))</f>
        <v/>
      </c>
      <c r="G2386">
        <f>IF(A2386="","",SUMIF(Tickets[TripKey],A2386,Tickets[PK]))</f>
        <v/>
      </c>
      <c r="H2386">
        <f>IF(A2386="","",IFERROR(XLOOKUP(A2386,Tickets[TripKey],Tickets[VehClean]),""))</f>
        <v/>
      </c>
      <c r="I2386">
        <f>IF(A2386="","",IFERROR(XLOOKUP(A2386,Tickets[TripKey],Tickets[RouteLen]),0))</f>
        <v/>
      </c>
      <c r="J2386">
        <f>IF(A2386="","",IFERROR(XLOOKUP(A2386,Tickets[TripKey],Tickets[Capacity]),0))</f>
        <v/>
      </c>
      <c r="K2386">
        <f>IF(A2386="","",I2386*J2386)</f>
        <v/>
      </c>
      <c r="L2386">
        <f>IF(A2386="","",IFERROR(MINIFS(Tickets[Trip Start Time],Tickets[TripKey],A2386),""))</f>
        <v/>
      </c>
    </row>
    <row r="2387">
      <c r="B2387" s="8">
        <f>IF(A2387="","",IFERROR(DATEVALUE(TEXTBEFORE(A2387,"|")),--LEFT(A2387,10)))</f>
        <v/>
      </c>
      <c r="C2387">
        <f>IF(A2387="","",TEXTBEFORE(TEXTAFTER(A2387,"|"),"|"))</f>
        <v/>
      </c>
      <c r="D2387">
        <f>IF(A2387="","",TEXTAFTER(A2387,"|",2))</f>
        <v/>
      </c>
      <c r="E2387">
        <f>IF(A2387="","",SUMIF(Tickets[TripKey],A2387,Tickets[TP]))</f>
        <v/>
      </c>
      <c r="F2387">
        <f>IF(A2387="","",SUMIF(Tickets[TripKey],A2387,Tickets[Revenue]))</f>
        <v/>
      </c>
      <c r="G2387">
        <f>IF(A2387="","",SUMIF(Tickets[TripKey],A2387,Tickets[PK]))</f>
        <v/>
      </c>
      <c r="H2387">
        <f>IF(A2387="","",IFERROR(XLOOKUP(A2387,Tickets[TripKey],Tickets[VehClean]),""))</f>
        <v/>
      </c>
      <c r="I2387">
        <f>IF(A2387="","",IFERROR(XLOOKUP(A2387,Tickets[TripKey],Tickets[RouteLen]),0))</f>
        <v/>
      </c>
      <c r="J2387">
        <f>IF(A2387="","",IFERROR(XLOOKUP(A2387,Tickets[TripKey],Tickets[Capacity]),0))</f>
        <v/>
      </c>
      <c r="K2387">
        <f>IF(A2387="","",I2387*J2387)</f>
        <v/>
      </c>
      <c r="L2387">
        <f>IF(A2387="","",IFERROR(MINIFS(Tickets[Trip Start Time],Tickets[TripKey],A2387),""))</f>
        <v/>
      </c>
    </row>
    <row r="2388">
      <c r="B2388" s="8">
        <f>IF(A2388="","",IFERROR(DATEVALUE(TEXTBEFORE(A2388,"|")),--LEFT(A2388,10)))</f>
        <v/>
      </c>
      <c r="C2388">
        <f>IF(A2388="","",TEXTBEFORE(TEXTAFTER(A2388,"|"),"|"))</f>
        <v/>
      </c>
      <c r="D2388">
        <f>IF(A2388="","",TEXTAFTER(A2388,"|",2))</f>
        <v/>
      </c>
      <c r="E2388">
        <f>IF(A2388="","",SUMIF(Tickets[TripKey],A2388,Tickets[TP]))</f>
        <v/>
      </c>
      <c r="F2388">
        <f>IF(A2388="","",SUMIF(Tickets[TripKey],A2388,Tickets[Revenue]))</f>
        <v/>
      </c>
      <c r="G2388">
        <f>IF(A2388="","",SUMIF(Tickets[TripKey],A2388,Tickets[PK]))</f>
        <v/>
      </c>
      <c r="H2388">
        <f>IF(A2388="","",IFERROR(XLOOKUP(A2388,Tickets[TripKey],Tickets[VehClean]),""))</f>
        <v/>
      </c>
      <c r="I2388">
        <f>IF(A2388="","",IFERROR(XLOOKUP(A2388,Tickets[TripKey],Tickets[RouteLen]),0))</f>
        <v/>
      </c>
      <c r="J2388">
        <f>IF(A2388="","",IFERROR(XLOOKUP(A2388,Tickets[TripKey],Tickets[Capacity]),0))</f>
        <v/>
      </c>
      <c r="K2388">
        <f>IF(A2388="","",I2388*J2388)</f>
        <v/>
      </c>
      <c r="L2388">
        <f>IF(A2388="","",IFERROR(MINIFS(Tickets[Trip Start Time],Tickets[TripKey],A2388),""))</f>
        <v/>
      </c>
    </row>
    <row r="2389">
      <c r="B2389" s="8">
        <f>IF(A2389="","",IFERROR(DATEVALUE(TEXTBEFORE(A2389,"|")),--LEFT(A2389,10)))</f>
        <v/>
      </c>
      <c r="C2389">
        <f>IF(A2389="","",TEXTBEFORE(TEXTAFTER(A2389,"|"),"|"))</f>
        <v/>
      </c>
      <c r="D2389">
        <f>IF(A2389="","",TEXTAFTER(A2389,"|",2))</f>
        <v/>
      </c>
      <c r="E2389">
        <f>IF(A2389="","",SUMIF(Tickets[TripKey],A2389,Tickets[TP]))</f>
        <v/>
      </c>
      <c r="F2389">
        <f>IF(A2389="","",SUMIF(Tickets[TripKey],A2389,Tickets[Revenue]))</f>
        <v/>
      </c>
      <c r="G2389">
        <f>IF(A2389="","",SUMIF(Tickets[TripKey],A2389,Tickets[PK]))</f>
        <v/>
      </c>
      <c r="H2389">
        <f>IF(A2389="","",IFERROR(XLOOKUP(A2389,Tickets[TripKey],Tickets[VehClean]),""))</f>
        <v/>
      </c>
      <c r="I2389">
        <f>IF(A2389="","",IFERROR(XLOOKUP(A2389,Tickets[TripKey],Tickets[RouteLen]),0))</f>
        <v/>
      </c>
      <c r="J2389">
        <f>IF(A2389="","",IFERROR(XLOOKUP(A2389,Tickets[TripKey],Tickets[Capacity]),0))</f>
        <v/>
      </c>
      <c r="K2389">
        <f>IF(A2389="","",I2389*J2389)</f>
        <v/>
      </c>
      <c r="L2389">
        <f>IF(A2389="","",IFERROR(MINIFS(Tickets[Trip Start Time],Tickets[TripKey],A2389),""))</f>
        <v/>
      </c>
    </row>
    <row r="2390">
      <c r="B2390" s="8">
        <f>IF(A2390="","",IFERROR(DATEVALUE(TEXTBEFORE(A2390,"|")),--LEFT(A2390,10)))</f>
        <v/>
      </c>
      <c r="C2390">
        <f>IF(A2390="","",TEXTBEFORE(TEXTAFTER(A2390,"|"),"|"))</f>
        <v/>
      </c>
      <c r="D2390">
        <f>IF(A2390="","",TEXTAFTER(A2390,"|",2))</f>
        <v/>
      </c>
      <c r="E2390">
        <f>IF(A2390="","",SUMIF(Tickets[TripKey],A2390,Tickets[TP]))</f>
        <v/>
      </c>
      <c r="F2390">
        <f>IF(A2390="","",SUMIF(Tickets[TripKey],A2390,Tickets[Revenue]))</f>
        <v/>
      </c>
      <c r="G2390">
        <f>IF(A2390="","",SUMIF(Tickets[TripKey],A2390,Tickets[PK]))</f>
        <v/>
      </c>
      <c r="H2390">
        <f>IF(A2390="","",IFERROR(XLOOKUP(A2390,Tickets[TripKey],Tickets[VehClean]),""))</f>
        <v/>
      </c>
      <c r="I2390">
        <f>IF(A2390="","",IFERROR(XLOOKUP(A2390,Tickets[TripKey],Tickets[RouteLen]),0))</f>
        <v/>
      </c>
      <c r="J2390">
        <f>IF(A2390="","",IFERROR(XLOOKUP(A2390,Tickets[TripKey],Tickets[Capacity]),0))</f>
        <v/>
      </c>
      <c r="K2390">
        <f>IF(A2390="","",I2390*J2390)</f>
        <v/>
      </c>
      <c r="L2390">
        <f>IF(A2390="","",IFERROR(MINIFS(Tickets[Trip Start Time],Tickets[TripKey],A2390),""))</f>
        <v/>
      </c>
    </row>
    <row r="2391">
      <c r="B2391" s="8">
        <f>IF(A2391="","",IFERROR(DATEVALUE(TEXTBEFORE(A2391,"|")),--LEFT(A2391,10)))</f>
        <v/>
      </c>
      <c r="C2391">
        <f>IF(A2391="","",TEXTBEFORE(TEXTAFTER(A2391,"|"),"|"))</f>
        <v/>
      </c>
      <c r="D2391">
        <f>IF(A2391="","",TEXTAFTER(A2391,"|",2))</f>
        <v/>
      </c>
      <c r="E2391">
        <f>IF(A2391="","",SUMIF(Tickets[TripKey],A2391,Tickets[TP]))</f>
        <v/>
      </c>
      <c r="F2391">
        <f>IF(A2391="","",SUMIF(Tickets[TripKey],A2391,Tickets[Revenue]))</f>
        <v/>
      </c>
      <c r="G2391">
        <f>IF(A2391="","",SUMIF(Tickets[TripKey],A2391,Tickets[PK]))</f>
        <v/>
      </c>
      <c r="H2391">
        <f>IF(A2391="","",IFERROR(XLOOKUP(A2391,Tickets[TripKey],Tickets[VehClean]),""))</f>
        <v/>
      </c>
      <c r="I2391">
        <f>IF(A2391="","",IFERROR(XLOOKUP(A2391,Tickets[TripKey],Tickets[RouteLen]),0))</f>
        <v/>
      </c>
      <c r="J2391">
        <f>IF(A2391="","",IFERROR(XLOOKUP(A2391,Tickets[TripKey],Tickets[Capacity]),0))</f>
        <v/>
      </c>
      <c r="K2391">
        <f>IF(A2391="","",I2391*J2391)</f>
        <v/>
      </c>
      <c r="L2391">
        <f>IF(A2391="","",IFERROR(MINIFS(Tickets[Trip Start Time],Tickets[TripKey],A2391),""))</f>
        <v/>
      </c>
    </row>
    <row r="2392">
      <c r="B2392" s="8">
        <f>IF(A2392="","",IFERROR(DATEVALUE(TEXTBEFORE(A2392,"|")),--LEFT(A2392,10)))</f>
        <v/>
      </c>
      <c r="C2392">
        <f>IF(A2392="","",TEXTBEFORE(TEXTAFTER(A2392,"|"),"|"))</f>
        <v/>
      </c>
      <c r="D2392">
        <f>IF(A2392="","",TEXTAFTER(A2392,"|",2))</f>
        <v/>
      </c>
      <c r="E2392">
        <f>IF(A2392="","",SUMIF(Tickets[TripKey],A2392,Tickets[TP]))</f>
        <v/>
      </c>
      <c r="F2392">
        <f>IF(A2392="","",SUMIF(Tickets[TripKey],A2392,Tickets[Revenue]))</f>
        <v/>
      </c>
      <c r="G2392">
        <f>IF(A2392="","",SUMIF(Tickets[TripKey],A2392,Tickets[PK]))</f>
        <v/>
      </c>
      <c r="H2392">
        <f>IF(A2392="","",IFERROR(XLOOKUP(A2392,Tickets[TripKey],Tickets[VehClean]),""))</f>
        <v/>
      </c>
      <c r="I2392">
        <f>IF(A2392="","",IFERROR(XLOOKUP(A2392,Tickets[TripKey],Tickets[RouteLen]),0))</f>
        <v/>
      </c>
      <c r="J2392">
        <f>IF(A2392="","",IFERROR(XLOOKUP(A2392,Tickets[TripKey],Tickets[Capacity]),0))</f>
        <v/>
      </c>
      <c r="K2392">
        <f>IF(A2392="","",I2392*J2392)</f>
        <v/>
      </c>
      <c r="L2392">
        <f>IF(A2392="","",IFERROR(MINIFS(Tickets[Trip Start Time],Tickets[TripKey],A2392),""))</f>
        <v/>
      </c>
    </row>
    <row r="2393">
      <c r="B2393" s="8">
        <f>IF(A2393="","",IFERROR(DATEVALUE(TEXTBEFORE(A2393,"|")),--LEFT(A2393,10)))</f>
        <v/>
      </c>
      <c r="C2393">
        <f>IF(A2393="","",TEXTBEFORE(TEXTAFTER(A2393,"|"),"|"))</f>
        <v/>
      </c>
      <c r="D2393">
        <f>IF(A2393="","",TEXTAFTER(A2393,"|",2))</f>
        <v/>
      </c>
      <c r="E2393">
        <f>IF(A2393="","",SUMIF(Tickets[TripKey],A2393,Tickets[TP]))</f>
        <v/>
      </c>
      <c r="F2393">
        <f>IF(A2393="","",SUMIF(Tickets[TripKey],A2393,Tickets[Revenue]))</f>
        <v/>
      </c>
      <c r="G2393">
        <f>IF(A2393="","",SUMIF(Tickets[TripKey],A2393,Tickets[PK]))</f>
        <v/>
      </c>
      <c r="H2393">
        <f>IF(A2393="","",IFERROR(XLOOKUP(A2393,Tickets[TripKey],Tickets[VehClean]),""))</f>
        <v/>
      </c>
      <c r="I2393">
        <f>IF(A2393="","",IFERROR(XLOOKUP(A2393,Tickets[TripKey],Tickets[RouteLen]),0))</f>
        <v/>
      </c>
      <c r="J2393">
        <f>IF(A2393="","",IFERROR(XLOOKUP(A2393,Tickets[TripKey],Tickets[Capacity]),0))</f>
        <v/>
      </c>
      <c r="K2393">
        <f>IF(A2393="","",I2393*J2393)</f>
        <v/>
      </c>
      <c r="L2393">
        <f>IF(A2393="","",IFERROR(MINIFS(Tickets[Trip Start Time],Tickets[TripKey],A2393),""))</f>
        <v/>
      </c>
    </row>
    <row r="2394">
      <c r="B2394" s="8">
        <f>IF(A2394="","",IFERROR(DATEVALUE(TEXTBEFORE(A2394,"|")),--LEFT(A2394,10)))</f>
        <v/>
      </c>
      <c r="C2394">
        <f>IF(A2394="","",TEXTBEFORE(TEXTAFTER(A2394,"|"),"|"))</f>
        <v/>
      </c>
      <c r="D2394">
        <f>IF(A2394="","",TEXTAFTER(A2394,"|",2))</f>
        <v/>
      </c>
      <c r="E2394">
        <f>IF(A2394="","",SUMIF(Tickets[TripKey],A2394,Tickets[TP]))</f>
        <v/>
      </c>
      <c r="F2394">
        <f>IF(A2394="","",SUMIF(Tickets[TripKey],A2394,Tickets[Revenue]))</f>
        <v/>
      </c>
      <c r="G2394">
        <f>IF(A2394="","",SUMIF(Tickets[TripKey],A2394,Tickets[PK]))</f>
        <v/>
      </c>
      <c r="H2394">
        <f>IF(A2394="","",IFERROR(XLOOKUP(A2394,Tickets[TripKey],Tickets[VehClean]),""))</f>
        <v/>
      </c>
      <c r="I2394">
        <f>IF(A2394="","",IFERROR(XLOOKUP(A2394,Tickets[TripKey],Tickets[RouteLen]),0))</f>
        <v/>
      </c>
      <c r="J2394">
        <f>IF(A2394="","",IFERROR(XLOOKUP(A2394,Tickets[TripKey],Tickets[Capacity]),0))</f>
        <v/>
      </c>
      <c r="K2394">
        <f>IF(A2394="","",I2394*J2394)</f>
        <v/>
      </c>
      <c r="L2394">
        <f>IF(A2394="","",IFERROR(MINIFS(Tickets[Trip Start Time],Tickets[TripKey],A2394),""))</f>
        <v/>
      </c>
    </row>
    <row r="2395">
      <c r="B2395" s="8">
        <f>IF(A2395="","",IFERROR(DATEVALUE(TEXTBEFORE(A2395,"|")),--LEFT(A2395,10)))</f>
        <v/>
      </c>
      <c r="C2395">
        <f>IF(A2395="","",TEXTBEFORE(TEXTAFTER(A2395,"|"),"|"))</f>
        <v/>
      </c>
      <c r="D2395">
        <f>IF(A2395="","",TEXTAFTER(A2395,"|",2))</f>
        <v/>
      </c>
      <c r="E2395">
        <f>IF(A2395="","",SUMIF(Tickets[TripKey],A2395,Tickets[TP]))</f>
        <v/>
      </c>
      <c r="F2395">
        <f>IF(A2395="","",SUMIF(Tickets[TripKey],A2395,Tickets[Revenue]))</f>
        <v/>
      </c>
      <c r="G2395">
        <f>IF(A2395="","",SUMIF(Tickets[TripKey],A2395,Tickets[PK]))</f>
        <v/>
      </c>
      <c r="H2395">
        <f>IF(A2395="","",IFERROR(XLOOKUP(A2395,Tickets[TripKey],Tickets[VehClean]),""))</f>
        <v/>
      </c>
      <c r="I2395">
        <f>IF(A2395="","",IFERROR(XLOOKUP(A2395,Tickets[TripKey],Tickets[RouteLen]),0))</f>
        <v/>
      </c>
      <c r="J2395">
        <f>IF(A2395="","",IFERROR(XLOOKUP(A2395,Tickets[TripKey],Tickets[Capacity]),0))</f>
        <v/>
      </c>
      <c r="K2395">
        <f>IF(A2395="","",I2395*J2395)</f>
        <v/>
      </c>
      <c r="L2395">
        <f>IF(A2395="","",IFERROR(MINIFS(Tickets[Trip Start Time],Tickets[TripKey],A2395),""))</f>
        <v/>
      </c>
    </row>
    <row r="2396">
      <c r="B2396" s="8">
        <f>IF(A2396="","",IFERROR(DATEVALUE(TEXTBEFORE(A2396,"|")),--LEFT(A2396,10)))</f>
        <v/>
      </c>
      <c r="C2396">
        <f>IF(A2396="","",TEXTBEFORE(TEXTAFTER(A2396,"|"),"|"))</f>
        <v/>
      </c>
      <c r="D2396">
        <f>IF(A2396="","",TEXTAFTER(A2396,"|",2))</f>
        <v/>
      </c>
      <c r="E2396">
        <f>IF(A2396="","",SUMIF(Tickets[TripKey],A2396,Tickets[TP]))</f>
        <v/>
      </c>
      <c r="F2396">
        <f>IF(A2396="","",SUMIF(Tickets[TripKey],A2396,Tickets[Revenue]))</f>
        <v/>
      </c>
      <c r="G2396">
        <f>IF(A2396="","",SUMIF(Tickets[TripKey],A2396,Tickets[PK]))</f>
        <v/>
      </c>
      <c r="H2396">
        <f>IF(A2396="","",IFERROR(XLOOKUP(A2396,Tickets[TripKey],Tickets[VehClean]),""))</f>
        <v/>
      </c>
      <c r="I2396">
        <f>IF(A2396="","",IFERROR(XLOOKUP(A2396,Tickets[TripKey],Tickets[RouteLen]),0))</f>
        <v/>
      </c>
      <c r="J2396">
        <f>IF(A2396="","",IFERROR(XLOOKUP(A2396,Tickets[TripKey],Tickets[Capacity]),0))</f>
        <v/>
      </c>
      <c r="K2396">
        <f>IF(A2396="","",I2396*J2396)</f>
        <v/>
      </c>
      <c r="L2396">
        <f>IF(A2396="","",IFERROR(MINIFS(Tickets[Trip Start Time],Tickets[TripKey],A2396),""))</f>
        <v/>
      </c>
    </row>
    <row r="2397">
      <c r="B2397" s="8">
        <f>IF(A2397="","",IFERROR(DATEVALUE(TEXTBEFORE(A2397,"|")),--LEFT(A2397,10)))</f>
        <v/>
      </c>
      <c r="C2397">
        <f>IF(A2397="","",TEXTBEFORE(TEXTAFTER(A2397,"|"),"|"))</f>
        <v/>
      </c>
      <c r="D2397">
        <f>IF(A2397="","",TEXTAFTER(A2397,"|",2))</f>
        <v/>
      </c>
      <c r="E2397">
        <f>IF(A2397="","",SUMIF(Tickets[TripKey],A2397,Tickets[TP]))</f>
        <v/>
      </c>
      <c r="F2397">
        <f>IF(A2397="","",SUMIF(Tickets[TripKey],A2397,Tickets[Revenue]))</f>
        <v/>
      </c>
      <c r="G2397">
        <f>IF(A2397="","",SUMIF(Tickets[TripKey],A2397,Tickets[PK]))</f>
        <v/>
      </c>
      <c r="H2397">
        <f>IF(A2397="","",IFERROR(XLOOKUP(A2397,Tickets[TripKey],Tickets[VehClean]),""))</f>
        <v/>
      </c>
      <c r="I2397">
        <f>IF(A2397="","",IFERROR(XLOOKUP(A2397,Tickets[TripKey],Tickets[RouteLen]),0))</f>
        <v/>
      </c>
      <c r="J2397">
        <f>IF(A2397="","",IFERROR(XLOOKUP(A2397,Tickets[TripKey],Tickets[Capacity]),0))</f>
        <v/>
      </c>
      <c r="K2397">
        <f>IF(A2397="","",I2397*J2397)</f>
        <v/>
      </c>
      <c r="L2397">
        <f>IF(A2397="","",IFERROR(MINIFS(Tickets[Trip Start Time],Tickets[TripKey],A2397),""))</f>
        <v/>
      </c>
    </row>
    <row r="2398">
      <c r="B2398" s="8">
        <f>IF(A2398="","",IFERROR(DATEVALUE(TEXTBEFORE(A2398,"|")),--LEFT(A2398,10)))</f>
        <v/>
      </c>
      <c r="C2398">
        <f>IF(A2398="","",TEXTBEFORE(TEXTAFTER(A2398,"|"),"|"))</f>
        <v/>
      </c>
      <c r="D2398">
        <f>IF(A2398="","",TEXTAFTER(A2398,"|",2))</f>
        <v/>
      </c>
      <c r="E2398">
        <f>IF(A2398="","",SUMIF(Tickets[TripKey],A2398,Tickets[TP]))</f>
        <v/>
      </c>
      <c r="F2398">
        <f>IF(A2398="","",SUMIF(Tickets[TripKey],A2398,Tickets[Revenue]))</f>
        <v/>
      </c>
      <c r="G2398">
        <f>IF(A2398="","",SUMIF(Tickets[TripKey],A2398,Tickets[PK]))</f>
        <v/>
      </c>
      <c r="H2398">
        <f>IF(A2398="","",IFERROR(XLOOKUP(A2398,Tickets[TripKey],Tickets[VehClean]),""))</f>
        <v/>
      </c>
      <c r="I2398">
        <f>IF(A2398="","",IFERROR(XLOOKUP(A2398,Tickets[TripKey],Tickets[RouteLen]),0))</f>
        <v/>
      </c>
      <c r="J2398">
        <f>IF(A2398="","",IFERROR(XLOOKUP(A2398,Tickets[TripKey],Tickets[Capacity]),0))</f>
        <v/>
      </c>
      <c r="K2398">
        <f>IF(A2398="","",I2398*J2398)</f>
        <v/>
      </c>
      <c r="L2398">
        <f>IF(A2398="","",IFERROR(MINIFS(Tickets[Trip Start Time],Tickets[TripKey],A2398),""))</f>
        <v/>
      </c>
    </row>
    <row r="2399">
      <c r="B2399" s="8">
        <f>IF(A2399="","",IFERROR(DATEVALUE(TEXTBEFORE(A2399,"|")),--LEFT(A2399,10)))</f>
        <v/>
      </c>
      <c r="C2399">
        <f>IF(A2399="","",TEXTBEFORE(TEXTAFTER(A2399,"|"),"|"))</f>
        <v/>
      </c>
      <c r="D2399">
        <f>IF(A2399="","",TEXTAFTER(A2399,"|",2))</f>
        <v/>
      </c>
      <c r="E2399">
        <f>IF(A2399="","",SUMIF(Tickets[TripKey],A2399,Tickets[TP]))</f>
        <v/>
      </c>
      <c r="F2399">
        <f>IF(A2399="","",SUMIF(Tickets[TripKey],A2399,Tickets[Revenue]))</f>
        <v/>
      </c>
      <c r="G2399">
        <f>IF(A2399="","",SUMIF(Tickets[TripKey],A2399,Tickets[PK]))</f>
        <v/>
      </c>
      <c r="H2399">
        <f>IF(A2399="","",IFERROR(XLOOKUP(A2399,Tickets[TripKey],Tickets[VehClean]),""))</f>
        <v/>
      </c>
      <c r="I2399">
        <f>IF(A2399="","",IFERROR(XLOOKUP(A2399,Tickets[TripKey],Tickets[RouteLen]),0))</f>
        <v/>
      </c>
      <c r="J2399">
        <f>IF(A2399="","",IFERROR(XLOOKUP(A2399,Tickets[TripKey],Tickets[Capacity]),0))</f>
        <v/>
      </c>
      <c r="K2399">
        <f>IF(A2399="","",I2399*J2399)</f>
        <v/>
      </c>
      <c r="L2399">
        <f>IF(A2399="","",IFERROR(MINIFS(Tickets[Trip Start Time],Tickets[TripKey],A2399),""))</f>
        <v/>
      </c>
    </row>
    <row r="2400">
      <c r="B2400" s="8">
        <f>IF(A2400="","",IFERROR(DATEVALUE(TEXTBEFORE(A2400,"|")),--LEFT(A2400,10)))</f>
        <v/>
      </c>
      <c r="C2400">
        <f>IF(A2400="","",TEXTBEFORE(TEXTAFTER(A2400,"|"),"|"))</f>
        <v/>
      </c>
      <c r="D2400">
        <f>IF(A2400="","",TEXTAFTER(A2400,"|",2))</f>
        <v/>
      </c>
      <c r="E2400">
        <f>IF(A2400="","",SUMIF(Tickets[TripKey],A2400,Tickets[TP]))</f>
        <v/>
      </c>
      <c r="F2400">
        <f>IF(A2400="","",SUMIF(Tickets[TripKey],A2400,Tickets[Revenue]))</f>
        <v/>
      </c>
      <c r="G2400">
        <f>IF(A2400="","",SUMIF(Tickets[TripKey],A2400,Tickets[PK]))</f>
        <v/>
      </c>
      <c r="H2400">
        <f>IF(A2400="","",IFERROR(XLOOKUP(A2400,Tickets[TripKey],Tickets[VehClean]),""))</f>
        <v/>
      </c>
      <c r="I2400">
        <f>IF(A2400="","",IFERROR(XLOOKUP(A2400,Tickets[TripKey],Tickets[RouteLen]),0))</f>
        <v/>
      </c>
      <c r="J2400">
        <f>IF(A2400="","",IFERROR(XLOOKUP(A2400,Tickets[TripKey],Tickets[Capacity]),0))</f>
        <v/>
      </c>
      <c r="K2400">
        <f>IF(A2400="","",I2400*J2400)</f>
        <v/>
      </c>
      <c r="L2400">
        <f>IF(A2400="","",IFERROR(MINIFS(Tickets[Trip Start Time],Tickets[TripKey],A2400),""))</f>
        <v/>
      </c>
    </row>
    <row r="2401">
      <c r="B2401" s="8">
        <f>IF(A2401="","",IFERROR(DATEVALUE(TEXTBEFORE(A2401,"|")),--LEFT(A2401,10)))</f>
        <v/>
      </c>
      <c r="C2401">
        <f>IF(A2401="","",TEXTBEFORE(TEXTAFTER(A2401,"|"),"|"))</f>
        <v/>
      </c>
      <c r="D2401">
        <f>IF(A2401="","",TEXTAFTER(A2401,"|",2))</f>
        <v/>
      </c>
      <c r="E2401">
        <f>IF(A2401="","",SUMIF(Tickets[TripKey],A2401,Tickets[TP]))</f>
        <v/>
      </c>
      <c r="F2401">
        <f>IF(A2401="","",SUMIF(Tickets[TripKey],A2401,Tickets[Revenue]))</f>
        <v/>
      </c>
      <c r="G2401">
        <f>IF(A2401="","",SUMIF(Tickets[TripKey],A2401,Tickets[PK]))</f>
        <v/>
      </c>
      <c r="H2401">
        <f>IF(A2401="","",IFERROR(XLOOKUP(A2401,Tickets[TripKey],Tickets[VehClean]),""))</f>
        <v/>
      </c>
      <c r="I2401">
        <f>IF(A2401="","",IFERROR(XLOOKUP(A2401,Tickets[TripKey],Tickets[RouteLen]),0))</f>
        <v/>
      </c>
      <c r="J2401">
        <f>IF(A2401="","",IFERROR(XLOOKUP(A2401,Tickets[TripKey],Tickets[Capacity]),0))</f>
        <v/>
      </c>
      <c r="K2401">
        <f>IF(A2401="","",I2401*J2401)</f>
        <v/>
      </c>
      <c r="L2401">
        <f>IF(A2401="","",IFERROR(MINIFS(Tickets[Trip Start Time],Tickets[TripKey],A2401),""))</f>
        <v/>
      </c>
    </row>
    <row r="2402">
      <c r="B2402" s="8">
        <f>IF(A2402="","",IFERROR(DATEVALUE(TEXTBEFORE(A2402,"|")),--LEFT(A2402,10)))</f>
        <v/>
      </c>
      <c r="C2402">
        <f>IF(A2402="","",TEXTBEFORE(TEXTAFTER(A2402,"|"),"|"))</f>
        <v/>
      </c>
      <c r="D2402">
        <f>IF(A2402="","",TEXTAFTER(A2402,"|",2))</f>
        <v/>
      </c>
      <c r="E2402">
        <f>IF(A2402="","",SUMIF(Tickets[TripKey],A2402,Tickets[TP]))</f>
        <v/>
      </c>
      <c r="F2402">
        <f>IF(A2402="","",SUMIF(Tickets[TripKey],A2402,Tickets[Revenue]))</f>
        <v/>
      </c>
      <c r="G2402">
        <f>IF(A2402="","",SUMIF(Tickets[TripKey],A2402,Tickets[PK]))</f>
        <v/>
      </c>
      <c r="H2402">
        <f>IF(A2402="","",IFERROR(XLOOKUP(A2402,Tickets[TripKey],Tickets[VehClean]),""))</f>
        <v/>
      </c>
      <c r="I2402">
        <f>IF(A2402="","",IFERROR(XLOOKUP(A2402,Tickets[TripKey],Tickets[RouteLen]),0))</f>
        <v/>
      </c>
      <c r="J2402">
        <f>IF(A2402="","",IFERROR(XLOOKUP(A2402,Tickets[TripKey],Tickets[Capacity]),0))</f>
        <v/>
      </c>
      <c r="K2402">
        <f>IF(A2402="","",I2402*J2402)</f>
        <v/>
      </c>
      <c r="L2402">
        <f>IF(A2402="","",IFERROR(MINIFS(Tickets[Trip Start Time],Tickets[TripKey],A2402),""))</f>
        <v/>
      </c>
    </row>
    <row r="2403">
      <c r="B2403" s="8">
        <f>IF(A2403="","",IFERROR(DATEVALUE(TEXTBEFORE(A2403,"|")),--LEFT(A2403,10)))</f>
        <v/>
      </c>
      <c r="C2403">
        <f>IF(A2403="","",TEXTBEFORE(TEXTAFTER(A2403,"|"),"|"))</f>
        <v/>
      </c>
      <c r="D2403">
        <f>IF(A2403="","",TEXTAFTER(A2403,"|",2))</f>
        <v/>
      </c>
      <c r="E2403">
        <f>IF(A2403="","",SUMIF(Tickets[TripKey],A2403,Tickets[TP]))</f>
        <v/>
      </c>
      <c r="F2403">
        <f>IF(A2403="","",SUMIF(Tickets[TripKey],A2403,Tickets[Revenue]))</f>
        <v/>
      </c>
      <c r="G2403">
        <f>IF(A2403="","",SUMIF(Tickets[TripKey],A2403,Tickets[PK]))</f>
        <v/>
      </c>
      <c r="H2403">
        <f>IF(A2403="","",IFERROR(XLOOKUP(A2403,Tickets[TripKey],Tickets[VehClean]),""))</f>
        <v/>
      </c>
      <c r="I2403">
        <f>IF(A2403="","",IFERROR(XLOOKUP(A2403,Tickets[TripKey],Tickets[RouteLen]),0))</f>
        <v/>
      </c>
      <c r="J2403">
        <f>IF(A2403="","",IFERROR(XLOOKUP(A2403,Tickets[TripKey],Tickets[Capacity]),0))</f>
        <v/>
      </c>
      <c r="K2403">
        <f>IF(A2403="","",I2403*J2403)</f>
        <v/>
      </c>
      <c r="L2403">
        <f>IF(A2403="","",IFERROR(MINIFS(Tickets[Trip Start Time],Tickets[TripKey],A2403),""))</f>
        <v/>
      </c>
    </row>
    <row r="2404">
      <c r="B2404" s="8">
        <f>IF(A2404="","",IFERROR(DATEVALUE(TEXTBEFORE(A2404,"|")),--LEFT(A2404,10)))</f>
        <v/>
      </c>
      <c r="C2404">
        <f>IF(A2404="","",TEXTBEFORE(TEXTAFTER(A2404,"|"),"|"))</f>
        <v/>
      </c>
      <c r="D2404">
        <f>IF(A2404="","",TEXTAFTER(A2404,"|",2))</f>
        <v/>
      </c>
      <c r="E2404">
        <f>IF(A2404="","",SUMIF(Tickets[TripKey],A2404,Tickets[TP]))</f>
        <v/>
      </c>
      <c r="F2404">
        <f>IF(A2404="","",SUMIF(Tickets[TripKey],A2404,Tickets[Revenue]))</f>
        <v/>
      </c>
      <c r="G2404">
        <f>IF(A2404="","",SUMIF(Tickets[TripKey],A2404,Tickets[PK]))</f>
        <v/>
      </c>
      <c r="H2404">
        <f>IF(A2404="","",IFERROR(XLOOKUP(A2404,Tickets[TripKey],Tickets[VehClean]),""))</f>
        <v/>
      </c>
      <c r="I2404">
        <f>IF(A2404="","",IFERROR(XLOOKUP(A2404,Tickets[TripKey],Tickets[RouteLen]),0))</f>
        <v/>
      </c>
      <c r="J2404">
        <f>IF(A2404="","",IFERROR(XLOOKUP(A2404,Tickets[TripKey],Tickets[Capacity]),0))</f>
        <v/>
      </c>
      <c r="K2404">
        <f>IF(A2404="","",I2404*J2404)</f>
        <v/>
      </c>
      <c r="L2404">
        <f>IF(A2404="","",IFERROR(MINIFS(Tickets[Trip Start Time],Tickets[TripKey],A2404),""))</f>
        <v/>
      </c>
    </row>
    <row r="2405">
      <c r="B2405" s="8">
        <f>IF(A2405="","",IFERROR(DATEVALUE(TEXTBEFORE(A2405,"|")),--LEFT(A2405,10)))</f>
        <v/>
      </c>
      <c r="C2405">
        <f>IF(A2405="","",TEXTBEFORE(TEXTAFTER(A2405,"|"),"|"))</f>
        <v/>
      </c>
      <c r="D2405">
        <f>IF(A2405="","",TEXTAFTER(A2405,"|",2))</f>
        <v/>
      </c>
      <c r="E2405">
        <f>IF(A2405="","",SUMIF(Tickets[TripKey],A2405,Tickets[TP]))</f>
        <v/>
      </c>
      <c r="F2405">
        <f>IF(A2405="","",SUMIF(Tickets[TripKey],A2405,Tickets[Revenue]))</f>
        <v/>
      </c>
      <c r="G2405">
        <f>IF(A2405="","",SUMIF(Tickets[TripKey],A2405,Tickets[PK]))</f>
        <v/>
      </c>
      <c r="H2405">
        <f>IF(A2405="","",IFERROR(XLOOKUP(A2405,Tickets[TripKey],Tickets[VehClean]),""))</f>
        <v/>
      </c>
      <c r="I2405">
        <f>IF(A2405="","",IFERROR(XLOOKUP(A2405,Tickets[TripKey],Tickets[RouteLen]),0))</f>
        <v/>
      </c>
      <c r="J2405">
        <f>IF(A2405="","",IFERROR(XLOOKUP(A2405,Tickets[TripKey],Tickets[Capacity]),0))</f>
        <v/>
      </c>
      <c r="K2405">
        <f>IF(A2405="","",I2405*J2405)</f>
        <v/>
      </c>
      <c r="L2405">
        <f>IF(A2405="","",IFERROR(MINIFS(Tickets[Trip Start Time],Tickets[TripKey],A2405),""))</f>
        <v/>
      </c>
    </row>
    <row r="2406">
      <c r="B2406" s="8">
        <f>IF(A2406="","",IFERROR(DATEVALUE(TEXTBEFORE(A2406,"|")),--LEFT(A2406,10)))</f>
        <v/>
      </c>
      <c r="C2406">
        <f>IF(A2406="","",TEXTBEFORE(TEXTAFTER(A2406,"|"),"|"))</f>
        <v/>
      </c>
      <c r="D2406">
        <f>IF(A2406="","",TEXTAFTER(A2406,"|",2))</f>
        <v/>
      </c>
      <c r="E2406">
        <f>IF(A2406="","",SUMIF(Tickets[TripKey],A2406,Tickets[TP]))</f>
        <v/>
      </c>
      <c r="F2406">
        <f>IF(A2406="","",SUMIF(Tickets[TripKey],A2406,Tickets[Revenue]))</f>
        <v/>
      </c>
      <c r="G2406">
        <f>IF(A2406="","",SUMIF(Tickets[TripKey],A2406,Tickets[PK]))</f>
        <v/>
      </c>
      <c r="H2406">
        <f>IF(A2406="","",IFERROR(XLOOKUP(A2406,Tickets[TripKey],Tickets[VehClean]),""))</f>
        <v/>
      </c>
      <c r="I2406">
        <f>IF(A2406="","",IFERROR(XLOOKUP(A2406,Tickets[TripKey],Tickets[RouteLen]),0))</f>
        <v/>
      </c>
      <c r="J2406">
        <f>IF(A2406="","",IFERROR(XLOOKUP(A2406,Tickets[TripKey],Tickets[Capacity]),0))</f>
        <v/>
      </c>
      <c r="K2406">
        <f>IF(A2406="","",I2406*J2406)</f>
        <v/>
      </c>
      <c r="L2406">
        <f>IF(A2406="","",IFERROR(MINIFS(Tickets[Trip Start Time],Tickets[TripKey],A2406),""))</f>
        <v/>
      </c>
    </row>
    <row r="2407">
      <c r="B2407" s="8">
        <f>IF(A2407="","",IFERROR(DATEVALUE(TEXTBEFORE(A2407,"|")),--LEFT(A2407,10)))</f>
        <v/>
      </c>
      <c r="C2407">
        <f>IF(A2407="","",TEXTBEFORE(TEXTAFTER(A2407,"|"),"|"))</f>
        <v/>
      </c>
      <c r="D2407">
        <f>IF(A2407="","",TEXTAFTER(A2407,"|",2))</f>
        <v/>
      </c>
      <c r="E2407">
        <f>IF(A2407="","",SUMIF(Tickets[TripKey],A2407,Tickets[TP]))</f>
        <v/>
      </c>
      <c r="F2407">
        <f>IF(A2407="","",SUMIF(Tickets[TripKey],A2407,Tickets[Revenue]))</f>
        <v/>
      </c>
      <c r="G2407">
        <f>IF(A2407="","",SUMIF(Tickets[TripKey],A2407,Tickets[PK]))</f>
        <v/>
      </c>
      <c r="H2407">
        <f>IF(A2407="","",IFERROR(XLOOKUP(A2407,Tickets[TripKey],Tickets[VehClean]),""))</f>
        <v/>
      </c>
      <c r="I2407">
        <f>IF(A2407="","",IFERROR(XLOOKUP(A2407,Tickets[TripKey],Tickets[RouteLen]),0))</f>
        <v/>
      </c>
      <c r="J2407">
        <f>IF(A2407="","",IFERROR(XLOOKUP(A2407,Tickets[TripKey],Tickets[Capacity]),0))</f>
        <v/>
      </c>
      <c r="K2407">
        <f>IF(A2407="","",I2407*J2407)</f>
        <v/>
      </c>
      <c r="L2407">
        <f>IF(A2407="","",IFERROR(MINIFS(Tickets[Trip Start Time],Tickets[TripKey],A2407),""))</f>
        <v/>
      </c>
    </row>
    <row r="2408">
      <c r="B2408" s="8">
        <f>IF(A2408="","",IFERROR(DATEVALUE(TEXTBEFORE(A2408,"|")),--LEFT(A2408,10)))</f>
        <v/>
      </c>
      <c r="C2408">
        <f>IF(A2408="","",TEXTBEFORE(TEXTAFTER(A2408,"|"),"|"))</f>
        <v/>
      </c>
      <c r="D2408">
        <f>IF(A2408="","",TEXTAFTER(A2408,"|",2))</f>
        <v/>
      </c>
      <c r="E2408">
        <f>IF(A2408="","",SUMIF(Tickets[TripKey],A2408,Tickets[TP]))</f>
        <v/>
      </c>
      <c r="F2408">
        <f>IF(A2408="","",SUMIF(Tickets[TripKey],A2408,Tickets[Revenue]))</f>
        <v/>
      </c>
      <c r="G2408">
        <f>IF(A2408="","",SUMIF(Tickets[TripKey],A2408,Tickets[PK]))</f>
        <v/>
      </c>
      <c r="H2408">
        <f>IF(A2408="","",IFERROR(XLOOKUP(A2408,Tickets[TripKey],Tickets[VehClean]),""))</f>
        <v/>
      </c>
      <c r="I2408">
        <f>IF(A2408="","",IFERROR(XLOOKUP(A2408,Tickets[TripKey],Tickets[RouteLen]),0))</f>
        <v/>
      </c>
      <c r="J2408">
        <f>IF(A2408="","",IFERROR(XLOOKUP(A2408,Tickets[TripKey],Tickets[Capacity]),0))</f>
        <v/>
      </c>
      <c r="K2408">
        <f>IF(A2408="","",I2408*J2408)</f>
        <v/>
      </c>
      <c r="L2408">
        <f>IF(A2408="","",IFERROR(MINIFS(Tickets[Trip Start Time],Tickets[TripKey],A2408),""))</f>
        <v/>
      </c>
    </row>
    <row r="2409">
      <c r="B2409" s="8">
        <f>IF(A2409="","",IFERROR(DATEVALUE(TEXTBEFORE(A2409,"|")),--LEFT(A2409,10)))</f>
        <v/>
      </c>
      <c r="C2409">
        <f>IF(A2409="","",TEXTBEFORE(TEXTAFTER(A2409,"|"),"|"))</f>
        <v/>
      </c>
      <c r="D2409">
        <f>IF(A2409="","",TEXTAFTER(A2409,"|",2))</f>
        <v/>
      </c>
      <c r="E2409">
        <f>IF(A2409="","",SUMIF(Tickets[TripKey],A2409,Tickets[TP]))</f>
        <v/>
      </c>
      <c r="F2409">
        <f>IF(A2409="","",SUMIF(Tickets[TripKey],A2409,Tickets[Revenue]))</f>
        <v/>
      </c>
      <c r="G2409">
        <f>IF(A2409="","",SUMIF(Tickets[TripKey],A2409,Tickets[PK]))</f>
        <v/>
      </c>
      <c r="H2409">
        <f>IF(A2409="","",IFERROR(XLOOKUP(A2409,Tickets[TripKey],Tickets[VehClean]),""))</f>
        <v/>
      </c>
      <c r="I2409">
        <f>IF(A2409="","",IFERROR(XLOOKUP(A2409,Tickets[TripKey],Tickets[RouteLen]),0))</f>
        <v/>
      </c>
      <c r="J2409">
        <f>IF(A2409="","",IFERROR(XLOOKUP(A2409,Tickets[TripKey],Tickets[Capacity]),0))</f>
        <v/>
      </c>
      <c r="K2409">
        <f>IF(A2409="","",I2409*J2409)</f>
        <v/>
      </c>
      <c r="L2409">
        <f>IF(A2409="","",IFERROR(MINIFS(Tickets[Trip Start Time],Tickets[TripKey],A2409),""))</f>
        <v/>
      </c>
    </row>
    <row r="2410">
      <c r="B2410" s="8">
        <f>IF(A2410="","",IFERROR(DATEVALUE(TEXTBEFORE(A2410,"|")),--LEFT(A2410,10)))</f>
        <v/>
      </c>
      <c r="C2410">
        <f>IF(A2410="","",TEXTBEFORE(TEXTAFTER(A2410,"|"),"|"))</f>
        <v/>
      </c>
      <c r="D2410">
        <f>IF(A2410="","",TEXTAFTER(A2410,"|",2))</f>
        <v/>
      </c>
      <c r="E2410">
        <f>IF(A2410="","",SUMIF(Tickets[TripKey],A2410,Tickets[TP]))</f>
        <v/>
      </c>
      <c r="F2410">
        <f>IF(A2410="","",SUMIF(Tickets[TripKey],A2410,Tickets[Revenue]))</f>
        <v/>
      </c>
      <c r="G2410">
        <f>IF(A2410="","",SUMIF(Tickets[TripKey],A2410,Tickets[PK]))</f>
        <v/>
      </c>
      <c r="H2410">
        <f>IF(A2410="","",IFERROR(XLOOKUP(A2410,Tickets[TripKey],Tickets[VehClean]),""))</f>
        <v/>
      </c>
      <c r="I2410">
        <f>IF(A2410="","",IFERROR(XLOOKUP(A2410,Tickets[TripKey],Tickets[RouteLen]),0))</f>
        <v/>
      </c>
      <c r="J2410">
        <f>IF(A2410="","",IFERROR(XLOOKUP(A2410,Tickets[TripKey],Tickets[Capacity]),0))</f>
        <v/>
      </c>
      <c r="K2410">
        <f>IF(A2410="","",I2410*J2410)</f>
        <v/>
      </c>
      <c r="L2410">
        <f>IF(A2410="","",IFERROR(MINIFS(Tickets[Trip Start Time],Tickets[TripKey],A2410),""))</f>
        <v/>
      </c>
    </row>
    <row r="2411">
      <c r="B2411" s="8">
        <f>IF(A2411="","",IFERROR(DATEVALUE(TEXTBEFORE(A2411,"|")),--LEFT(A2411,10)))</f>
        <v/>
      </c>
      <c r="C2411">
        <f>IF(A2411="","",TEXTBEFORE(TEXTAFTER(A2411,"|"),"|"))</f>
        <v/>
      </c>
      <c r="D2411">
        <f>IF(A2411="","",TEXTAFTER(A2411,"|",2))</f>
        <v/>
      </c>
      <c r="E2411">
        <f>IF(A2411="","",SUMIF(Tickets[TripKey],A2411,Tickets[TP]))</f>
        <v/>
      </c>
      <c r="F2411">
        <f>IF(A2411="","",SUMIF(Tickets[TripKey],A2411,Tickets[Revenue]))</f>
        <v/>
      </c>
      <c r="G2411">
        <f>IF(A2411="","",SUMIF(Tickets[TripKey],A2411,Tickets[PK]))</f>
        <v/>
      </c>
      <c r="H2411">
        <f>IF(A2411="","",IFERROR(XLOOKUP(A2411,Tickets[TripKey],Tickets[VehClean]),""))</f>
        <v/>
      </c>
      <c r="I2411">
        <f>IF(A2411="","",IFERROR(XLOOKUP(A2411,Tickets[TripKey],Tickets[RouteLen]),0))</f>
        <v/>
      </c>
      <c r="J2411">
        <f>IF(A2411="","",IFERROR(XLOOKUP(A2411,Tickets[TripKey],Tickets[Capacity]),0))</f>
        <v/>
      </c>
      <c r="K2411">
        <f>IF(A2411="","",I2411*J2411)</f>
        <v/>
      </c>
      <c r="L2411">
        <f>IF(A2411="","",IFERROR(MINIFS(Tickets[Trip Start Time],Tickets[TripKey],A2411),""))</f>
        <v/>
      </c>
    </row>
    <row r="2412">
      <c r="B2412" s="8">
        <f>IF(A2412="","",IFERROR(DATEVALUE(TEXTBEFORE(A2412,"|")),--LEFT(A2412,10)))</f>
        <v/>
      </c>
      <c r="C2412">
        <f>IF(A2412="","",TEXTBEFORE(TEXTAFTER(A2412,"|"),"|"))</f>
        <v/>
      </c>
      <c r="D2412">
        <f>IF(A2412="","",TEXTAFTER(A2412,"|",2))</f>
        <v/>
      </c>
      <c r="E2412">
        <f>IF(A2412="","",SUMIF(Tickets[TripKey],A2412,Tickets[TP]))</f>
        <v/>
      </c>
      <c r="F2412">
        <f>IF(A2412="","",SUMIF(Tickets[TripKey],A2412,Tickets[Revenue]))</f>
        <v/>
      </c>
      <c r="G2412">
        <f>IF(A2412="","",SUMIF(Tickets[TripKey],A2412,Tickets[PK]))</f>
        <v/>
      </c>
      <c r="H2412">
        <f>IF(A2412="","",IFERROR(XLOOKUP(A2412,Tickets[TripKey],Tickets[VehClean]),""))</f>
        <v/>
      </c>
      <c r="I2412">
        <f>IF(A2412="","",IFERROR(XLOOKUP(A2412,Tickets[TripKey],Tickets[RouteLen]),0))</f>
        <v/>
      </c>
      <c r="J2412">
        <f>IF(A2412="","",IFERROR(XLOOKUP(A2412,Tickets[TripKey],Tickets[Capacity]),0))</f>
        <v/>
      </c>
      <c r="K2412">
        <f>IF(A2412="","",I2412*J2412)</f>
        <v/>
      </c>
      <c r="L2412">
        <f>IF(A2412="","",IFERROR(MINIFS(Tickets[Trip Start Time],Tickets[TripKey],A2412),""))</f>
        <v/>
      </c>
    </row>
    <row r="2413">
      <c r="B2413" s="8">
        <f>IF(A2413="","",IFERROR(DATEVALUE(TEXTBEFORE(A2413,"|")),--LEFT(A2413,10)))</f>
        <v/>
      </c>
      <c r="C2413">
        <f>IF(A2413="","",TEXTBEFORE(TEXTAFTER(A2413,"|"),"|"))</f>
        <v/>
      </c>
      <c r="D2413">
        <f>IF(A2413="","",TEXTAFTER(A2413,"|",2))</f>
        <v/>
      </c>
      <c r="E2413">
        <f>IF(A2413="","",SUMIF(Tickets[TripKey],A2413,Tickets[TP]))</f>
        <v/>
      </c>
      <c r="F2413">
        <f>IF(A2413="","",SUMIF(Tickets[TripKey],A2413,Tickets[Revenue]))</f>
        <v/>
      </c>
      <c r="G2413">
        <f>IF(A2413="","",SUMIF(Tickets[TripKey],A2413,Tickets[PK]))</f>
        <v/>
      </c>
      <c r="H2413">
        <f>IF(A2413="","",IFERROR(XLOOKUP(A2413,Tickets[TripKey],Tickets[VehClean]),""))</f>
        <v/>
      </c>
      <c r="I2413">
        <f>IF(A2413="","",IFERROR(XLOOKUP(A2413,Tickets[TripKey],Tickets[RouteLen]),0))</f>
        <v/>
      </c>
      <c r="J2413">
        <f>IF(A2413="","",IFERROR(XLOOKUP(A2413,Tickets[TripKey],Tickets[Capacity]),0))</f>
        <v/>
      </c>
      <c r="K2413">
        <f>IF(A2413="","",I2413*J2413)</f>
        <v/>
      </c>
      <c r="L2413">
        <f>IF(A2413="","",IFERROR(MINIFS(Tickets[Trip Start Time],Tickets[TripKey],A2413),""))</f>
        <v/>
      </c>
    </row>
    <row r="2414">
      <c r="B2414" s="8">
        <f>IF(A2414="","",IFERROR(DATEVALUE(TEXTBEFORE(A2414,"|")),--LEFT(A2414,10)))</f>
        <v/>
      </c>
      <c r="C2414">
        <f>IF(A2414="","",TEXTBEFORE(TEXTAFTER(A2414,"|"),"|"))</f>
        <v/>
      </c>
      <c r="D2414">
        <f>IF(A2414="","",TEXTAFTER(A2414,"|",2))</f>
        <v/>
      </c>
      <c r="E2414">
        <f>IF(A2414="","",SUMIF(Tickets[TripKey],A2414,Tickets[TP]))</f>
        <v/>
      </c>
      <c r="F2414">
        <f>IF(A2414="","",SUMIF(Tickets[TripKey],A2414,Tickets[Revenue]))</f>
        <v/>
      </c>
      <c r="G2414">
        <f>IF(A2414="","",SUMIF(Tickets[TripKey],A2414,Tickets[PK]))</f>
        <v/>
      </c>
      <c r="H2414">
        <f>IF(A2414="","",IFERROR(XLOOKUP(A2414,Tickets[TripKey],Tickets[VehClean]),""))</f>
        <v/>
      </c>
      <c r="I2414">
        <f>IF(A2414="","",IFERROR(XLOOKUP(A2414,Tickets[TripKey],Tickets[RouteLen]),0))</f>
        <v/>
      </c>
      <c r="J2414">
        <f>IF(A2414="","",IFERROR(XLOOKUP(A2414,Tickets[TripKey],Tickets[Capacity]),0))</f>
        <v/>
      </c>
      <c r="K2414">
        <f>IF(A2414="","",I2414*J2414)</f>
        <v/>
      </c>
      <c r="L2414">
        <f>IF(A2414="","",IFERROR(MINIFS(Tickets[Trip Start Time],Tickets[TripKey],A2414),""))</f>
        <v/>
      </c>
    </row>
    <row r="2415">
      <c r="B2415" s="8">
        <f>IF(A2415="","",IFERROR(DATEVALUE(TEXTBEFORE(A2415,"|")),--LEFT(A2415,10)))</f>
        <v/>
      </c>
      <c r="C2415">
        <f>IF(A2415="","",TEXTBEFORE(TEXTAFTER(A2415,"|"),"|"))</f>
        <v/>
      </c>
      <c r="D2415">
        <f>IF(A2415="","",TEXTAFTER(A2415,"|",2))</f>
        <v/>
      </c>
      <c r="E2415">
        <f>IF(A2415="","",SUMIF(Tickets[TripKey],A2415,Tickets[TP]))</f>
        <v/>
      </c>
      <c r="F2415">
        <f>IF(A2415="","",SUMIF(Tickets[TripKey],A2415,Tickets[Revenue]))</f>
        <v/>
      </c>
      <c r="G2415">
        <f>IF(A2415="","",SUMIF(Tickets[TripKey],A2415,Tickets[PK]))</f>
        <v/>
      </c>
      <c r="H2415">
        <f>IF(A2415="","",IFERROR(XLOOKUP(A2415,Tickets[TripKey],Tickets[VehClean]),""))</f>
        <v/>
      </c>
      <c r="I2415">
        <f>IF(A2415="","",IFERROR(XLOOKUP(A2415,Tickets[TripKey],Tickets[RouteLen]),0))</f>
        <v/>
      </c>
      <c r="J2415">
        <f>IF(A2415="","",IFERROR(XLOOKUP(A2415,Tickets[TripKey],Tickets[Capacity]),0))</f>
        <v/>
      </c>
      <c r="K2415">
        <f>IF(A2415="","",I2415*J2415)</f>
        <v/>
      </c>
      <c r="L2415">
        <f>IF(A2415="","",IFERROR(MINIFS(Tickets[Trip Start Time],Tickets[TripKey],A2415),""))</f>
        <v/>
      </c>
    </row>
    <row r="2416">
      <c r="B2416" s="8">
        <f>IF(A2416="","",IFERROR(DATEVALUE(TEXTBEFORE(A2416,"|")),--LEFT(A2416,10)))</f>
        <v/>
      </c>
      <c r="C2416">
        <f>IF(A2416="","",TEXTBEFORE(TEXTAFTER(A2416,"|"),"|"))</f>
        <v/>
      </c>
      <c r="D2416">
        <f>IF(A2416="","",TEXTAFTER(A2416,"|",2))</f>
        <v/>
      </c>
      <c r="E2416">
        <f>IF(A2416="","",SUMIF(Tickets[TripKey],A2416,Tickets[TP]))</f>
        <v/>
      </c>
      <c r="F2416">
        <f>IF(A2416="","",SUMIF(Tickets[TripKey],A2416,Tickets[Revenue]))</f>
        <v/>
      </c>
      <c r="G2416">
        <f>IF(A2416="","",SUMIF(Tickets[TripKey],A2416,Tickets[PK]))</f>
        <v/>
      </c>
      <c r="H2416">
        <f>IF(A2416="","",IFERROR(XLOOKUP(A2416,Tickets[TripKey],Tickets[VehClean]),""))</f>
        <v/>
      </c>
      <c r="I2416">
        <f>IF(A2416="","",IFERROR(XLOOKUP(A2416,Tickets[TripKey],Tickets[RouteLen]),0))</f>
        <v/>
      </c>
      <c r="J2416">
        <f>IF(A2416="","",IFERROR(XLOOKUP(A2416,Tickets[TripKey],Tickets[Capacity]),0))</f>
        <v/>
      </c>
      <c r="K2416">
        <f>IF(A2416="","",I2416*J2416)</f>
        <v/>
      </c>
      <c r="L2416">
        <f>IF(A2416="","",IFERROR(MINIFS(Tickets[Trip Start Time],Tickets[TripKey],A2416),""))</f>
        <v/>
      </c>
    </row>
    <row r="2417">
      <c r="B2417" s="8">
        <f>IF(A2417="","",IFERROR(DATEVALUE(TEXTBEFORE(A2417,"|")),--LEFT(A2417,10)))</f>
        <v/>
      </c>
      <c r="C2417">
        <f>IF(A2417="","",TEXTBEFORE(TEXTAFTER(A2417,"|"),"|"))</f>
        <v/>
      </c>
      <c r="D2417">
        <f>IF(A2417="","",TEXTAFTER(A2417,"|",2))</f>
        <v/>
      </c>
      <c r="E2417">
        <f>IF(A2417="","",SUMIF(Tickets[TripKey],A2417,Tickets[TP]))</f>
        <v/>
      </c>
      <c r="F2417">
        <f>IF(A2417="","",SUMIF(Tickets[TripKey],A2417,Tickets[Revenue]))</f>
        <v/>
      </c>
      <c r="G2417">
        <f>IF(A2417="","",SUMIF(Tickets[TripKey],A2417,Tickets[PK]))</f>
        <v/>
      </c>
      <c r="H2417">
        <f>IF(A2417="","",IFERROR(XLOOKUP(A2417,Tickets[TripKey],Tickets[VehClean]),""))</f>
        <v/>
      </c>
      <c r="I2417">
        <f>IF(A2417="","",IFERROR(XLOOKUP(A2417,Tickets[TripKey],Tickets[RouteLen]),0))</f>
        <v/>
      </c>
      <c r="J2417">
        <f>IF(A2417="","",IFERROR(XLOOKUP(A2417,Tickets[TripKey],Tickets[Capacity]),0))</f>
        <v/>
      </c>
      <c r="K2417">
        <f>IF(A2417="","",I2417*J2417)</f>
        <v/>
      </c>
      <c r="L2417">
        <f>IF(A2417="","",IFERROR(MINIFS(Tickets[Trip Start Time],Tickets[TripKey],A2417),""))</f>
        <v/>
      </c>
    </row>
    <row r="2418">
      <c r="B2418" s="8">
        <f>IF(A2418="","",IFERROR(DATEVALUE(TEXTBEFORE(A2418,"|")),--LEFT(A2418,10)))</f>
        <v/>
      </c>
      <c r="C2418">
        <f>IF(A2418="","",TEXTBEFORE(TEXTAFTER(A2418,"|"),"|"))</f>
        <v/>
      </c>
      <c r="D2418">
        <f>IF(A2418="","",TEXTAFTER(A2418,"|",2))</f>
        <v/>
      </c>
      <c r="E2418">
        <f>IF(A2418="","",SUMIF(Tickets[TripKey],A2418,Tickets[TP]))</f>
        <v/>
      </c>
      <c r="F2418">
        <f>IF(A2418="","",SUMIF(Tickets[TripKey],A2418,Tickets[Revenue]))</f>
        <v/>
      </c>
      <c r="G2418">
        <f>IF(A2418="","",SUMIF(Tickets[TripKey],A2418,Tickets[PK]))</f>
        <v/>
      </c>
      <c r="H2418">
        <f>IF(A2418="","",IFERROR(XLOOKUP(A2418,Tickets[TripKey],Tickets[VehClean]),""))</f>
        <v/>
      </c>
      <c r="I2418">
        <f>IF(A2418="","",IFERROR(XLOOKUP(A2418,Tickets[TripKey],Tickets[RouteLen]),0))</f>
        <v/>
      </c>
      <c r="J2418">
        <f>IF(A2418="","",IFERROR(XLOOKUP(A2418,Tickets[TripKey],Tickets[Capacity]),0))</f>
        <v/>
      </c>
      <c r="K2418">
        <f>IF(A2418="","",I2418*J2418)</f>
        <v/>
      </c>
      <c r="L2418">
        <f>IF(A2418="","",IFERROR(MINIFS(Tickets[Trip Start Time],Tickets[TripKey],A2418),""))</f>
        <v/>
      </c>
    </row>
    <row r="2419">
      <c r="B2419" s="8">
        <f>IF(A2419="","",IFERROR(DATEVALUE(TEXTBEFORE(A2419,"|")),--LEFT(A2419,10)))</f>
        <v/>
      </c>
      <c r="C2419">
        <f>IF(A2419="","",TEXTBEFORE(TEXTAFTER(A2419,"|"),"|"))</f>
        <v/>
      </c>
      <c r="D2419">
        <f>IF(A2419="","",TEXTAFTER(A2419,"|",2))</f>
        <v/>
      </c>
      <c r="E2419">
        <f>IF(A2419="","",SUMIF(Tickets[TripKey],A2419,Tickets[TP]))</f>
        <v/>
      </c>
      <c r="F2419">
        <f>IF(A2419="","",SUMIF(Tickets[TripKey],A2419,Tickets[Revenue]))</f>
        <v/>
      </c>
      <c r="G2419">
        <f>IF(A2419="","",SUMIF(Tickets[TripKey],A2419,Tickets[PK]))</f>
        <v/>
      </c>
      <c r="H2419">
        <f>IF(A2419="","",IFERROR(XLOOKUP(A2419,Tickets[TripKey],Tickets[VehClean]),""))</f>
        <v/>
      </c>
      <c r="I2419">
        <f>IF(A2419="","",IFERROR(XLOOKUP(A2419,Tickets[TripKey],Tickets[RouteLen]),0))</f>
        <v/>
      </c>
      <c r="J2419">
        <f>IF(A2419="","",IFERROR(XLOOKUP(A2419,Tickets[TripKey],Tickets[Capacity]),0))</f>
        <v/>
      </c>
      <c r="K2419">
        <f>IF(A2419="","",I2419*J2419)</f>
        <v/>
      </c>
      <c r="L2419">
        <f>IF(A2419="","",IFERROR(MINIFS(Tickets[Trip Start Time],Tickets[TripKey],A2419),""))</f>
        <v/>
      </c>
    </row>
    <row r="2420">
      <c r="B2420" s="8">
        <f>IF(A2420="","",IFERROR(DATEVALUE(TEXTBEFORE(A2420,"|")),--LEFT(A2420,10)))</f>
        <v/>
      </c>
      <c r="C2420">
        <f>IF(A2420="","",TEXTBEFORE(TEXTAFTER(A2420,"|"),"|"))</f>
        <v/>
      </c>
      <c r="D2420">
        <f>IF(A2420="","",TEXTAFTER(A2420,"|",2))</f>
        <v/>
      </c>
      <c r="E2420">
        <f>IF(A2420="","",SUMIF(Tickets[TripKey],A2420,Tickets[TP]))</f>
        <v/>
      </c>
      <c r="F2420">
        <f>IF(A2420="","",SUMIF(Tickets[TripKey],A2420,Tickets[Revenue]))</f>
        <v/>
      </c>
      <c r="G2420">
        <f>IF(A2420="","",SUMIF(Tickets[TripKey],A2420,Tickets[PK]))</f>
        <v/>
      </c>
      <c r="H2420">
        <f>IF(A2420="","",IFERROR(XLOOKUP(A2420,Tickets[TripKey],Tickets[VehClean]),""))</f>
        <v/>
      </c>
      <c r="I2420">
        <f>IF(A2420="","",IFERROR(XLOOKUP(A2420,Tickets[TripKey],Tickets[RouteLen]),0))</f>
        <v/>
      </c>
      <c r="J2420">
        <f>IF(A2420="","",IFERROR(XLOOKUP(A2420,Tickets[TripKey],Tickets[Capacity]),0))</f>
        <v/>
      </c>
      <c r="K2420">
        <f>IF(A2420="","",I2420*J2420)</f>
        <v/>
      </c>
      <c r="L2420">
        <f>IF(A2420="","",IFERROR(MINIFS(Tickets[Trip Start Time],Tickets[TripKey],A2420),""))</f>
        <v/>
      </c>
    </row>
    <row r="2421">
      <c r="B2421" s="8">
        <f>IF(A2421="","",IFERROR(DATEVALUE(TEXTBEFORE(A2421,"|")),--LEFT(A2421,10)))</f>
        <v/>
      </c>
      <c r="C2421">
        <f>IF(A2421="","",TEXTBEFORE(TEXTAFTER(A2421,"|"),"|"))</f>
        <v/>
      </c>
      <c r="D2421">
        <f>IF(A2421="","",TEXTAFTER(A2421,"|",2))</f>
        <v/>
      </c>
      <c r="E2421">
        <f>IF(A2421="","",SUMIF(Tickets[TripKey],A2421,Tickets[TP]))</f>
        <v/>
      </c>
      <c r="F2421">
        <f>IF(A2421="","",SUMIF(Tickets[TripKey],A2421,Tickets[Revenue]))</f>
        <v/>
      </c>
      <c r="G2421">
        <f>IF(A2421="","",SUMIF(Tickets[TripKey],A2421,Tickets[PK]))</f>
        <v/>
      </c>
      <c r="H2421">
        <f>IF(A2421="","",IFERROR(XLOOKUP(A2421,Tickets[TripKey],Tickets[VehClean]),""))</f>
        <v/>
      </c>
      <c r="I2421">
        <f>IF(A2421="","",IFERROR(XLOOKUP(A2421,Tickets[TripKey],Tickets[RouteLen]),0))</f>
        <v/>
      </c>
      <c r="J2421">
        <f>IF(A2421="","",IFERROR(XLOOKUP(A2421,Tickets[TripKey],Tickets[Capacity]),0))</f>
        <v/>
      </c>
      <c r="K2421">
        <f>IF(A2421="","",I2421*J2421)</f>
        <v/>
      </c>
      <c r="L2421">
        <f>IF(A2421="","",IFERROR(MINIFS(Tickets[Trip Start Time],Tickets[TripKey],A2421),""))</f>
        <v/>
      </c>
    </row>
    <row r="2422">
      <c r="B2422" s="8">
        <f>IF(A2422="","",IFERROR(DATEVALUE(TEXTBEFORE(A2422,"|")),--LEFT(A2422,10)))</f>
        <v/>
      </c>
      <c r="C2422">
        <f>IF(A2422="","",TEXTBEFORE(TEXTAFTER(A2422,"|"),"|"))</f>
        <v/>
      </c>
      <c r="D2422">
        <f>IF(A2422="","",TEXTAFTER(A2422,"|",2))</f>
        <v/>
      </c>
      <c r="E2422">
        <f>IF(A2422="","",SUMIF(Tickets[TripKey],A2422,Tickets[TP]))</f>
        <v/>
      </c>
      <c r="F2422">
        <f>IF(A2422="","",SUMIF(Tickets[TripKey],A2422,Tickets[Revenue]))</f>
        <v/>
      </c>
      <c r="G2422">
        <f>IF(A2422="","",SUMIF(Tickets[TripKey],A2422,Tickets[PK]))</f>
        <v/>
      </c>
      <c r="H2422">
        <f>IF(A2422="","",IFERROR(XLOOKUP(A2422,Tickets[TripKey],Tickets[VehClean]),""))</f>
        <v/>
      </c>
      <c r="I2422">
        <f>IF(A2422="","",IFERROR(XLOOKUP(A2422,Tickets[TripKey],Tickets[RouteLen]),0))</f>
        <v/>
      </c>
      <c r="J2422">
        <f>IF(A2422="","",IFERROR(XLOOKUP(A2422,Tickets[TripKey],Tickets[Capacity]),0))</f>
        <v/>
      </c>
      <c r="K2422">
        <f>IF(A2422="","",I2422*J2422)</f>
        <v/>
      </c>
      <c r="L2422">
        <f>IF(A2422="","",IFERROR(MINIFS(Tickets[Trip Start Time],Tickets[TripKey],A2422),""))</f>
        <v/>
      </c>
    </row>
    <row r="2423">
      <c r="B2423" s="8">
        <f>IF(A2423="","",IFERROR(DATEVALUE(TEXTBEFORE(A2423,"|")),--LEFT(A2423,10)))</f>
        <v/>
      </c>
      <c r="C2423">
        <f>IF(A2423="","",TEXTBEFORE(TEXTAFTER(A2423,"|"),"|"))</f>
        <v/>
      </c>
      <c r="D2423">
        <f>IF(A2423="","",TEXTAFTER(A2423,"|",2))</f>
        <v/>
      </c>
      <c r="E2423">
        <f>IF(A2423="","",SUMIF(Tickets[TripKey],A2423,Tickets[TP]))</f>
        <v/>
      </c>
      <c r="F2423">
        <f>IF(A2423="","",SUMIF(Tickets[TripKey],A2423,Tickets[Revenue]))</f>
        <v/>
      </c>
      <c r="G2423">
        <f>IF(A2423="","",SUMIF(Tickets[TripKey],A2423,Tickets[PK]))</f>
        <v/>
      </c>
      <c r="H2423">
        <f>IF(A2423="","",IFERROR(XLOOKUP(A2423,Tickets[TripKey],Tickets[VehClean]),""))</f>
        <v/>
      </c>
      <c r="I2423">
        <f>IF(A2423="","",IFERROR(XLOOKUP(A2423,Tickets[TripKey],Tickets[RouteLen]),0))</f>
        <v/>
      </c>
      <c r="J2423">
        <f>IF(A2423="","",IFERROR(XLOOKUP(A2423,Tickets[TripKey],Tickets[Capacity]),0))</f>
        <v/>
      </c>
      <c r="K2423">
        <f>IF(A2423="","",I2423*J2423)</f>
        <v/>
      </c>
      <c r="L2423">
        <f>IF(A2423="","",IFERROR(MINIFS(Tickets[Trip Start Time],Tickets[TripKey],A2423),""))</f>
        <v/>
      </c>
    </row>
    <row r="2424">
      <c r="B2424" s="8">
        <f>IF(A2424="","",IFERROR(DATEVALUE(TEXTBEFORE(A2424,"|")),--LEFT(A2424,10)))</f>
        <v/>
      </c>
      <c r="C2424">
        <f>IF(A2424="","",TEXTBEFORE(TEXTAFTER(A2424,"|"),"|"))</f>
        <v/>
      </c>
      <c r="D2424">
        <f>IF(A2424="","",TEXTAFTER(A2424,"|",2))</f>
        <v/>
      </c>
      <c r="E2424">
        <f>IF(A2424="","",SUMIF(Tickets[TripKey],A2424,Tickets[TP]))</f>
        <v/>
      </c>
      <c r="F2424">
        <f>IF(A2424="","",SUMIF(Tickets[TripKey],A2424,Tickets[Revenue]))</f>
        <v/>
      </c>
      <c r="G2424">
        <f>IF(A2424="","",SUMIF(Tickets[TripKey],A2424,Tickets[PK]))</f>
        <v/>
      </c>
      <c r="H2424">
        <f>IF(A2424="","",IFERROR(XLOOKUP(A2424,Tickets[TripKey],Tickets[VehClean]),""))</f>
        <v/>
      </c>
      <c r="I2424">
        <f>IF(A2424="","",IFERROR(XLOOKUP(A2424,Tickets[TripKey],Tickets[RouteLen]),0))</f>
        <v/>
      </c>
      <c r="J2424">
        <f>IF(A2424="","",IFERROR(XLOOKUP(A2424,Tickets[TripKey],Tickets[Capacity]),0))</f>
        <v/>
      </c>
      <c r="K2424">
        <f>IF(A2424="","",I2424*J2424)</f>
        <v/>
      </c>
      <c r="L2424">
        <f>IF(A2424="","",IFERROR(MINIFS(Tickets[Trip Start Time],Tickets[TripKey],A2424),""))</f>
        <v/>
      </c>
    </row>
    <row r="2425">
      <c r="B2425" s="8">
        <f>IF(A2425="","",IFERROR(DATEVALUE(TEXTBEFORE(A2425,"|")),--LEFT(A2425,10)))</f>
        <v/>
      </c>
      <c r="C2425">
        <f>IF(A2425="","",TEXTBEFORE(TEXTAFTER(A2425,"|"),"|"))</f>
        <v/>
      </c>
      <c r="D2425">
        <f>IF(A2425="","",TEXTAFTER(A2425,"|",2))</f>
        <v/>
      </c>
      <c r="E2425">
        <f>IF(A2425="","",SUMIF(Tickets[TripKey],A2425,Tickets[TP]))</f>
        <v/>
      </c>
      <c r="F2425">
        <f>IF(A2425="","",SUMIF(Tickets[TripKey],A2425,Tickets[Revenue]))</f>
        <v/>
      </c>
      <c r="G2425">
        <f>IF(A2425="","",SUMIF(Tickets[TripKey],A2425,Tickets[PK]))</f>
        <v/>
      </c>
      <c r="H2425">
        <f>IF(A2425="","",IFERROR(XLOOKUP(A2425,Tickets[TripKey],Tickets[VehClean]),""))</f>
        <v/>
      </c>
      <c r="I2425">
        <f>IF(A2425="","",IFERROR(XLOOKUP(A2425,Tickets[TripKey],Tickets[RouteLen]),0))</f>
        <v/>
      </c>
      <c r="J2425">
        <f>IF(A2425="","",IFERROR(XLOOKUP(A2425,Tickets[TripKey],Tickets[Capacity]),0))</f>
        <v/>
      </c>
      <c r="K2425">
        <f>IF(A2425="","",I2425*J2425)</f>
        <v/>
      </c>
      <c r="L2425">
        <f>IF(A2425="","",IFERROR(MINIFS(Tickets[Trip Start Time],Tickets[TripKey],A2425),""))</f>
        <v/>
      </c>
    </row>
    <row r="2426">
      <c r="B2426" s="8">
        <f>IF(A2426="","",IFERROR(DATEVALUE(TEXTBEFORE(A2426,"|")),--LEFT(A2426,10)))</f>
        <v/>
      </c>
      <c r="C2426">
        <f>IF(A2426="","",TEXTBEFORE(TEXTAFTER(A2426,"|"),"|"))</f>
        <v/>
      </c>
      <c r="D2426">
        <f>IF(A2426="","",TEXTAFTER(A2426,"|",2))</f>
        <v/>
      </c>
      <c r="E2426">
        <f>IF(A2426="","",SUMIF(Tickets[TripKey],A2426,Tickets[TP]))</f>
        <v/>
      </c>
      <c r="F2426">
        <f>IF(A2426="","",SUMIF(Tickets[TripKey],A2426,Tickets[Revenue]))</f>
        <v/>
      </c>
      <c r="G2426">
        <f>IF(A2426="","",SUMIF(Tickets[TripKey],A2426,Tickets[PK]))</f>
        <v/>
      </c>
      <c r="H2426">
        <f>IF(A2426="","",IFERROR(XLOOKUP(A2426,Tickets[TripKey],Tickets[VehClean]),""))</f>
        <v/>
      </c>
      <c r="I2426">
        <f>IF(A2426="","",IFERROR(XLOOKUP(A2426,Tickets[TripKey],Tickets[RouteLen]),0))</f>
        <v/>
      </c>
      <c r="J2426">
        <f>IF(A2426="","",IFERROR(XLOOKUP(A2426,Tickets[TripKey],Tickets[Capacity]),0))</f>
        <v/>
      </c>
      <c r="K2426">
        <f>IF(A2426="","",I2426*J2426)</f>
        <v/>
      </c>
      <c r="L2426">
        <f>IF(A2426="","",IFERROR(MINIFS(Tickets[Trip Start Time],Tickets[TripKey],A2426),""))</f>
        <v/>
      </c>
    </row>
    <row r="2427">
      <c r="B2427" s="8">
        <f>IF(A2427="","",IFERROR(DATEVALUE(TEXTBEFORE(A2427,"|")),--LEFT(A2427,10)))</f>
        <v/>
      </c>
      <c r="C2427">
        <f>IF(A2427="","",TEXTBEFORE(TEXTAFTER(A2427,"|"),"|"))</f>
        <v/>
      </c>
      <c r="D2427">
        <f>IF(A2427="","",TEXTAFTER(A2427,"|",2))</f>
        <v/>
      </c>
      <c r="E2427">
        <f>IF(A2427="","",SUMIF(Tickets[TripKey],A2427,Tickets[TP]))</f>
        <v/>
      </c>
      <c r="F2427">
        <f>IF(A2427="","",SUMIF(Tickets[TripKey],A2427,Tickets[Revenue]))</f>
        <v/>
      </c>
      <c r="G2427">
        <f>IF(A2427="","",SUMIF(Tickets[TripKey],A2427,Tickets[PK]))</f>
        <v/>
      </c>
      <c r="H2427">
        <f>IF(A2427="","",IFERROR(XLOOKUP(A2427,Tickets[TripKey],Tickets[VehClean]),""))</f>
        <v/>
      </c>
      <c r="I2427">
        <f>IF(A2427="","",IFERROR(XLOOKUP(A2427,Tickets[TripKey],Tickets[RouteLen]),0))</f>
        <v/>
      </c>
      <c r="J2427">
        <f>IF(A2427="","",IFERROR(XLOOKUP(A2427,Tickets[TripKey],Tickets[Capacity]),0))</f>
        <v/>
      </c>
      <c r="K2427">
        <f>IF(A2427="","",I2427*J2427)</f>
        <v/>
      </c>
      <c r="L2427">
        <f>IF(A2427="","",IFERROR(MINIFS(Tickets[Trip Start Time],Tickets[TripKey],A2427),""))</f>
        <v/>
      </c>
    </row>
    <row r="2428">
      <c r="B2428" s="8">
        <f>IF(A2428="","",IFERROR(DATEVALUE(TEXTBEFORE(A2428,"|")),--LEFT(A2428,10)))</f>
        <v/>
      </c>
      <c r="C2428">
        <f>IF(A2428="","",TEXTBEFORE(TEXTAFTER(A2428,"|"),"|"))</f>
        <v/>
      </c>
      <c r="D2428">
        <f>IF(A2428="","",TEXTAFTER(A2428,"|",2))</f>
        <v/>
      </c>
      <c r="E2428">
        <f>IF(A2428="","",SUMIF(Tickets[TripKey],A2428,Tickets[TP]))</f>
        <v/>
      </c>
      <c r="F2428">
        <f>IF(A2428="","",SUMIF(Tickets[TripKey],A2428,Tickets[Revenue]))</f>
        <v/>
      </c>
      <c r="G2428">
        <f>IF(A2428="","",SUMIF(Tickets[TripKey],A2428,Tickets[PK]))</f>
        <v/>
      </c>
      <c r="H2428">
        <f>IF(A2428="","",IFERROR(XLOOKUP(A2428,Tickets[TripKey],Tickets[VehClean]),""))</f>
        <v/>
      </c>
      <c r="I2428">
        <f>IF(A2428="","",IFERROR(XLOOKUP(A2428,Tickets[TripKey],Tickets[RouteLen]),0))</f>
        <v/>
      </c>
      <c r="J2428">
        <f>IF(A2428="","",IFERROR(XLOOKUP(A2428,Tickets[TripKey],Tickets[Capacity]),0))</f>
        <v/>
      </c>
      <c r="K2428">
        <f>IF(A2428="","",I2428*J2428)</f>
        <v/>
      </c>
      <c r="L2428">
        <f>IF(A2428="","",IFERROR(MINIFS(Tickets[Trip Start Time],Tickets[TripKey],A2428),""))</f>
        <v/>
      </c>
    </row>
    <row r="2429">
      <c r="B2429" s="8">
        <f>IF(A2429="","",IFERROR(DATEVALUE(TEXTBEFORE(A2429,"|")),--LEFT(A2429,10)))</f>
        <v/>
      </c>
      <c r="C2429">
        <f>IF(A2429="","",TEXTBEFORE(TEXTAFTER(A2429,"|"),"|"))</f>
        <v/>
      </c>
      <c r="D2429">
        <f>IF(A2429="","",TEXTAFTER(A2429,"|",2))</f>
        <v/>
      </c>
      <c r="E2429">
        <f>IF(A2429="","",SUMIF(Tickets[TripKey],A2429,Tickets[TP]))</f>
        <v/>
      </c>
      <c r="F2429">
        <f>IF(A2429="","",SUMIF(Tickets[TripKey],A2429,Tickets[Revenue]))</f>
        <v/>
      </c>
      <c r="G2429">
        <f>IF(A2429="","",SUMIF(Tickets[TripKey],A2429,Tickets[PK]))</f>
        <v/>
      </c>
      <c r="H2429">
        <f>IF(A2429="","",IFERROR(XLOOKUP(A2429,Tickets[TripKey],Tickets[VehClean]),""))</f>
        <v/>
      </c>
      <c r="I2429">
        <f>IF(A2429="","",IFERROR(XLOOKUP(A2429,Tickets[TripKey],Tickets[RouteLen]),0))</f>
        <v/>
      </c>
      <c r="J2429">
        <f>IF(A2429="","",IFERROR(XLOOKUP(A2429,Tickets[TripKey],Tickets[Capacity]),0))</f>
        <v/>
      </c>
      <c r="K2429">
        <f>IF(A2429="","",I2429*J2429)</f>
        <v/>
      </c>
      <c r="L2429">
        <f>IF(A2429="","",IFERROR(MINIFS(Tickets[Trip Start Time],Tickets[TripKey],A2429),""))</f>
        <v/>
      </c>
    </row>
    <row r="2430">
      <c r="B2430" s="8">
        <f>IF(A2430="","",IFERROR(DATEVALUE(TEXTBEFORE(A2430,"|")),--LEFT(A2430,10)))</f>
        <v/>
      </c>
      <c r="C2430">
        <f>IF(A2430="","",TEXTBEFORE(TEXTAFTER(A2430,"|"),"|"))</f>
        <v/>
      </c>
      <c r="D2430">
        <f>IF(A2430="","",TEXTAFTER(A2430,"|",2))</f>
        <v/>
      </c>
      <c r="E2430">
        <f>IF(A2430="","",SUMIF(Tickets[TripKey],A2430,Tickets[TP]))</f>
        <v/>
      </c>
      <c r="F2430">
        <f>IF(A2430="","",SUMIF(Tickets[TripKey],A2430,Tickets[Revenue]))</f>
        <v/>
      </c>
      <c r="G2430">
        <f>IF(A2430="","",SUMIF(Tickets[TripKey],A2430,Tickets[PK]))</f>
        <v/>
      </c>
      <c r="H2430">
        <f>IF(A2430="","",IFERROR(XLOOKUP(A2430,Tickets[TripKey],Tickets[VehClean]),""))</f>
        <v/>
      </c>
      <c r="I2430">
        <f>IF(A2430="","",IFERROR(XLOOKUP(A2430,Tickets[TripKey],Tickets[RouteLen]),0))</f>
        <v/>
      </c>
      <c r="J2430">
        <f>IF(A2430="","",IFERROR(XLOOKUP(A2430,Tickets[TripKey],Tickets[Capacity]),0))</f>
        <v/>
      </c>
      <c r="K2430">
        <f>IF(A2430="","",I2430*J2430)</f>
        <v/>
      </c>
      <c r="L2430">
        <f>IF(A2430="","",IFERROR(MINIFS(Tickets[Trip Start Time],Tickets[TripKey],A2430),""))</f>
        <v/>
      </c>
    </row>
    <row r="2431">
      <c r="B2431" s="8">
        <f>IF(A2431="","",IFERROR(DATEVALUE(TEXTBEFORE(A2431,"|")),--LEFT(A2431,10)))</f>
        <v/>
      </c>
      <c r="C2431">
        <f>IF(A2431="","",TEXTBEFORE(TEXTAFTER(A2431,"|"),"|"))</f>
        <v/>
      </c>
      <c r="D2431">
        <f>IF(A2431="","",TEXTAFTER(A2431,"|",2))</f>
        <v/>
      </c>
      <c r="E2431">
        <f>IF(A2431="","",SUMIF(Tickets[TripKey],A2431,Tickets[TP]))</f>
        <v/>
      </c>
      <c r="F2431">
        <f>IF(A2431="","",SUMIF(Tickets[TripKey],A2431,Tickets[Revenue]))</f>
        <v/>
      </c>
      <c r="G2431">
        <f>IF(A2431="","",SUMIF(Tickets[TripKey],A2431,Tickets[PK]))</f>
        <v/>
      </c>
      <c r="H2431">
        <f>IF(A2431="","",IFERROR(XLOOKUP(A2431,Tickets[TripKey],Tickets[VehClean]),""))</f>
        <v/>
      </c>
      <c r="I2431">
        <f>IF(A2431="","",IFERROR(XLOOKUP(A2431,Tickets[TripKey],Tickets[RouteLen]),0))</f>
        <v/>
      </c>
      <c r="J2431">
        <f>IF(A2431="","",IFERROR(XLOOKUP(A2431,Tickets[TripKey],Tickets[Capacity]),0))</f>
        <v/>
      </c>
      <c r="K2431">
        <f>IF(A2431="","",I2431*J2431)</f>
        <v/>
      </c>
      <c r="L2431">
        <f>IF(A2431="","",IFERROR(MINIFS(Tickets[Trip Start Time],Tickets[TripKey],A2431),""))</f>
        <v/>
      </c>
    </row>
    <row r="2432">
      <c r="B2432" s="8">
        <f>IF(A2432="","",IFERROR(DATEVALUE(TEXTBEFORE(A2432,"|")),--LEFT(A2432,10)))</f>
        <v/>
      </c>
      <c r="C2432">
        <f>IF(A2432="","",TEXTBEFORE(TEXTAFTER(A2432,"|"),"|"))</f>
        <v/>
      </c>
      <c r="D2432">
        <f>IF(A2432="","",TEXTAFTER(A2432,"|",2))</f>
        <v/>
      </c>
      <c r="E2432">
        <f>IF(A2432="","",SUMIF(Tickets[TripKey],A2432,Tickets[TP]))</f>
        <v/>
      </c>
      <c r="F2432">
        <f>IF(A2432="","",SUMIF(Tickets[TripKey],A2432,Tickets[Revenue]))</f>
        <v/>
      </c>
      <c r="G2432">
        <f>IF(A2432="","",SUMIF(Tickets[TripKey],A2432,Tickets[PK]))</f>
        <v/>
      </c>
      <c r="H2432">
        <f>IF(A2432="","",IFERROR(XLOOKUP(A2432,Tickets[TripKey],Tickets[VehClean]),""))</f>
        <v/>
      </c>
      <c r="I2432">
        <f>IF(A2432="","",IFERROR(XLOOKUP(A2432,Tickets[TripKey],Tickets[RouteLen]),0))</f>
        <v/>
      </c>
      <c r="J2432">
        <f>IF(A2432="","",IFERROR(XLOOKUP(A2432,Tickets[TripKey],Tickets[Capacity]),0))</f>
        <v/>
      </c>
      <c r="K2432">
        <f>IF(A2432="","",I2432*J2432)</f>
        <v/>
      </c>
      <c r="L2432">
        <f>IF(A2432="","",IFERROR(MINIFS(Tickets[Trip Start Time],Tickets[TripKey],A2432),""))</f>
        <v/>
      </c>
    </row>
    <row r="2433">
      <c r="B2433" s="8">
        <f>IF(A2433="","",IFERROR(DATEVALUE(TEXTBEFORE(A2433,"|")),--LEFT(A2433,10)))</f>
        <v/>
      </c>
      <c r="C2433">
        <f>IF(A2433="","",TEXTBEFORE(TEXTAFTER(A2433,"|"),"|"))</f>
        <v/>
      </c>
      <c r="D2433">
        <f>IF(A2433="","",TEXTAFTER(A2433,"|",2))</f>
        <v/>
      </c>
      <c r="E2433">
        <f>IF(A2433="","",SUMIF(Tickets[TripKey],A2433,Tickets[TP]))</f>
        <v/>
      </c>
      <c r="F2433">
        <f>IF(A2433="","",SUMIF(Tickets[TripKey],A2433,Tickets[Revenue]))</f>
        <v/>
      </c>
      <c r="G2433">
        <f>IF(A2433="","",SUMIF(Tickets[TripKey],A2433,Tickets[PK]))</f>
        <v/>
      </c>
      <c r="H2433">
        <f>IF(A2433="","",IFERROR(XLOOKUP(A2433,Tickets[TripKey],Tickets[VehClean]),""))</f>
        <v/>
      </c>
      <c r="I2433">
        <f>IF(A2433="","",IFERROR(XLOOKUP(A2433,Tickets[TripKey],Tickets[RouteLen]),0))</f>
        <v/>
      </c>
      <c r="J2433">
        <f>IF(A2433="","",IFERROR(XLOOKUP(A2433,Tickets[TripKey],Tickets[Capacity]),0))</f>
        <v/>
      </c>
      <c r="K2433">
        <f>IF(A2433="","",I2433*J2433)</f>
        <v/>
      </c>
      <c r="L2433">
        <f>IF(A2433="","",IFERROR(MINIFS(Tickets[Trip Start Time],Tickets[TripKey],A2433),""))</f>
        <v/>
      </c>
    </row>
    <row r="2434">
      <c r="B2434" s="8">
        <f>IF(A2434="","",IFERROR(DATEVALUE(TEXTBEFORE(A2434,"|")),--LEFT(A2434,10)))</f>
        <v/>
      </c>
      <c r="C2434">
        <f>IF(A2434="","",TEXTBEFORE(TEXTAFTER(A2434,"|"),"|"))</f>
        <v/>
      </c>
      <c r="D2434">
        <f>IF(A2434="","",TEXTAFTER(A2434,"|",2))</f>
        <v/>
      </c>
      <c r="E2434">
        <f>IF(A2434="","",SUMIF(Tickets[TripKey],A2434,Tickets[TP]))</f>
        <v/>
      </c>
      <c r="F2434">
        <f>IF(A2434="","",SUMIF(Tickets[TripKey],A2434,Tickets[Revenue]))</f>
        <v/>
      </c>
      <c r="G2434">
        <f>IF(A2434="","",SUMIF(Tickets[TripKey],A2434,Tickets[PK]))</f>
        <v/>
      </c>
      <c r="H2434">
        <f>IF(A2434="","",IFERROR(XLOOKUP(A2434,Tickets[TripKey],Tickets[VehClean]),""))</f>
        <v/>
      </c>
      <c r="I2434">
        <f>IF(A2434="","",IFERROR(XLOOKUP(A2434,Tickets[TripKey],Tickets[RouteLen]),0))</f>
        <v/>
      </c>
      <c r="J2434">
        <f>IF(A2434="","",IFERROR(XLOOKUP(A2434,Tickets[TripKey],Tickets[Capacity]),0))</f>
        <v/>
      </c>
      <c r="K2434">
        <f>IF(A2434="","",I2434*J2434)</f>
        <v/>
      </c>
      <c r="L2434">
        <f>IF(A2434="","",IFERROR(MINIFS(Tickets[Trip Start Time],Tickets[TripKey],A2434),""))</f>
        <v/>
      </c>
    </row>
    <row r="2435">
      <c r="B2435" s="8">
        <f>IF(A2435="","",IFERROR(DATEVALUE(TEXTBEFORE(A2435,"|")),--LEFT(A2435,10)))</f>
        <v/>
      </c>
      <c r="C2435">
        <f>IF(A2435="","",TEXTBEFORE(TEXTAFTER(A2435,"|"),"|"))</f>
        <v/>
      </c>
      <c r="D2435">
        <f>IF(A2435="","",TEXTAFTER(A2435,"|",2))</f>
        <v/>
      </c>
      <c r="E2435">
        <f>IF(A2435="","",SUMIF(Tickets[TripKey],A2435,Tickets[TP]))</f>
        <v/>
      </c>
      <c r="F2435">
        <f>IF(A2435="","",SUMIF(Tickets[TripKey],A2435,Tickets[Revenue]))</f>
        <v/>
      </c>
      <c r="G2435">
        <f>IF(A2435="","",SUMIF(Tickets[TripKey],A2435,Tickets[PK]))</f>
        <v/>
      </c>
      <c r="H2435">
        <f>IF(A2435="","",IFERROR(XLOOKUP(A2435,Tickets[TripKey],Tickets[VehClean]),""))</f>
        <v/>
      </c>
      <c r="I2435">
        <f>IF(A2435="","",IFERROR(XLOOKUP(A2435,Tickets[TripKey],Tickets[RouteLen]),0))</f>
        <v/>
      </c>
      <c r="J2435">
        <f>IF(A2435="","",IFERROR(XLOOKUP(A2435,Tickets[TripKey],Tickets[Capacity]),0))</f>
        <v/>
      </c>
      <c r="K2435">
        <f>IF(A2435="","",I2435*J2435)</f>
        <v/>
      </c>
      <c r="L2435">
        <f>IF(A2435="","",IFERROR(MINIFS(Tickets[Trip Start Time],Tickets[TripKey],A2435),""))</f>
        <v/>
      </c>
    </row>
    <row r="2436">
      <c r="B2436" s="8">
        <f>IF(A2436="","",IFERROR(DATEVALUE(TEXTBEFORE(A2436,"|")),--LEFT(A2436,10)))</f>
        <v/>
      </c>
      <c r="C2436">
        <f>IF(A2436="","",TEXTBEFORE(TEXTAFTER(A2436,"|"),"|"))</f>
        <v/>
      </c>
      <c r="D2436">
        <f>IF(A2436="","",TEXTAFTER(A2436,"|",2))</f>
        <v/>
      </c>
      <c r="E2436">
        <f>IF(A2436="","",SUMIF(Tickets[TripKey],A2436,Tickets[TP]))</f>
        <v/>
      </c>
      <c r="F2436">
        <f>IF(A2436="","",SUMIF(Tickets[TripKey],A2436,Tickets[Revenue]))</f>
        <v/>
      </c>
      <c r="G2436">
        <f>IF(A2436="","",SUMIF(Tickets[TripKey],A2436,Tickets[PK]))</f>
        <v/>
      </c>
      <c r="H2436">
        <f>IF(A2436="","",IFERROR(XLOOKUP(A2436,Tickets[TripKey],Tickets[VehClean]),""))</f>
        <v/>
      </c>
      <c r="I2436">
        <f>IF(A2436="","",IFERROR(XLOOKUP(A2436,Tickets[TripKey],Tickets[RouteLen]),0))</f>
        <v/>
      </c>
      <c r="J2436">
        <f>IF(A2436="","",IFERROR(XLOOKUP(A2436,Tickets[TripKey],Tickets[Capacity]),0))</f>
        <v/>
      </c>
      <c r="K2436">
        <f>IF(A2436="","",I2436*J2436)</f>
        <v/>
      </c>
      <c r="L2436">
        <f>IF(A2436="","",IFERROR(MINIFS(Tickets[Trip Start Time],Tickets[TripKey],A2436),""))</f>
        <v/>
      </c>
    </row>
    <row r="2437">
      <c r="B2437" s="8">
        <f>IF(A2437="","",IFERROR(DATEVALUE(TEXTBEFORE(A2437,"|")),--LEFT(A2437,10)))</f>
        <v/>
      </c>
      <c r="C2437">
        <f>IF(A2437="","",TEXTBEFORE(TEXTAFTER(A2437,"|"),"|"))</f>
        <v/>
      </c>
      <c r="D2437">
        <f>IF(A2437="","",TEXTAFTER(A2437,"|",2))</f>
        <v/>
      </c>
      <c r="E2437">
        <f>IF(A2437="","",SUMIF(Tickets[TripKey],A2437,Tickets[TP]))</f>
        <v/>
      </c>
      <c r="F2437">
        <f>IF(A2437="","",SUMIF(Tickets[TripKey],A2437,Tickets[Revenue]))</f>
        <v/>
      </c>
      <c r="G2437">
        <f>IF(A2437="","",SUMIF(Tickets[TripKey],A2437,Tickets[PK]))</f>
        <v/>
      </c>
      <c r="H2437">
        <f>IF(A2437="","",IFERROR(XLOOKUP(A2437,Tickets[TripKey],Tickets[VehClean]),""))</f>
        <v/>
      </c>
      <c r="I2437">
        <f>IF(A2437="","",IFERROR(XLOOKUP(A2437,Tickets[TripKey],Tickets[RouteLen]),0))</f>
        <v/>
      </c>
      <c r="J2437">
        <f>IF(A2437="","",IFERROR(XLOOKUP(A2437,Tickets[TripKey],Tickets[Capacity]),0))</f>
        <v/>
      </c>
      <c r="K2437">
        <f>IF(A2437="","",I2437*J2437)</f>
        <v/>
      </c>
      <c r="L2437">
        <f>IF(A2437="","",IFERROR(MINIFS(Tickets[Trip Start Time],Tickets[TripKey],A2437),""))</f>
        <v/>
      </c>
    </row>
    <row r="2438">
      <c r="B2438" s="8">
        <f>IF(A2438="","",IFERROR(DATEVALUE(TEXTBEFORE(A2438,"|")),--LEFT(A2438,10)))</f>
        <v/>
      </c>
      <c r="C2438">
        <f>IF(A2438="","",TEXTBEFORE(TEXTAFTER(A2438,"|"),"|"))</f>
        <v/>
      </c>
      <c r="D2438">
        <f>IF(A2438="","",TEXTAFTER(A2438,"|",2))</f>
        <v/>
      </c>
      <c r="E2438">
        <f>IF(A2438="","",SUMIF(Tickets[TripKey],A2438,Tickets[TP]))</f>
        <v/>
      </c>
      <c r="F2438">
        <f>IF(A2438="","",SUMIF(Tickets[TripKey],A2438,Tickets[Revenue]))</f>
        <v/>
      </c>
      <c r="G2438">
        <f>IF(A2438="","",SUMIF(Tickets[TripKey],A2438,Tickets[PK]))</f>
        <v/>
      </c>
      <c r="H2438">
        <f>IF(A2438="","",IFERROR(XLOOKUP(A2438,Tickets[TripKey],Tickets[VehClean]),""))</f>
        <v/>
      </c>
      <c r="I2438">
        <f>IF(A2438="","",IFERROR(XLOOKUP(A2438,Tickets[TripKey],Tickets[RouteLen]),0))</f>
        <v/>
      </c>
      <c r="J2438">
        <f>IF(A2438="","",IFERROR(XLOOKUP(A2438,Tickets[TripKey],Tickets[Capacity]),0))</f>
        <v/>
      </c>
      <c r="K2438">
        <f>IF(A2438="","",I2438*J2438)</f>
        <v/>
      </c>
      <c r="L2438">
        <f>IF(A2438="","",IFERROR(MINIFS(Tickets[Trip Start Time],Tickets[TripKey],A2438),""))</f>
        <v/>
      </c>
    </row>
    <row r="2439">
      <c r="B2439" s="8">
        <f>IF(A2439="","",IFERROR(DATEVALUE(TEXTBEFORE(A2439,"|")),--LEFT(A2439,10)))</f>
        <v/>
      </c>
      <c r="C2439">
        <f>IF(A2439="","",TEXTBEFORE(TEXTAFTER(A2439,"|"),"|"))</f>
        <v/>
      </c>
      <c r="D2439">
        <f>IF(A2439="","",TEXTAFTER(A2439,"|",2))</f>
        <v/>
      </c>
      <c r="E2439">
        <f>IF(A2439="","",SUMIF(Tickets[TripKey],A2439,Tickets[TP]))</f>
        <v/>
      </c>
      <c r="F2439">
        <f>IF(A2439="","",SUMIF(Tickets[TripKey],A2439,Tickets[Revenue]))</f>
        <v/>
      </c>
      <c r="G2439">
        <f>IF(A2439="","",SUMIF(Tickets[TripKey],A2439,Tickets[PK]))</f>
        <v/>
      </c>
      <c r="H2439">
        <f>IF(A2439="","",IFERROR(XLOOKUP(A2439,Tickets[TripKey],Tickets[VehClean]),""))</f>
        <v/>
      </c>
      <c r="I2439">
        <f>IF(A2439="","",IFERROR(XLOOKUP(A2439,Tickets[TripKey],Tickets[RouteLen]),0))</f>
        <v/>
      </c>
      <c r="J2439">
        <f>IF(A2439="","",IFERROR(XLOOKUP(A2439,Tickets[TripKey],Tickets[Capacity]),0))</f>
        <v/>
      </c>
      <c r="K2439">
        <f>IF(A2439="","",I2439*J2439)</f>
        <v/>
      </c>
      <c r="L2439">
        <f>IF(A2439="","",IFERROR(MINIFS(Tickets[Trip Start Time],Tickets[TripKey],A2439),""))</f>
        <v/>
      </c>
    </row>
    <row r="2440">
      <c r="B2440" s="8">
        <f>IF(A2440="","",IFERROR(DATEVALUE(TEXTBEFORE(A2440,"|")),--LEFT(A2440,10)))</f>
        <v/>
      </c>
      <c r="C2440">
        <f>IF(A2440="","",TEXTBEFORE(TEXTAFTER(A2440,"|"),"|"))</f>
        <v/>
      </c>
      <c r="D2440">
        <f>IF(A2440="","",TEXTAFTER(A2440,"|",2))</f>
        <v/>
      </c>
      <c r="E2440">
        <f>IF(A2440="","",SUMIF(Tickets[TripKey],A2440,Tickets[TP]))</f>
        <v/>
      </c>
      <c r="F2440">
        <f>IF(A2440="","",SUMIF(Tickets[TripKey],A2440,Tickets[Revenue]))</f>
        <v/>
      </c>
      <c r="G2440">
        <f>IF(A2440="","",SUMIF(Tickets[TripKey],A2440,Tickets[PK]))</f>
        <v/>
      </c>
      <c r="H2440">
        <f>IF(A2440="","",IFERROR(XLOOKUP(A2440,Tickets[TripKey],Tickets[VehClean]),""))</f>
        <v/>
      </c>
      <c r="I2440">
        <f>IF(A2440="","",IFERROR(XLOOKUP(A2440,Tickets[TripKey],Tickets[RouteLen]),0))</f>
        <v/>
      </c>
      <c r="J2440">
        <f>IF(A2440="","",IFERROR(XLOOKUP(A2440,Tickets[TripKey],Tickets[Capacity]),0))</f>
        <v/>
      </c>
      <c r="K2440">
        <f>IF(A2440="","",I2440*J2440)</f>
        <v/>
      </c>
      <c r="L2440">
        <f>IF(A2440="","",IFERROR(MINIFS(Tickets[Trip Start Time],Tickets[TripKey],A2440),""))</f>
        <v/>
      </c>
    </row>
    <row r="2441">
      <c r="B2441" s="8">
        <f>IF(A2441="","",IFERROR(DATEVALUE(TEXTBEFORE(A2441,"|")),--LEFT(A2441,10)))</f>
        <v/>
      </c>
      <c r="C2441">
        <f>IF(A2441="","",TEXTBEFORE(TEXTAFTER(A2441,"|"),"|"))</f>
        <v/>
      </c>
      <c r="D2441">
        <f>IF(A2441="","",TEXTAFTER(A2441,"|",2))</f>
        <v/>
      </c>
      <c r="E2441">
        <f>IF(A2441="","",SUMIF(Tickets[TripKey],A2441,Tickets[TP]))</f>
        <v/>
      </c>
      <c r="F2441">
        <f>IF(A2441="","",SUMIF(Tickets[TripKey],A2441,Tickets[Revenue]))</f>
        <v/>
      </c>
      <c r="G2441">
        <f>IF(A2441="","",SUMIF(Tickets[TripKey],A2441,Tickets[PK]))</f>
        <v/>
      </c>
      <c r="H2441">
        <f>IF(A2441="","",IFERROR(XLOOKUP(A2441,Tickets[TripKey],Tickets[VehClean]),""))</f>
        <v/>
      </c>
      <c r="I2441">
        <f>IF(A2441="","",IFERROR(XLOOKUP(A2441,Tickets[TripKey],Tickets[RouteLen]),0))</f>
        <v/>
      </c>
      <c r="J2441">
        <f>IF(A2441="","",IFERROR(XLOOKUP(A2441,Tickets[TripKey],Tickets[Capacity]),0))</f>
        <v/>
      </c>
      <c r="K2441">
        <f>IF(A2441="","",I2441*J2441)</f>
        <v/>
      </c>
      <c r="L2441">
        <f>IF(A2441="","",IFERROR(MINIFS(Tickets[Trip Start Time],Tickets[TripKey],A2441),""))</f>
        <v/>
      </c>
    </row>
    <row r="2442">
      <c r="B2442" s="8">
        <f>IF(A2442="","",IFERROR(DATEVALUE(TEXTBEFORE(A2442,"|")),--LEFT(A2442,10)))</f>
        <v/>
      </c>
      <c r="C2442">
        <f>IF(A2442="","",TEXTBEFORE(TEXTAFTER(A2442,"|"),"|"))</f>
        <v/>
      </c>
      <c r="D2442">
        <f>IF(A2442="","",TEXTAFTER(A2442,"|",2))</f>
        <v/>
      </c>
      <c r="E2442">
        <f>IF(A2442="","",SUMIF(Tickets[TripKey],A2442,Tickets[TP]))</f>
        <v/>
      </c>
      <c r="F2442">
        <f>IF(A2442="","",SUMIF(Tickets[TripKey],A2442,Tickets[Revenue]))</f>
        <v/>
      </c>
      <c r="G2442">
        <f>IF(A2442="","",SUMIF(Tickets[TripKey],A2442,Tickets[PK]))</f>
        <v/>
      </c>
      <c r="H2442">
        <f>IF(A2442="","",IFERROR(XLOOKUP(A2442,Tickets[TripKey],Tickets[VehClean]),""))</f>
        <v/>
      </c>
      <c r="I2442">
        <f>IF(A2442="","",IFERROR(XLOOKUP(A2442,Tickets[TripKey],Tickets[RouteLen]),0))</f>
        <v/>
      </c>
      <c r="J2442">
        <f>IF(A2442="","",IFERROR(XLOOKUP(A2442,Tickets[TripKey],Tickets[Capacity]),0))</f>
        <v/>
      </c>
      <c r="K2442">
        <f>IF(A2442="","",I2442*J2442)</f>
        <v/>
      </c>
      <c r="L2442">
        <f>IF(A2442="","",IFERROR(MINIFS(Tickets[Trip Start Time],Tickets[TripKey],A2442),""))</f>
        <v/>
      </c>
    </row>
    <row r="2443">
      <c r="B2443" s="8">
        <f>IF(A2443="","",IFERROR(DATEVALUE(TEXTBEFORE(A2443,"|")),--LEFT(A2443,10)))</f>
        <v/>
      </c>
      <c r="C2443">
        <f>IF(A2443="","",TEXTBEFORE(TEXTAFTER(A2443,"|"),"|"))</f>
        <v/>
      </c>
      <c r="D2443">
        <f>IF(A2443="","",TEXTAFTER(A2443,"|",2))</f>
        <v/>
      </c>
      <c r="E2443">
        <f>IF(A2443="","",SUMIF(Tickets[TripKey],A2443,Tickets[TP]))</f>
        <v/>
      </c>
      <c r="F2443">
        <f>IF(A2443="","",SUMIF(Tickets[TripKey],A2443,Tickets[Revenue]))</f>
        <v/>
      </c>
      <c r="G2443">
        <f>IF(A2443="","",SUMIF(Tickets[TripKey],A2443,Tickets[PK]))</f>
        <v/>
      </c>
      <c r="H2443">
        <f>IF(A2443="","",IFERROR(XLOOKUP(A2443,Tickets[TripKey],Tickets[VehClean]),""))</f>
        <v/>
      </c>
      <c r="I2443">
        <f>IF(A2443="","",IFERROR(XLOOKUP(A2443,Tickets[TripKey],Tickets[RouteLen]),0))</f>
        <v/>
      </c>
      <c r="J2443">
        <f>IF(A2443="","",IFERROR(XLOOKUP(A2443,Tickets[TripKey],Tickets[Capacity]),0))</f>
        <v/>
      </c>
      <c r="K2443">
        <f>IF(A2443="","",I2443*J2443)</f>
        <v/>
      </c>
      <c r="L2443">
        <f>IF(A2443="","",IFERROR(MINIFS(Tickets[Trip Start Time],Tickets[TripKey],A2443),""))</f>
        <v/>
      </c>
    </row>
    <row r="2444">
      <c r="B2444" s="8">
        <f>IF(A2444="","",IFERROR(DATEVALUE(TEXTBEFORE(A2444,"|")),--LEFT(A2444,10)))</f>
        <v/>
      </c>
      <c r="C2444">
        <f>IF(A2444="","",TEXTBEFORE(TEXTAFTER(A2444,"|"),"|"))</f>
        <v/>
      </c>
      <c r="D2444">
        <f>IF(A2444="","",TEXTAFTER(A2444,"|",2))</f>
        <v/>
      </c>
      <c r="E2444">
        <f>IF(A2444="","",SUMIF(Tickets[TripKey],A2444,Tickets[TP]))</f>
        <v/>
      </c>
      <c r="F2444">
        <f>IF(A2444="","",SUMIF(Tickets[TripKey],A2444,Tickets[Revenue]))</f>
        <v/>
      </c>
      <c r="G2444">
        <f>IF(A2444="","",SUMIF(Tickets[TripKey],A2444,Tickets[PK]))</f>
        <v/>
      </c>
      <c r="H2444">
        <f>IF(A2444="","",IFERROR(XLOOKUP(A2444,Tickets[TripKey],Tickets[VehClean]),""))</f>
        <v/>
      </c>
      <c r="I2444">
        <f>IF(A2444="","",IFERROR(XLOOKUP(A2444,Tickets[TripKey],Tickets[RouteLen]),0))</f>
        <v/>
      </c>
      <c r="J2444">
        <f>IF(A2444="","",IFERROR(XLOOKUP(A2444,Tickets[TripKey],Tickets[Capacity]),0))</f>
        <v/>
      </c>
      <c r="K2444">
        <f>IF(A2444="","",I2444*J2444)</f>
        <v/>
      </c>
      <c r="L2444">
        <f>IF(A2444="","",IFERROR(MINIFS(Tickets[Trip Start Time],Tickets[TripKey],A2444),""))</f>
        <v/>
      </c>
    </row>
    <row r="2445">
      <c r="B2445" s="8">
        <f>IF(A2445="","",IFERROR(DATEVALUE(TEXTBEFORE(A2445,"|")),--LEFT(A2445,10)))</f>
        <v/>
      </c>
      <c r="C2445">
        <f>IF(A2445="","",TEXTBEFORE(TEXTAFTER(A2445,"|"),"|"))</f>
        <v/>
      </c>
      <c r="D2445">
        <f>IF(A2445="","",TEXTAFTER(A2445,"|",2))</f>
        <v/>
      </c>
      <c r="E2445">
        <f>IF(A2445="","",SUMIF(Tickets[TripKey],A2445,Tickets[TP]))</f>
        <v/>
      </c>
      <c r="F2445">
        <f>IF(A2445="","",SUMIF(Tickets[TripKey],A2445,Tickets[Revenue]))</f>
        <v/>
      </c>
      <c r="G2445">
        <f>IF(A2445="","",SUMIF(Tickets[TripKey],A2445,Tickets[PK]))</f>
        <v/>
      </c>
      <c r="H2445">
        <f>IF(A2445="","",IFERROR(XLOOKUP(A2445,Tickets[TripKey],Tickets[VehClean]),""))</f>
        <v/>
      </c>
      <c r="I2445">
        <f>IF(A2445="","",IFERROR(XLOOKUP(A2445,Tickets[TripKey],Tickets[RouteLen]),0))</f>
        <v/>
      </c>
      <c r="J2445">
        <f>IF(A2445="","",IFERROR(XLOOKUP(A2445,Tickets[TripKey],Tickets[Capacity]),0))</f>
        <v/>
      </c>
      <c r="K2445">
        <f>IF(A2445="","",I2445*J2445)</f>
        <v/>
      </c>
      <c r="L2445">
        <f>IF(A2445="","",IFERROR(MINIFS(Tickets[Trip Start Time],Tickets[TripKey],A2445),""))</f>
        <v/>
      </c>
    </row>
    <row r="2446">
      <c r="B2446" s="8">
        <f>IF(A2446="","",IFERROR(DATEVALUE(TEXTBEFORE(A2446,"|")),--LEFT(A2446,10)))</f>
        <v/>
      </c>
      <c r="C2446">
        <f>IF(A2446="","",TEXTBEFORE(TEXTAFTER(A2446,"|"),"|"))</f>
        <v/>
      </c>
      <c r="D2446">
        <f>IF(A2446="","",TEXTAFTER(A2446,"|",2))</f>
        <v/>
      </c>
      <c r="E2446">
        <f>IF(A2446="","",SUMIF(Tickets[TripKey],A2446,Tickets[TP]))</f>
        <v/>
      </c>
      <c r="F2446">
        <f>IF(A2446="","",SUMIF(Tickets[TripKey],A2446,Tickets[Revenue]))</f>
        <v/>
      </c>
      <c r="G2446">
        <f>IF(A2446="","",SUMIF(Tickets[TripKey],A2446,Tickets[PK]))</f>
        <v/>
      </c>
      <c r="H2446">
        <f>IF(A2446="","",IFERROR(XLOOKUP(A2446,Tickets[TripKey],Tickets[VehClean]),""))</f>
        <v/>
      </c>
      <c r="I2446">
        <f>IF(A2446="","",IFERROR(XLOOKUP(A2446,Tickets[TripKey],Tickets[RouteLen]),0))</f>
        <v/>
      </c>
      <c r="J2446">
        <f>IF(A2446="","",IFERROR(XLOOKUP(A2446,Tickets[TripKey],Tickets[Capacity]),0))</f>
        <v/>
      </c>
      <c r="K2446">
        <f>IF(A2446="","",I2446*J2446)</f>
        <v/>
      </c>
      <c r="L2446">
        <f>IF(A2446="","",IFERROR(MINIFS(Tickets[Trip Start Time],Tickets[TripKey],A2446),""))</f>
        <v/>
      </c>
    </row>
    <row r="2447">
      <c r="B2447" s="8">
        <f>IF(A2447="","",IFERROR(DATEVALUE(TEXTBEFORE(A2447,"|")),--LEFT(A2447,10)))</f>
        <v/>
      </c>
      <c r="C2447">
        <f>IF(A2447="","",TEXTBEFORE(TEXTAFTER(A2447,"|"),"|"))</f>
        <v/>
      </c>
      <c r="D2447">
        <f>IF(A2447="","",TEXTAFTER(A2447,"|",2))</f>
        <v/>
      </c>
      <c r="E2447">
        <f>IF(A2447="","",SUMIF(Tickets[TripKey],A2447,Tickets[TP]))</f>
        <v/>
      </c>
      <c r="F2447">
        <f>IF(A2447="","",SUMIF(Tickets[TripKey],A2447,Tickets[Revenue]))</f>
        <v/>
      </c>
      <c r="G2447">
        <f>IF(A2447="","",SUMIF(Tickets[TripKey],A2447,Tickets[PK]))</f>
        <v/>
      </c>
      <c r="H2447">
        <f>IF(A2447="","",IFERROR(XLOOKUP(A2447,Tickets[TripKey],Tickets[VehClean]),""))</f>
        <v/>
      </c>
      <c r="I2447">
        <f>IF(A2447="","",IFERROR(XLOOKUP(A2447,Tickets[TripKey],Tickets[RouteLen]),0))</f>
        <v/>
      </c>
      <c r="J2447">
        <f>IF(A2447="","",IFERROR(XLOOKUP(A2447,Tickets[TripKey],Tickets[Capacity]),0))</f>
        <v/>
      </c>
      <c r="K2447">
        <f>IF(A2447="","",I2447*J2447)</f>
        <v/>
      </c>
      <c r="L2447">
        <f>IF(A2447="","",IFERROR(MINIFS(Tickets[Trip Start Time],Tickets[TripKey],A2447),""))</f>
        <v/>
      </c>
    </row>
    <row r="2448">
      <c r="B2448" s="8">
        <f>IF(A2448="","",IFERROR(DATEVALUE(TEXTBEFORE(A2448,"|")),--LEFT(A2448,10)))</f>
        <v/>
      </c>
      <c r="C2448">
        <f>IF(A2448="","",TEXTBEFORE(TEXTAFTER(A2448,"|"),"|"))</f>
        <v/>
      </c>
      <c r="D2448">
        <f>IF(A2448="","",TEXTAFTER(A2448,"|",2))</f>
        <v/>
      </c>
      <c r="E2448">
        <f>IF(A2448="","",SUMIF(Tickets[TripKey],A2448,Tickets[TP]))</f>
        <v/>
      </c>
      <c r="F2448">
        <f>IF(A2448="","",SUMIF(Tickets[TripKey],A2448,Tickets[Revenue]))</f>
        <v/>
      </c>
      <c r="G2448">
        <f>IF(A2448="","",SUMIF(Tickets[TripKey],A2448,Tickets[PK]))</f>
        <v/>
      </c>
      <c r="H2448">
        <f>IF(A2448="","",IFERROR(XLOOKUP(A2448,Tickets[TripKey],Tickets[VehClean]),""))</f>
        <v/>
      </c>
      <c r="I2448">
        <f>IF(A2448="","",IFERROR(XLOOKUP(A2448,Tickets[TripKey],Tickets[RouteLen]),0))</f>
        <v/>
      </c>
      <c r="J2448">
        <f>IF(A2448="","",IFERROR(XLOOKUP(A2448,Tickets[TripKey],Tickets[Capacity]),0))</f>
        <v/>
      </c>
      <c r="K2448">
        <f>IF(A2448="","",I2448*J2448)</f>
        <v/>
      </c>
      <c r="L2448">
        <f>IF(A2448="","",IFERROR(MINIFS(Tickets[Trip Start Time],Tickets[TripKey],A2448),""))</f>
        <v/>
      </c>
    </row>
    <row r="2449">
      <c r="B2449" s="8">
        <f>IF(A2449="","",IFERROR(DATEVALUE(TEXTBEFORE(A2449,"|")),--LEFT(A2449,10)))</f>
        <v/>
      </c>
      <c r="C2449">
        <f>IF(A2449="","",TEXTBEFORE(TEXTAFTER(A2449,"|"),"|"))</f>
        <v/>
      </c>
      <c r="D2449">
        <f>IF(A2449="","",TEXTAFTER(A2449,"|",2))</f>
        <v/>
      </c>
      <c r="E2449">
        <f>IF(A2449="","",SUMIF(Tickets[TripKey],A2449,Tickets[TP]))</f>
        <v/>
      </c>
      <c r="F2449">
        <f>IF(A2449="","",SUMIF(Tickets[TripKey],A2449,Tickets[Revenue]))</f>
        <v/>
      </c>
      <c r="G2449">
        <f>IF(A2449="","",SUMIF(Tickets[TripKey],A2449,Tickets[PK]))</f>
        <v/>
      </c>
      <c r="H2449">
        <f>IF(A2449="","",IFERROR(XLOOKUP(A2449,Tickets[TripKey],Tickets[VehClean]),""))</f>
        <v/>
      </c>
      <c r="I2449">
        <f>IF(A2449="","",IFERROR(XLOOKUP(A2449,Tickets[TripKey],Tickets[RouteLen]),0))</f>
        <v/>
      </c>
      <c r="J2449">
        <f>IF(A2449="","",IFERROR(XLOOKUP(A2449,Tickets[TripKey],Tickets[Capacity]),0))</f>
        <v/>
      </c>
      <c r="K2449">
        <f>IF(A2449="","",I2449*J2449)</f>
        <v/>
      </c>
      <c r="L2449">
        <f>IF(A2449="","",IFERROR(MINIFS(Tickets[Trip Start Time],Tickets[TripKey],A2449),""))</f>
        <v/>
      </c>
    </row>
    <row r="2450">
      <c r="B2450" s="8">
        <f>IF(A2450="","",IFERROR(DATEVALUE(TEXTBEFORE(A2450,"|")),--LEFT(A2450,10)))</f>
        <v/>
      </c>
      <c r="C2450">
        <f>IF(A2450="","",TEXTBEFORE(TEXTAFTER(A2450,"|"),"|"))</f>
        <v/>
      </c>
      <c r="D2450">
        <f>IF(A2450="","",TEXTAFTER(A2450,"|",2))</f>
        <v/>
      </c>
      <c r="E2450">
        <f>IF(A2450="","",SUMIF(Tickets[TripKey],A2450,Tickets[TP]))</f>
        <v/>
      </c>
      <c r="F2450">
        <f>IF(A2450="","",SUMIF(Tickets[TripKey],A2450,Tickets[Revenue]))</f>
        <v/>
      </c>
      <c r="G2450">
        <f>IF(A2450="","",SUMIF(Tickets[TripKey],A2450,Tickets[PK]))</f>
        <v/>
      </c>
      <c r="H2450">
        <f>IF(A2450="","",IFERROR(XLOOKUP(A2450,Tickets[TripKey],Tickets[VehClean]),""))</f>
        <v/>
      </c>
      <c r="I2450">
        <f>IF(A2450="","",IFERROR(XLOOKUP(A2450,Tickets[TripKey],Tickets[RouteLen]),0))</f>
        <v/>
      </c>
      <c r="J2450">
        <f>IF(A2450="","",IFERROR(XLOOKUP(A2450,Tickets[TripKey],Tickets[Capacity]),0))</f>
        <v/>
      </c>
      <c r="K2450">
        <f>IF(A2450="","",I2450*J2450)</f>
        <v/>
      </c>
      <c r="L2450">
        <f>IF(A2450="","",IFERROR(MINIFS(Tickets[Trip Start Time],Tickets[TripKey],A2450),""))</f>
        <v/>
      </c>
    </row>
    <row r="2451">
      <c r="B2451" s="8">
        <f>IF(A2451="","",IFERROR(DATEVALUE(TEXTBEFORE(A2451,"|")),--LEFT(A2451,10)))</f>
        <v/>
      </c>
      <c r="C2451">
        <f>IF(A2451="","",TEXTBEFORE(TEXTAFTER(A2451,"|"),"|"))</f>
        <v/>
      </c>
      <c r="D2451">
        <f>IF(A2451="","",TEXTAFTER(A2451,"|",2))</f>
        <v/>
      </c>
      <c r="E2451">
        <f>IF(A2451="","",SUMIF(Tickets[TripKey],A2451,Tickets[TP]))</f>
        <v/>
      </c>
      <c r="F2451">
        <f>IF(A2451="","",SUMIF(Tickets[TripKey],A2451,Tickets[Revenue]))</f>
        <v/>
      </c>
      <c r="G2451">
        <f>IF(A2451="","",SUMIF(Tickets[TripKey],A2451,Tickets[PK]))</f>
        <v/>
      </c>
      <c r="H2451">
        <f>IF(A2451="","",IFERROR(XLOOKUP(A2451,Tickets[TripKey],Tickets[VehClean]),""))</f>
        <v/>
      </c>
      <c r="I2451">
        <f>IF(A2451="","",IFERROR(XLOOKUP(A2451,Tickets[TripKey],Tickets[RouteLen]),0))</f>
        <v/>
      </c>
      <c r="J2451">
        <f>IF(A2451="","",IFERROR(XLOOKUP(A2451,Tickets[TripKey],Tickets[Capacity]),0))</f>
        <v/>
      </c>
      <c r="K2451">
        <f>IF(A2451="","",I2451*J2451)</f>
        <v/>
      </c>
      <c r="L2451">
        <f>IF(A2451="","",IFERROR(MINIFS(Tickets[Trip Start Time],Tickets[TripKey],A2451),""))</f>
        <v/>
      </c>
    </row>
    <row r="2452">
      <c r="B2452" s="8">
        <f>IF(A2452="","",IFERROR(DATEVALUE(TEXTBEFORE(A2452,"|")),--LEFT(A2452,10)))</f>
        <v/>
      </c>
      <c r="C2452">
        <f>IF(A2452="","",TEXTBEFORE(TEXTAFTER(A2452,"|"),"|"))</f>
        <v/>
      </c>
      <c r="D2452">
        <f>IF(A2452="","",TEXTAFTER(A2452,"|",2))</f>
        <v/>
      </c>
      <c r="E2452">
        <f>IF(A2452="","",SUMIF(Tickets[TripKey],A2452,Tickets[TP]))</f>
        <v/>
      </c>
      <c r="F2452">
        <f>IF(A2452="","",SUMIF(Tickets[TripKey],A2452,Tickets[Revenue]))</f>
        <v/>
      </c>
      <c r="G2452">
        <f>IF(A2452="","",SUMIF(Tickets[TripKey],A2452,Tickets[PK]))</f>
        <v/>
      </c>
      <c r="H2452">
        <f>IF(A2452="","",IFERROR(XLOOKUP(A2452,Tickets[TripKey],Tickets[VehClean]),""))</f>
        <v/>
      </c>
      <c r="I2452">
        <f>IF(A2452="","",IFERROR(XLOOKUP(A2452,Tickets[TripKey],Tickets[RouteLen]),0))</f>
        <v/>
      </c>
      <c r="J2452">
        <f>IF(A2452="","",IFERROR(XLOOKUP(A2452,Tickets[TripKey],Tickets[Capacity]),0))</f>
        <v/>
      </c>
      <c r="K2452">
        <f>IF(A2452="","",I2452*J2452)</f>
        <v/>
      </c>
      <c r="L2452">
        <f>IF(A2452="","",IFERROR(MINIFS(Tickets[Trip Start Time],Tickets[TripKey],A2452),""))</f>
        <v/>
      </c>
    </row>
    <row r="2453">
      <c r="B2453" s="8">
        <f>IF(A2453="","",IFERROR(DATEVALUE(TEXTBEFORE(A2453,"|")),--LEFT(A2453,10)))</f>
        <v/>
      </c>
      <c r="C2453">
        <f>IF(A2453="","",TEXTBEFORE(TEXTAFTER(A2453,"|"),"|"))</f>
        <v/>
      </c>
      <c r="D2453">
        <f>IF(A2453="","",TEXTAFTER(A2453,"|",2))</f>
        <v/>
      </c>
      <c r="E2453">
        <f>IF(A2453="","",SUMIF(Tickets[TripKey],A2453,Tickets[TP]))</f>
        <v/>
      </c>
      <c r="F2453">
        <f>IF(A2453="","",SUMIF(Tickets[TripKey],A2453,Tickets[Revenue]))</f>
        <v/>
      </c>
      <c r="G2453">
        <f>IF(A2453="","",SUMIF(Tickets[TripKey],A2453,Tickets[PK]))</f>
        <v/>
      </c>
      <c r="H2453">
        <f>IF(A2453="","",IFERROR(XLOOKUP(A2453,Tickets[TripKey],Tickets[VehClean]),""))</f>
        <v/>
      </c>
      <c r="I2453">
        <f>IF(A2453="","",IFERROR(XLOOKUP(A2453,Tickets[TripKey],Tickets[RouteLen]),0))</f>
        <v/>
      </c>
      <c r="J2453">
        <f>IF(A2453="","",IFERROR(XLOOKUP(A2453,Tickets[TripKey],Tickets[Capacity]),0))</f>
        <v/>
      </c>
      <c r="K2453">
        <f>IF(A2453="","",I2453*J2453)</f>
        <v/>
      </c>
      <c r="L2453">
        <f>IF(A2453="","",IFERROR(MINIFS(Tickets[Trip Start Time],Tickets[TripKey],A2453),""))</f>
        <v/>
      </c>
    </row>
    <row r="2454">
      <c r="B2454" s="8">
        <f>IF(A2454="","",IFERROR(DATEVALUE(TEXTBEFORE(A2454,"|")),--LEFT(A2454,10)))</f>
        <v/>
      </c>
      <c r="C2454">
        <f>IF(A2454="","",TEXTBEFORE(TEXTAFTER(A2454,"|"),"|"))</f>
        <v/>
      </c>
      <c r="D2454">
        <f>IF(A2454="","",TEXTAFTER(A2454,"|",2))</f>
        <v/>
      </c>
      <c r="E2454">
        <f>IF(A2454="","",SUMIF(Tickets[TripKey],A2454,Tickets[TP]))</f>
        <v/>
      </c>
      <c r="F2454">
        <f>IF(A2454="","",SUMIF(Tickets[TripKey],A2454,Tickets[Revenue]))</f>
        <v/>
      </c>
      <c r="G2454">
        <f>IF(A2454="","",SUMIF(Tickets[TripKey],A2454,Tickets[PK]))</f>
        <v/>
      </c>
      <c r="H2454">
        <f>IF(A2454="","",IFERROR(XLOOKUP(A2454,Tickets[TripKey],Tickets[VehClean]),""))</f>
        <v/>
      </c>
      <c r="I2454">
        <f>IF(A2454="","",IFERROR(XLOOKUP(A2454,Tickets[TripKey],Tickets[RouteLen]),0))</f>
        <v/>
      </c>
      <c r="J2454">
        <f>IF(A2454="","",IFERROR(XLOOKUP(A2454,Tickets[TripKey],Tickets[Capacity]),0))</f>
        <v/>
      </c>
      <c r="K2454">
        <f>IF(A2454="","",I2454*J2454)</f>
        <v/>
      </c>
      <c r="L2454">
        <f>IF(A2454="","",IFERROR(MINIFS(Tickets[Trip Start Time],Tickets[TripKey],A2454),""))</f>
        <v/>
      </c>
    </row>
    <row r="2455">
      <c r="B2455" s="8">
        <f>IF(A2455="","",IFERROR(DATEVALUE(TEXTBEFORE(A2455,"|")),--LEFT(A2455,10)))</f>
        <v/>
      </c>
      <c r="C2455">
        <f>IF(A2455="","",TEXTBEFORE(TEXTAFTER(A2455,"|"),"|"))</f>
        <v/>
      </c>
      <c r="D2455">
        <f>IF(A2455="","",TEXTAFTER(A2455,"|",2))</f>
        <v/>
      </c>
      <c r="E2455">
        <f>IF(A2455="","",SUMIF(Tickets[TripKey],A2455,Tickets[TP]))</f>
        <v/>
      </c>
      <c r="F2455">
        <f>IF(A2455="","",SUMIF(Tickets[TripKey],A2455,Tickets[Revenue]))</f>
        <v/>
      </c>
      <c r="G2455">
        <f>IF(A2455="","",SUMIF(Tickets[TripKey],A2455,Tickets[PK]))</f>
        <v/>
      </c>
      <c r="H2455">
        <f>IF(A2455="","",IFERROR(XLOOKUP(A2455,Tickets[TripKey],Tickets[VehClean]),""))</f>
        <v/>
      </c>
      <c r="I2455">
        <f>IF(A2455="","",IFERROR(XLOOKUP(A2455,Tickets[TripKey],Tickets[RouteLen]),0))</f>
        <v/>
      </c>
      <c r="J2455">
        <f>IF(A2455="","",IFERROR(XLOOKUP(A2455,Tickets[TripKey],Tickets[Capacity]),0))</f>
        <v/>
      </c>
      <c r="K2455">
        <f>IF(A2455="","",I2455*J2455)</f>
        <v/>
      </c>
      <c r="L2455">
        <f>IF(A2455="","",IFERROR(MINIFS(Tickets[Trip Start Time],Tickets[TripKey],A2455),""))</f>
        <v/>
      </c>
    </row>
    <row r="2456">
      <c r="B2456" s="8">
        <f>IF(A2456="","",IFERROR(DATEVALUE(TEXTBEFORE(A2456,"|")),--LEFT(A2456,10)))</f>
        <v/>
      </c>
      <c r="C2456">
        <f>IF(A2456="","",TEXTBEFORE(TEXTAFTER(A2456,"|"),"|"))</f>
        <v/>
      </c>
      <c r="D2456">
        <f>IF(A2456="","",TEXTAFTER(A2456,"|",2))</f>
        <v/>
      </c>
      <c r="E2456">
        <f>IF(A2456="","",SUMIF(Tickets[TripKey],A2456,Tickets[TP]))</f>
        <v/>
      </c>
      <c r="F2456">
        <f>IF(A2456="","",SUMIF(Tickets[TripKey],A2456,Tickets[Revenue]))</f>
        <v/>
      </c>
      <c r="G2456">
        <f>IF(A2456="","",SUMIF(Tickets[TripKey],A2456,Tickets[PK]))</f>
        <v/>
      </c>
      <c r="H2456">
        <f>IF(A2456="","",IFERROR(XLOOKUP(A2456,Tickets[TripKey],Tickets[VehClean]),""))</f>
        <v/>
      </c>
      <c r="I2456">
        <f>IF(A2456="","",IFERROR(XLOOKUP(A2456,Tickets[TripKey],Tickets[RouteLen]),0))</f>
        <v/>
      </c>
      <c r="J2456">
        <f>IF(A2456="","",IFERROR(XLOOKUP(A2456,Tickets[TripKey],Tickets[Capacity]),0))</f>
        <v/>
      </c>
      <c r="K2456">
        <f>IF(A2456="","",I2456*J2456)</f>
        <v/>
      </c>
      <c r="L2456">
        <f>IF(A2456="","",IFERROR(MINIFS(Tickets[Trip Start Time],Tickets[TripKey],A2456),""))</f>
        <v/>
      </c>
    </row>
    <row r="2457">
      <c r="B2457" s="8">
        <f>IF(A2457="","",IFERROR(DATEVALUE(TEXTBEFORE(A2457,"|")),--LEFT(A2457,10)))</f>
        <v/>
      </c>
      <c r="C2457">
        <f>IF(A2457="","",TEXTBEFORE(TEXTAFTER(A2457,"|"),"|"))</f>
        <v/>
      </c>
      <c r="D2457">
        <f>IF(A2457="","",TEXTAFTER(A2457,"|",2))</f>
        <v/>
      </c>
      <c r="E2457">
        <f>IF(A2457="","",SUMIF(Tickets[TripKey],A2457,Tickets[TP]))</f>
        <v/>
      </c>
      <c r="F2457">
        <f>IF(A2457="","",SUMIF(Tickets[TripKey],A2457,Tickets[Revenue]))</f>
        <v/>
      </c>
      <c r="G2457">
        <f>IF(A2457="","",SUMIF(Tickets[TripKey],A2457,Tickets[PK]))</f>
        <v/>
      </c>
      <c r="H2457">
        <f>IF(A2457="","",IFERROR(XLOOKUP(A2457,Tickets[TripKey],Tickets[VehClean]),""))</f>
        <v/>
      </c>
      <c r="I2457">
        <f>IF(A2457="","",IFERROR(XLOOKUP(A2457,Tickets[TripKey],Tickets[RouteLen]),0))</f>
        <v/>
      </c>
      <c r="J2457">
        <f>IF(A2457="","",IFERROR(XLOOKUP(A2457,Tickets[TripKey],Tickets[Capacity]),0))</f>
        <v/>
      </c>
      <c r="K2457">
        <f>IF(A2457="","",I2457*J2457)</f>
        <v/>
      </c>
      <c r="L2457">
        <f>IF(A2457="","",IFERROR(MINIFS(Tickets[Trip Start Time],Tickets[TripKey],A2457),""))</f>
        <v/>
      </c>
    </row>
    <row r="2458">
      <c r="B2458" s="8">
        <f>IF(A2458="","",IFERROR(DATEVALUE(TEXTBEFORE(A2458,"|")),--LEFT(A2458,10)))</f>
        <v/>
      </c>
      <c r="C2458">
        <f>IF(A2458="","",TEXTBEFORE(TEXTAFTER(A2458,"|"),"|"))</f>
        <v/>
      </c>
      <c r="D2458">
        <f>IF(A2458="","",TEXTAFTER(A2458,"|",2))</f>
        <v/>
      </c>
      <c r="E2458">
        <f>IF(A2458="","",SUMIF(Tickets[TripKey],A2458,Tickets[TP]))</f>
        <v/>
      </c>
      <c r="F2458">
        <f>IF(A2458="","",SUMIF(Tickets[TripKey],A2458,Tickets[Revenue]))</f>
        <v/>
      </c>
      <c r="G2458">
        <f>IF(A2458="","",SUMIF(Tickets[TripKey],A2458,Tickets[PK]))</f>
        <v/>
      </c>
      <c r="H2458">
        <f>IF(A2458="","",IFERROR(XLOOKUP(A2458,Tickets[TripKey],Tickets[VehClean]),""))</f>
        <v/>
      </c>
      <c r="I2458">
        <f>IF(A2458="","",IFERROR(XLOOKUP(A2458,Tickets[TripKey],Tickets[RouteLen]),0))</f>
        <v/>
      </c>
      <c r="J2458">
        <f>IF(A2458="","",IFERROR(XLOOKUP(A2458,Tickets[TripKey],Tickets[Capacity]),0))</f>
        <v/>
      </c>
      <c r="K2458">
        <f>IF(A2458="","",I2458*J2458)</f>
        <v/>
      </c>
      <c r="L2458">
        <f>IF(A2458="","",IFERROR(MINIFS(Tickets[Trip Start Time],Tickets[TripKey],A2458),""))</f>
        <v/>
      </c>
    </row>
    <row r="2459">
      <c r="B2459" s="8">
        <f>IF(A2459="","",IFERROR(DATEVALUE(TEXTBEFORE(A2459,"|")),--LEFT(A2459,10)))</f>
        <v/>
      </c>
      <c r="C2459">
        <f>IF(A2459="","",TEXTBEFORE(TEXTAFTER(A2459,"|"),"|"))</f>
        <v/>
      </c>
      <c r="D2459">
        <f>IF(A2459="","",TEXTAFTER(A2459,"|",2))</f>
        <v/>
      </c>
      <c r="E2459">
        <f>IF(A2459="","",SUMIF(Tickets[TripKey],A2459,Tickets[TP]))</f>
        <v/>
      </c>
      <c r="F2459">
        <f>IF(A2459="","",SUMIF(Tickets[TripKey],A2459,Tickets[Revenue]))</f>
        <v/>
      </c>
      <c r="G2459">
        <f>IF(A2459="","",SUMIF(Tickets[TripKey],A2459,Tickets[PK]))</f>
        <v/>
      </c>
      <c r="H2459">
        <f>IF(A2459="","",IFERROR(XLOOKUP(A2459,Tickets[TripKey],Tickets[VehClean]),""))</f>
        <v/>
      </c>
      <c r="I2459">
        <f>IF(A2459="","",IFERROR(XLOOKUP(A2459,Tickets[TripKey],Tickets[RouteLen]),0))</f>
        <v/>
      </c>
      <c r="J2459">
        <f>IF(A2459="","",IFERROR(XLOOKUP(A2459,Tickets[TripKey],Tickets[Capacity]),0))</f>
        <v/>
      </c>
      <c r="K2459">
        <f>IF(A2459="","",I2459*J2459)</f>
        <v/>
      </c>
      <c r="L2459">
        <f>IF(A2459="","",IFERROR(MINIFS(Tickets[Trip Start Time],Tickets[TripKey],A2459),""))</f>
        <v/>
      </c>
    </row>
    <row r="2460">
      <c r="B2460" s="8">
        <f>IF(A2460="","",IFERROR(DATEVALUE(TEXTBEFORE(A2460,"|")),--LEFT(A2460,10)))</f>
        <v/>
      </c>
      <c r="C2460">
        <f>IF(A2460="","",TEXTBEFORE(TEXTAFTER(A2460,"|"),"|"))</f>
        <v/>
      </c>
      <c r="D2460">
        <f>IF(A2460="","",TEXTAFTER(A2460,"|",2))</f>
        <v/>
      </c>
      <c r="E2460">
        <f>IF(A2460="","",SUMIF(Tickets[TripKey],A2460,Tickets[TP]))</f>
        <v/>
      </c>
      <c r="F2460">
        <f>IF(A2460="","",SUMIF(Tickets[TripKey],A2460,Tickets[Revenue]))</f>
        <v/>
      </c>
      <c r="G2460">
        <f>IF(A2460="","",SUMIF(Tickets[TripKey],A2460,Tickets[PK]))</f>
        <v/>
      </c>
      <c r="H2460">
        <f>IF(A2460="","",IFERROR(XLOOKUP(A2460,Tickets[TripKey],Tickets[VehClean]),""))</f>
        <v/>
      </c>
      <c r="I2460">
        <f>IF(A2460="","",IFERROR(XLOOKUP(A2460,Tickets[TripKey],Tickets[RouteLen]),0))</f>
        <v/>
      </c>
      <c r="J2460">
        <f>IF(A2460="","",IFERROR(XLOOKUP(A2460,Tickets[TripKey],Tickets[Capacity]),0))</f>
        <v/>
      </c>
      <c r="K2460">
        <f>IF(A2460="","",I2460*J2460)</f>
        <v/>
      </c>
      <c r="L2460">
        <f>IF(A2460="","",IFERROR(MINIFS(Tickets[Trip Start Time],Tickets[TripKey],A2460),""))</f>
        <v/>
      </c>
    </row>
    <row r="2461">
      <c r="B2461" s="8">
        <f>IF(A2461="","",IFERROR(DATEVALUE(TEXTBEFORE(A2461,"|")),--LEFT(A2461,10)))</f>
        <v/>
      </c>
      <c r="C2461">
        <f>IF(A2461="","",TEXTBEFORE(TEXTAFTER(A2461,"|"),"|"))</f>
        <v/>
      </c>
      <c r="D2461">
        <f>IF(A2461="","",TEXTAFTER(A2461,"|",2))</f>
        <v/>
      </c>
      <c r="E2461">
        <f>IF(A2461="","",SUMIF(Tickets[TripKey],A2461,Tickets[TP]))</f>
        <v/>
      </c>
      <c r="F2461">
        <f>IF(A2461="","",SUMIF(Tickets[TripKey],A2461,Tickets[Revenue]))</f>
        <v/>
      </c>
      <c r="G2461">
        <f>IF(A2461="","",SUMIF(Tickets[TripKey],A2461,Tickets[PK]))</f>
        <v/>
      </c>
      <c r="H2461">
        <f>IF(A2461="","",IFERROR(XLOOKUP(A2461,Tickets[TripKey],Tickets[VehClean]),""))</f>
        <v/>
      </c>
      <c r="I2461">
        <f>IF(A2461="","",IFERROR(XLOOKUP(A2461,Tickets[TripKey],Tickets[RouteLen]),0))</f>
        <v/>
      </c>
      <c r="J2461">
        <f>IF(A2461="","",IFERROR(XLOOKUP(A2461,Tickets[TripKey],Tickets[Capacity]),0))</f>
        <v/>
      </c>
      <c r="K2461">
        <f>IF(A2461="","",I2461*J2461)</f>
        <v/>
      </c>
      <c r="L2461">
        <f>IF(A2461="","",IFERROR(MINIFS(Tickets[Trip Start Time],Tickets[TripKey],A2461),""))</f>
        <v/>
      </c>
    </row>
    <row r="2462">
      <c r="B2462" s="8">
        <f>IF(A2462="","",IFERROR(DATEVALUE(TEXTBEFORE(A2462,"|")),--LEFT(A2462,10)))</f>
        <v/>
      </c>
      <c r="C2462">
        <f>IF(A2462="","",TEXTBEFORE(TEXTAFTER(A2462,"|"),"|"))</f>
        <v/>
      </c>
      <c r="D2462">
        <f>IF(A2462="","",TEXTAFTER(A2462,"|",2))</f>
        <v/>
      </c>
      <c r="E2462">
        <f>IF(A2462="","",SUMIF(Tickets[TripKey],A2462,Tickets[TP]))</f>
        <v/>
      </c>
      <c r="F2462">
        <f>IF(A2462="","",SUMIF(Tickets[TripKey],A2462,Tickets[Revenue]))</f>
        <v/>
      </c>
      <c r="G2462">
        <f>IF(A2462="","",SUMIF(Tickets[TripKey],A2462,Tickets[PK]))</f>
        <v/>
      </c>
      <c r="H2462">
        <f>IF(A2462="","",IFERROR(XLOOKUP(A2462,Tickets[TripKey],Tickets[VehClean]),""))</f>
        <v/>
      </c>
      <c r="I2462">
        <f>IF(A2462="","",IFERROR(XLOOKUP(A2462,Tickets[TripKey],Tickets[RouteLen]),0))</f>
        <v/>
      </c>
      <c r="J2462">
        <f>IF(A2462="","",IFERROR(XLOOKUP(A2462,Tickets[TripKey],Tickets[Capacity]),0))</f>
        <v/>
      </c>
      <c r="K2462">
        <f>IF(A2462="","",I2462*J2462)</f>
        <v/>
      </c>
      <c r="L2462">
        <f>IF(A2462="","",IFERROR(MINIFS(Tickets[Trip Start Time],Tickets[TripKey],A2462),""))</f>
        <v/>
      </c>
    </row>
    <row r="2463">
      <c r="B2463" s="8">
        <f>IF(A2463="","",IFERROR(DATEVALUE(TEXTBEFORE(A2463,"|")),--LEFT(A2463,10)))</f>
        <v/>
      </c>
      <c r="C2463">
        <f>IF(A2463="","",TEXTBEFORE(TEXTAFTER(A2463,"|"),"|"))</f>
        <v/>
      </c>
      <c r="D2463">
        <f>IF(A2463="","",TEXTAFTER(A2463,"|",2))</f>
        <v/>
      </c>
      <c r="E2463">
        <f>IF(A2463="","",SUMIF(Tickets[TripKey],A2463,Tickets[TP]))</f>
        <v/>
      </c>
      <c r="F2463">
        <f>IF(A2463="","",SUMIF(Tickets[TripKey],A2463,Tickets[Revenue]))</f>
        <v/>
      </c>
      <c r="G2463">
        <f>IF(A2463="","",SUMIF(Tickets[TripKey],A2463,Tickets[PK]))</f>
        <v/>
      </c>
      <c r="H2463">
        <f>IF(A2463="","",IFERROR(XLOOKUP(A2463,Tickets[TripKey],Tickets[VehClean]),""))</f>
        <v/>
      </c>
      <c r="I2463">
        <f>IF(A2463="","",IFERROR(XLOOKUP(A2463,Tickets[TripKey],Tickets[RouteLen]),0))</f>
        <v/>
      </c>
      <c r="J2463">
        <f>IF(A2463="","",IFERROR(XLOOKUP(A2463,Tickets[TripKey],Tickets[Capacity]),0))</f>
        <v/>
      </c>
      <c r="K2463">
        <f>IF(A2463="","",I2463*J2463)</f>
        <v/>
      </c>
      <c r="L2463">
        <f>IF(A2463="","",IFERROR(MINIFS(Tickets[Trip Start Time],Tickets[TripKey],A2463),""))</f>
        <v/>
      </c>
    </row>
    <row r="2464">
      <c r="B2464" s="8">
        <f>IF(A2464="","",IFERROR(DATEVALUE(TEXTBEFORE(A2464,"|")),--LEFT(A2464,10)))</f>
        <v/>
      </c>
      <c r="C2464">
        <f>IF(A2464="","",TEXTBEFORE(TEXTAFTER(A2464,"|"),"|"))</f>
        <v/>
      </c>
      <c r="D2464">
        <f>IF(A2464="","",TEXTAFTER(A2464,"|",2))</f>
        <v/>
      </c>
      <c r="E2464">
        <f>IF(A2464="","",SUMIF(Tickets[TripKey],A2464,Tickets[TP]))</f>
        <v/>
      </c>
      <c r="F2464">
        <f>IF(A2464="","",SUMIF(Tickets[TripKey],A2464,Tickets[Revenue]))</f>
        <v/>
      </c>
      <c r="G2464">
        <f>IF(A2464="","",SUMIF(Tickets[TripKey],A2464,Tickets[PK]))</f>
        <v/>
      </c>
      <c r="H2464">
        <f>IF(A2464="","",IFERROR(XLOOKUP(A2464,Tickets[TripKey],Tickets[VehClean]),""))</f>
        <v/>
      </c>
      <c r="I2464">
        <f>IF(A2464="","",IFERROR(XLOOKUP(A2464,Tickets[TripKey],Tickets[RouteLen]),0))</f>
        <v/>
      </c>
      <c r="J2464">
        <f>IF(A2464="","",IFERROR(XLOOKUP(A2464,Tickets[TripKey],Tickets[Capacity]),0))</f>
        <v/>
      </c>
      <c r="K2464">
        <f>IF(A2464="","",I2464*J2464)</f>
        <v/>
      </c>
      <c r="L2464">
        <f>IF(A2464="","",IFERROR(MINIFS(Tickets[Trip Start Time],Tickets[TripKey],A2464),""))</f>
        <v/>
      </c>
    </row>
    <row r="2465">
      <c r="B2465" s="8">
        <f>IF(A2465="","",IFERROR(DATEVALUE(TEXTBEFORE(A2465,"|")),--LEFT(A2465,10)))</f>
        <v/>
      </c>
      <c r="C2465">
        <f>IF(A2465="","",TEXTBEFORE(TEXTAFTER(A2465,"|"),"|"))</f>
        <v/>
      </c>
      <c r="D2465">
        <f>IF(A2465="","",TEXTAFTER(A2465,"|",2))</f>
        <v/>
      </c>
      <c r="E2465">
        <f>IF(A2465="","",SUMIF(Tickets[TripKey],A2465,Tickets[TP]))</f>
        <v/>
      </c>
      <c r="F2465">
        <f>IF(A2465="","",SUMIF(Tickets[TripKey],A2465,Tickets[Revenue]))</f>
        <v/>
      </c>
      <c r="G2465">
        <f>IF(A2465="","",SUMIF(Tickets[TripKey],A2465,Tickets[PK]))</f>
        <v/>
      </c>
      <c r="H2465">
        <f>IF(A2465="","",IFERROR(XLOOKUP(A2465,Tickets[TripKey],Tickets[VehClean]),""))</f>
        <v/>
      </c>
      <c r="I2465">
        <f>IF(A2465="","",IFERROR(XLOOKUP(A2465,Tickets[TripKey],Tickets[RouteLen]),0))</f>
        <v/>
      </c>
      <c r="J2465">
        <f>IF(A2465="","",IFERROR(XLOOKUP(A2465,Tickets[TripKey],Tickets[Capacity]),0))</f>
        <v/>
      </c>
      <c r="K2465">
        <f>IF(A2465="","",I2465*J2465)</f>
        <v/>
      </c>
      <c r="L2465">
        <f>IF(A2465="","",IFERROR(MINIFS(Tickets[Trip Start Time],Tickets[TripKey],A2465),""))</f>
        <v/>
      </c>
    </row>
    <row r="2466">
      <c r="B2466" s="8">
        <f>IF(A2466="","",IFERROR(DATEVALUE(TEXTBEFORE(A2466,"|")),--LEFT(A2466,10)))</f>
        <v/>
      </c>
      <c r="C2466">
        <f>IF(A2466="","",TEXTBEFORE(TEXTAFTER(A2466,"|"),"|"))</f>
        <v/>
      </c>
      <c r="D2466">
        <f>IF(A2466="","",TEXTAFTER(A2466,"|",2))</f>
        <v/>
      </c>
      <c r="E2466">
        <f>IF(A2466="","",SUMIF(Tickets[TripKey],A2466,Tickets[TP]))</f>
        <v/>
      </c>
      <c r="F2466">
        <f>IF(A2466="","",SUMIF(Tickets[TripKey],A2466,Tickets[Revenue]))</f>
        <v/>
      </c>
      <c r="G2466">
        <f>IF(A2466="","",SUMIF(Tickets[TripKey],A2466,Tickets[PK]))</f>
        <v/>
      </c>
      <c r="H2466">
        <f>IF(A2466="","",IFERROR(XLOOKUP(A2466,Tickets[TripKey],Tickets[VehClean]),""))</f>
        <v/>
      </c>
      <c r="I2466">
        <f>IF(A2466="","",IFERROR(XLOOKUP(A2466,Tickets[TripKey],Tickets[RouteLen]),0))</f>
        <v/>
      </c>
      <c r="J2466">
        <f>IF(A2466="","",IFERROR(XLOOKUP(A2466,Tickets[TripKey],Tickets[Capacity]),0))</f>
        <v/>
      </c>
      <c r="K2466">
        <f>IF(A2466="","",I2466*J2466)</f>
        <v/>
      </c>
      <c r="L2466">
        <f>IF(A2466="","",IFERROR(MINIFS(Tickets[Trip Start Time],Tickets[TripKey],A2466),""))</f>
        <v/>
      </c>
    </row>
    <row r="2467">
      <c r="B2467" s="8">
        <f>IF(A2467="","",IFERROR(DATEVALUE(TEXTBEFORE(A2467,"|")),--LEFT(A2467,10)))</f>
        <v/>
      </c>
      <c r="C2467">
        <f>IF(A2467="","",TEXTBEFORE(TEXTAFTER(A2467,"|"),"|"))</f>
        <v/>
      </c>
      <c r="D2467">
        <f>IF(A2467="","",TEXTAFTER(A2467,"|",2))</f>
        <v/>
      </c>
      <c r="E2467">
        <f>IF(A2467="","",SUMIF(Tickets[TripKey],A2467,Tickets[TP]))</f>
        <v/>
      </c>
      <c r="F2467">
        <f>IF(A2467="","",SUMIF(Tickets[TripKey],A2467,Tickets[Revenue]))</f>
        <v/>
      </c>
      <c r="G2467">
        <f>IF(A2467="","",SUMIF(Tickets[TripKey],A2467,Tickets[PK]))</f>
        <v/>
      </c>
      <c r="H2467">
        <f>IF(A2467="","",IFERROR(XLOOKUP(A2467,Tickets[TripKey],Tickets[VehClean]),""))</f>
        <v/>
      </c>
      <c r="I2467">
        <f>IF(A2467="","",IFERROR(XLOOKUP(A2467,Tickets[TripKey],Tickets[RouteLen]),0))</f>
        <v/>
      </c>
      <c r="J2467">
        <f>IF(A2467="","",IFERROR(XLOOKUP(A2467,Tickets[TripKey],Tickets[Capacity]),0))</f>
        <v/>
      </c>
      <c r="K2467">
        <f>IF(A2467="","",I2467*J2467)</f>
        <v/>
      </c>
      <c r="L2467">
        <f>IF(A2467="","",IFERROR(MINIFS(Tickets[Trip Start Time],Tickets[TripKey],A2467),""))</f>
        <v/>
      </c>
    </row>
    <row r="2468">
      <c r="B2468" s="8">
        <f>IF(A2468="","",IFERROR(DATEVALUE(TEXTBEFORE(A2468,"|")),--LEFT(A2468,10)))</f>
        <v/>
      </c>
      <c r="C2468">
        <f>IF(A2468="","",TEXTBEFORE(TEXTAFTER(A2468,"|"),"|"))</f>
        <v/>
      </c>
      <c r="D2468">
        <f>IF(A2468="","",TEXTAFTER(A2468,"|",2))</f>
        <v/>
      </c>
      <c r="E2468">
        <f>IF(A2468="","",SUMIF(Tickets[TripKey],A2468,Tickets[TP]))</f>
        <v/>
      </c>
      <c r="F2468">
        <f>IF(A2468="","",SUMIF(Tickets[TripKey],A2468,Tickets[Revenue]))</f>
        <v/>
      </c>
      <c r="G2468">
        <f>IF(A2468="","",SUMIF(Tickets[TripKey],A2468,Tickets[PK]))</f>
        <v/>
      </c>
      <c r="H2468">
        <f>IF(A2468="","",IFERROR(XLOOKUP(A2468,Tickets[TripKey],Tickets[VehClean]),""))</f>
        <v/>
      </c>
      <c r="I2468">
        <f>IF(A2468="","",IFERROR(XLOOKUP(A2468,Tickets[TripKey],Tickets[RouteLen]),0))</f>
        <v/>
      </c>
      <c r="J2468">
        <f>IF(A2468="","",IFERROR(XLOOKUP(A2468,Tickets[TripKey],Tickets[Capacity]),0))</f>
        <v/>
      </c>
      <c r="K2468">
        <f>IF(A2468="","",I2468*J2468)</f>
        <v/>
      </c>
      <c r="L2468">
        <f>IF(A2468="","",IFERROR(MINIFS(Tickets[Trip Start Time],Tickets[TripKey],A2468),""))</f>
        <v/>
      </c>
    </row>
    <row r="2469">
      <c r="B2469" s="8">
        <f>IF(A2469="","",IFERROR(DATEVALUE(TEXTBEFORE(A2469,"|")),--LEFT(A2469,10)))</f>
        <v/>
      </c>
      <c r="C2469">
        <f>IF(A2469="","",TEXTBEFORE(TEXTAFTER(A2469,"|"),"|"))</f>
        <v/>
      </c>
      <c r="D2469">
        <f>IF(A2469="","",TEXTAFTER(A2469,"|",2))</f>
        <v/>
      </c>
      <c r="E2469">
        <f>IF(A2469="","",SUMIF(Tickets[TripKey],A2469,Tickets[TP]))</f>
        <v/>
      </c>
      <c r="F2469">
        <f>IF(A2469="","",SUMIF(Tickets[TripKey],A2469,Tickets[Revenue]))</f>
        <v/>
      </c>
      <c r="G2469">
        <f>IF(A2469="","",SUMIF(Tickets[TripKey],A2469,Tickets[PK]))</f>
        <v/>
      </c>
      <c r="H2469">
        <f>IF(A2469="","",IFERROR(XLOOKUP(A2469,Tickets[TripKey],Tickets[VehClean]),""))</f>
        <v/>
      </c>
      <c r="I2469">
        <f>IF(A2469="","",IFERROR(XLOOKUP(A2469,Tickets[TripKey],Tickets[RouteLen]),0))</f>
        <v/>
      </c>
      <c r="J2469">
        <f>IF(A2469="","",IFERROR(XLOOKUP(A2469,Tickets[TripKey],Tickets[Capacity]),0))</f>
        <v/>
      </c>
      <c r="K2469">
        <f>IF(A2469="","",I2469*J2469)</f>
        <v/>
      </c>
      <c r="L2469">
        <f>IF(A2469="","",IFERROR(MINIFS(Tickets[Trip Start Time],Tickets[TripKey],A2469),""))</f>
        <v/>
      </c>
    </row>
    <row r="2470">
      <c r="B2470" s="8">
        <f>IF(A2470="","",IFERROR(DATEVALUE(TEXTBEFORE(A2470,"|")),--LEFT(A2470,10)))</f>
        <v/>
      </c>
      <c r="C2470">
        <f>IF(A2470="","",TEXTBEFORE(TEXTAFTER(A2470,"|"),"|"))</f>
        <v/>
      </c>
      <c r="D2470">
        <f>IF(A2470="","",TEXTAFTER(A2470,"|",2))</f>
        <v/>
      </c>
      <c r="E2470">
        <f>IF(A2470="","",SUMIF(Tickets[TripKey],A2470,Tickets[TP]))</f>
        <v/>
      </c>
      <c r="F2470">
        <f>IF(A2470="","",SUMIF(Tickets[TripKey],A2470,Tickets[Revenue]))</f>
        <v/>
      </c>
      <c r="G2470">
        <f>IF(A2470="","",SUMIF(Tickets[TripKey],A2470,Tickets[PK]))</f>
        <v/>
      </c>
      <c r="H2470">
        <f>IF(A2470="","",IFERROR(XLOOKUP(A2470,Tickets[TripKey],Tickets[VehClean]),""))</f>
        <v/>
      </c>
      <c r="I2470">
        <f>IF(A2470="","",IFERROR(XLOOKUP(A2470,Tickets[TripKey],Tickets[RouteLen]),0))</f>
        <v/>
      </c>
      <c r="J2470">
        <f>IF(A2470="","",IFERROR(XLOOKUP(A2470,Tickets[TripKey],Tickets[Capacity]),0))</f>
        <v/>
      </c>
      <c r="K2470">
        <f>IF(A2470="","",I2470*J2470)</f>
        <v/>
      </c>
      <c r="L2470">
        <f>IF(A2470="","",IFERROR(MINIFS(Tickets[Trip Start Time],Tickets[TripKey],A2470),""))</f>
        <v/>
      </c>
    </row>
    <row r="2471">
      <c r="B2471" s="8">
        <f>IF(A2471="","",IFERROR(DATEVALUE(TEXTBEFORE(A2471,"|")),--LEFT(A2471,10)))</f>
        <v/>
      </c>
      <c r="C2471">
        <f>IF(A2471="","",TEXTBEFORE(TEXTAFTER(A2471,"|"),"|"))</f>
        <v/>
      </c>
      <c r="D2471">
        <f>IF(A2471="","",TEXTAFTER(A2471,"|",2))</f>
        <v/>
      </c>
      <c r="E2471">
        <f>IF(A2471="","",SUMIF(Tickets[TripKey],A2471,Tickets[TP]))</f>
        <v/>
      </c>
      <c r="F2471">
        <f>IF(A2471="","",SUMIF(Tickets[TripKey],A2471,Tickets[Revenue]))</f>
        <v/>
      </c>
      <c r="G2471">
        <f>IF(A2471="","",SUMIF(Tickets[TripKey],A2471,Tickets[PK]))</f>
        <v/>
      </c>
      <c r="H2471">
        <f>IF(A2471="","",IFERROR(XLOOKUP(A2471,Tickets[TripKey],Tickets[VehClean]),""))</f>
        <v/>
      </c>
      <c r="I2471">
        <f>IF(A2471="","",IFERROR(XLOOKUP(A2471,Tickets[TripKey],Tickets[RouteLen]),0))</f>
        <v/>
      </c>
      <c r="J2471">
        <f>IF(A2471="","",IFERROR(XLOOKUP(A2471,Tickets[TripKey],Tickets[Capacity]),0))</f>
        <v/>
      </c>
      <c r="K2471">
        <f>IF(A2471="","",I2471*J2471)</f>
        <v/>
      </c>
      <c r="L2471">
        <f>IF(A2471="","",IFERROR(MINIFS(Tickets[Trip Start Time],Tickets[TripKey],A2471),""))</f>
        <v/>
      </c>
    </row>
    <row r="2472">
      <c r="B2472" s="8">
        <f>IF(A2472="","",IFERROR(DATEVALUE(TEXTBEFORE(A2472,"|")),--LEFT(A2472,10)))</f>
        <v/>
      </c>
      <c r="C2472">
        <f>IF(A2472="","",TEXTBEFORE(TEXTAFTER(A2472,"|"),"|"))</f>
        <v/>
      </c>
      <c r="D2472">
        <f>IF(A2472="","",TEXTAFTER(A2472,"|",2))</f>
        <v/>
      </c>
      <c r="E2472">
        <f>IF(A2472="","",SUMIF(Tickets[TripKey],A2472,Tickets[TP]))</f>
        <v/>
      </c>
      <c r="F2472">
        <f>IF(A2472="","",SUMIF(Tickets[TripKey],A2472,Tickets[Revenue]))</f>
        <v/>
      </c>
      <c r="G2472">
        <f>IF(A2472="","",SUMIF(Tickets[TripKey],A2472,Tickets[PK]))</f>
        <v/>
      </c>
      <c r="H2472">
        <f>IF(A2472="","",IFERROR(XLOOKUP(A2472,Tickets[TripKey],Tickets[VehClean]),""))</f>
        <v/>
      </c>
      <c r="I2472">
        <f>IF(A2472="","",IFERROR(XLOOKUP(A2472,Tickets[TripKey],Tickets[RouteLen]),0))</f>
        <v/>
      </c>
      <c r="J2472">
        <f>IF(A2472="","",IFERROR(XLOOKUP(A2472,Tickets[TripKey],Tickets[Capacity]),0))</f>
        <v/>
      </c>
      <c r="K2472">
        <f>IF(A2472="","",I2472*J2472)</f>
        <v/>
      </c>
      <c r="L2472">
        <f>IF(A2472="","",IFERROR(MINIFS(Tickets[Trip Start Time],Tickets[TripKey],A2472),""))</f>
        <v/>
      </c>
    </row>
    <row r="2473">
      <c r="B2473" s="8">
        <f>IF(A2473="","",IFERROR(DATEVALUE(TEXTBEFORE(A2473,"|")),--LEFT(A2473,10)))</f>
        <v/>
      </c>
      <c r="C2473">
        <f>IF(A2473="","",TEXTBEFORE(TEXTAFTER(A2473,"|"),"|"))</f>
        <v/>
      </c>
      <c r="D2473">
        <f>IF(A2473="","",TEXTAFTER(A2473,"|",2))</f>
        <v/>
      </c>
      <c r="E2473">
        <f>IF(A2473="","",SUMIF(Tickets[TripKey],A2473,Tickets[TP]))</f>
        <v/>
      </c>
      <c r="F2473">
        <f>IF(A2473="","",SUMIF(Tickets[TripKey],A2473,Tickets[Revenue]))</f>
        <v/>
      </c>
      <c r="G2473">
        <f>IF(A2473="","",SUMIF(Tickets[TripKey],A2473,Tickets[PK]))</f>
        <v/>
      </c>
      <c r="H2473">
        <f>IF(A2473="","",IFERROR(XLOOKUP(A2473,Tickets[TripKey],Tickets[VehClean]),""))</f>
        <v/>
      </c>
      <c r="I2473">
        <f>IF(A2473="","",IFERROR(XLOOKUP(A2473,Tickets[TripKey],Tickets[RouteLen]),0))</f>
        <v/>
      </c>
      <c r="J2473">
        <f>IF(A2473="","",IFERROR(XLOOKUP(A2473,Tickets[TripKey],Tickets[Capacity]),0))</f>
        <v/>
      </c>
      <c r="K2473">
        <f>IF(A2473="","",I2473*J2473)</f>
        <v/>
      </c>
      <c r="L2473">
        <f>IF(A2473="","",IFERROR(MINIFS(Tickets[Trip Start Time],Tickets[TripKey],A2473),""))</f>
        <v/>
      </c>
    </row>
    <row r="2474">
      <c r="B2474" s="8">
        <f>IF(A2474="","",IFERROR(DATEVALUE(TEXTBEFORE(A2474,"|")),--LEFT(A2474,10)))</f>
        <v/>
      </c>
      <c r="C2474">
        <f>IF(A2474="","",TEXTBEFORE(TEXTAFTER(A2474,"|"),"|"))</f>
        <v/>
      </c>
      <c r="D2474">
        <f>IF(A2474="","",TEXTAFTER(A2474,"|",2))</f>
        <v/>
      </c>
      <c r="E2474">
        <f>IF(A2474="","",SUMIF(Tickets[TripKey],A2474,Tickets[TP]))</f>
        <v/>
      </c>
      <c r="F2474">
        <f>IF(A2474="","",SUMIF(Tickets[TripKey],A2474,Tickets[Revenue]))</f>
        <v/>
      </c>
      <c r="G2474">
        <f>IF(A2474="","",SUMIF(Tickets[TripKey],A2474,Tickets[PK]))</f>
        <v/>
      </c>
      <c r="H2474">
        <f>IF(A2474="","",IFERROR(XLOOKUP(A2474,Tickets[TripKey],Tickets[VehClean]),""))</f>
        <v/>
      </c>
      <c r="I2474">
        <f>IF(A2474="","",IFERROR(XLOOKUP(A2474,Tickets[TripKey],Tickets[RouteLen]),0))</f>
        <v/>
      </c>
      <c r="J2474">
        <f>IF(A2474="","",IFERROR(XLOOKUP(A2474,Tickets[TripKey],Tickets[Capacity]),0))</f>
        <v/>
      </c>
      <c r="K2474">
        <f>IF(A2474="","",I2474*J2474)</f>
        <v/>
      </c>
      <c r="L2474">
        <f>IF(A2474="","",IFERROR(MINIFS(Tickets[Trip Start Time],Tickets[TripKey],A2474),""))</f>
        <v/>
      </c>
    </row>
    <row r="2475">
      <c r="B2475" s="8">
        <f>IF(A2475="","",IFERROR(DATEVALUE(TEXTBEFORE(A2475,"|")),--LEFT(A2475,10)))</f>
        <v/>
      </c>
      <c r="C2475">
        <f>IF(A2475="","",TEXTBEFORE(TEXTAFTER(A2475,"|"),"|"))</f>
        <v/>
      </c>
      <c r="D2475">
        <f>IF(A2475="","",TEXTAFTER(A2475,"|",2))</f>
        <v/>
      </c>
      <c r="E2475">
        <f>IF(A2475="","",SUMIF(Tickets[TripKey],A2475,Tickets[TP]))</f>
        <v/>
      </c>
      <c r="F2475">
        <f>IF(A2475="","",SUMIF(Tickets[TripKey],A2475,Tickets[Revenue]))</f>
        <v/>
      </c>
      <c r="G2475">
        <f>IF(A2475="","",SUMIF(Tickets[TripKey],A2475,Tickets[PK]))</f>
        <v/>
      </c>
      <c r="H2475">
        <f>IF(A2475="","",IFERROR(XLOOKUP(A2475,Tickets[TripKey],Tickets[VehClean]),""))</f>
        <v/>
      </c>
      <c r="I2475">
        <f>IF(A2475="","",IFERROR(XLOOKUP(A2475,Tickets[TripKey],Tickets[RouteLen]),0))</f>
        <v/>
      </c>
      <c r="J2475">
        <f>IF(A2475="","",IFERROR(XLOOKUP(A2475,Tickets[TripKey],Tickets[Capacity]),0))</f>
        <v/>
      </c>
      <c r="K2475">
        <f>IF(A2475="","",I2475*J2475)</f>
        <v/>
      </c>
      <c r="L2475">
        <f>IF(A2475="","",IFERROR(MINIFS(Tickets[Trip Start Time],Tickets[TripKey],A2475),""))</f>
        <v/>
      </c>
    </row>
    <row r="2476">
      <c r="B2476" s="8">
        <f>IF(A2476="","",IFERROR(DATEVALUE(TEXTBEFORE(A2476,"|")),--LEFT(A2476,10)))</f>
        <v/>
      </c>
      <c r="C2476">
        <f>IF(A2476="","",TEXTBEFORE(TEXTAFTER(A2476,"|"),"|"))</f>
        <v/>
      </c>
      <c r="D2476">
        <f>IF(A2476="","",TEXTAFTER(A2476,"|",2))</f>
        <v/>
      </c>
      <c r="E2476">
        <f>IF(A2476="","",SUMIF(Tickets[TripKey],A2476,Tickets[TP]))</f>
        <v/>
      </c>
      <c r="F2476">
        <f>IF(A2476="","",SUMIF(Tickets[TripKey],A2476,Tickets[Revenue]))</f>
        <v/>
      </c>
      <c r="G2476">
        <f>IF(A2476="","",SUMIF(Tickets[TripKey],A2476,Tickets[PK]))</f>
        <v/>
      </c>
      <c r="H2476">
        <f>IF(A2476="","",IFERROR(XLOOKUP(A2476,Tickets[TripKey],Tickets[VehClean]),""))</f>
        <v/>
      </c>
      <c r="I2476">
        <f>IF(A2476="","",IFERROR(XLOOKUP(A2476,Tickets[TripKey],Tickets[RouteLen]),0))</f>
        <v/>
      </c>
      <c r="J2476">
        <f>IF(A2476="","",IFERROR(XLOOKUP(A2476,Tickets[TripKey],Tickets[Capacity]),0))</f>
        <v/>
      </c>
      <c r="K2476">
        <f>IF(A2476="","",I2476*J2476)</f>
        <v/>
      </c>
      <c r="L2476">
        <f>IF(A2476="","",IFERROR(MINIFS(Tickets[Trip Start Time],Tickets[TripKey],A2476),""))</f>
        <v/>
      </c>
    </row>
    <row r="2477">
      <c r="B2477" s="8">
        <f>IF(A2477="","",IFERROR(DATEVALUE(TEXTBEFORE(A2477,"|")),--LEFT(A2477,10)))</f>
        <v/>
      </c>
      <c r="C2477">
        <f>IF(A2477="","",TEXTBEFORE(TEXTAFTER(A2477,"|"),"|"))</f>
        <v/>
      </c>
      <c r="D2477">
        <f>IF(A2477="","",TEXTAFTER(A2477,"|",2))</f>
        <v/>
      </c>
      <c r="E2477">
        <f>IF(A2477="","",SUMIF(Tickets[TripKey],A2477,Tickets[TP]))</f>
        <v/>
      </c>
      <c r="F2477">
        <f>IF(A2477="","",SUMIF(Tickets[TripKey],A2477,Tickets[Revenue]))</f>
        <v/>
      </c>
      <c r="G2477">
        <f>IF(A2477="","",SUMIF(Tickets[TripKey],A2477,Tickets[PK]))</f>
        <v/>
      </c>
      <c r="H2477">
        <f>IF(A2477="","",IFERROR(XLOOKUP(A2477,Tickets[TripKey],Tickets[VehClean]),""))</f>
        <v/>
      </c>
      <c r="I2477">
        <f>IF(A2477="","",IFERROR(XLOOKUP(A2477,Tickets[TripKey],Tickets[RouteLen]),0))</f>
        <v/>
      </c>
      <c r="J2477">
        <f>IF(A2477="","",IFERROR(XLOOKUP(A2477,Tickets[TripKey],Tickets[Capacity]),0))</f>
        <v/>
      </c>
      <c r="K2477">
        <f>IF(A2477="","",I2477*J2477)</f>
        <v/>
      </c>
      <c r="L2477">
        <f>IF(A2477="","",IFERROR(MINIFS(Tickets[Trip Start Time],Tickets[TripKey],A2477),""))</f>
        <v/>
      </c>
    </row>
    <row r="2478">
      <c r="B2478" s="8">
        <f>IF(A2478="","",IFERROR(DATEVALUE(TEXTBEFORE(A2478,"|")),--LEFT(A2478,10)))</f>
        <v/>
      </c>
      <c r="C2478">
        <f>IF(A2478="","",TEXTBEFORE(TEXTAFTER(A2478,"|"),"|"))</f>
        <v/>
      </c>
      <c r="D2478">
        <f>IF(A2478="","",TEXTAFTER(A2478,"|",2))</f>
        <v/>
      </c>
      <c r="E2478">
        <f>IF(A2478="","",SUMIF(Tickets[TripKey],A2478,Tickets[TP]))</f>
        <v/>
      </c>
      <c r="F2478">
        <f>IF(A2478="","",SUMIF(Tickets[TripKey],A2478,Tickets[Revenue]))</f>
        <v/>
      </c>
      <c r="G2478">
        <f>IF(A2478="","",SUMIF(Tickets[TripKey],A2478,Tickets[PK]))</f>
        <v/>
      </c>
      <c r="H2478">
        <f>IF(A2478="","",IFERROR(XLOOKUP(A2478,Tickets[TripKey],Tickets[VehClean]),""))</f>
        <v/>
      </c>
      <c r="I2478">
        <f>IF(A2478="","",IFERROR(XLOOKUP(A2478,Tickets[TripKey],Tickets[RouteLen]),0))</f>
        <v/>
      </c>
      <c r="J2478">
        <f>IF(A2478="","",IFERROR(XLOOKUP(A2478,Tickets[TripKey],Tickets[Capacity]),0))</f>
        <v/>
      </c>
      <c r="K2478">
        <f>IF(A2478="","",I2478*J2478)</f>
        <v/>
      </c>
      <c r="L2478">
        <f>IF(A2478="","",IFERROR(MINIFS(Tickets[Trip Start Time],Tickets[TripKey],A2478),""))</f>
        <v/>
      </c>
    </row>
    <row r="2479">
      <c r="B2479" s="8">
        <f>IF(A2479="","",IFERROR(DATEVALUE(TEXTBEFORE(A2479,"|")),--LEFT(A2479,10)))</f>
        <v/>
      </c>
      <c r="C2479">
        <f>IF(A2479="","",TEXTBEFORE(TEXTAFTER(A2479,"|"),"|"))</f>
        <v/>
      </c>
      <c r="D2479">
        <f>IF(A2479="","",TEXTAFTER(A2479,"|",2))</f>
        <v/>
      </c>
      <c r="E2479">
        <f>IF(A2479="","",SUMIF(Tickets[TripKey],A2479,Tickets[TP]))</f>
        <v/>
      </c>
      <c r="F2479">
        <f>IF(A2479="","",SUMIF(Tickets[TripKey],A2479,Tickets[Revenue]))</f>
        <v/>
      </c>
      <c r="G2479">
        <f>IF(A2479="","",SUMIF(Tickets[TripKey],A2479,Tickets[PK]))</f>
        <v/>
      </c>
      <c r="H2479">
        <f>IF(A2479="","",IFERROR(XLOOKUP(A2479,Tickets[TripKey],Tickets[VehClean]),""))</f>
        <v/>
      </c>
      <c r="I2479">
        <f>IF(A2479="","",IFERROR(XLOOKUP(A2479,Tickets[TripKey],Tickets[RouteLen]),0))</f>
        <v/>
      </c>
      <c r="J2479">
        <f>IF(A2479="","",IFERROR(XLOOKUP(A2479,Tickets[TripKey],Tickets[Capacity]),0))</f>
        <v/>
      </c>
      <c r="K2479">
        <f>IF(A2479="","",I2479*J2479)</f>
        <v/>
      </c>
      <c r="L2479">
        <f>IF(A2479="","",IFERROR(MINIFS(Tickets[Trip Start Time],Tickets[TripKey],A2479),""))</f>
        <v/>
      </c>
    </row>
    <row r="2480">
      <c r="B2480" s="8">
        <f>IF(A2480="","",IFERROR(DATEVALUE(TEXTBEFORE(A2480,"|")),--LEFT(A2480,10)))</f>
        <v/>
      </c>
      <c r="C2480">
        <f>IF(A2480="","",TEXTBEFORE(TEXTAFTER(A2480,"|"),"|"))</f>
        <v/>
      </c>
      <c r="D2480">
        <f>IF(A2480="","",TEXTAFTER(A2480,"|",2))</f>
        <v/>
      </c>
      <c r="E2480">
        <f>IF(A2480="","",SUMIF(Tickets[TripKey],A2480,Tickets[TP]))</f>
        <v/>
      </c>
      <c r="F2480">
        <f>IF(A2480="","",SUMIF(Tickets[TripKey],A2480,Tickets[Revenue]))</f>
        <v/>
      </c>
      <c r="G2480">
        <f>IF(A2480="","",SUMIF(Tickets[TripKey],A2480,Tickets[PK]))</f>
        <v/>
      </c>
      <c r="H2480">
        <f>IF(A2480="","",IFERROR(XLOOKUP(A2480,Tickets[TripKey],Tickets[VehClean]),""))</f>
        <v/>
      </c>
      <c r="I2480">
        <f>IF(A2480="","",IFERROR(XLOOKUP(A2480,Tickets[TripKey],Tickets[RouteLen]),0))</f>
        <v/>
      </c>
      <c r="J2480">
        <f>IF(A2480="","",IFERROR(XLOOKUP(A2480,Tickets[TripKey],Tickets[Capacity]),0))</f>
        <v/>
      </c>
      <c r="K2480">
        <f>IF(A2480="","",I2480*J2480)</f>
        <v/>
      </c>
      <c r="L2480">
        <f>IF(A2480="","",IFERROR(MINIFS(Tickets[Trip Start Time],Tickets[TripKey],A2480),""))</f>
        <v/>
      </c>
    </row>
    <row r="2481">
      <c r="B2481" s="8">
        <f>IF(A2481="","",IFERROR(DATEVALUE(TEXTBEFORE(A2481,"|")),--LEFT(A2481,10)))</f>
        <v/>
      </c>
      <c r="C2481">
        <f>IF(A2481="","",TEXTBEFORE(TEXTAFTER(A2481,"|"),"|"))</f>
        <v/>
      </c>
      <c r="D2481">
        <f>IF(A2481="","",TEXTAFTER(A2481,"|",2))</f>
        <v/>
      </c>
      <c r="E2481">
        <f>IF(A2481="","",SUMIF(Tickets[TripKey],A2481,Tickets[TP]))</f>
        <v/>
      </c>
      <c r="F2481">
        <f>IF(A2481="","",SUMIF(Tickets[TripKey],A2481,Tickets[Revenue]))</f>
        <v/>
      </c>
      <c r="G2481">
        <f>IF(A2481="","",SUMIF(Tickets[TripKey],A2481,Tickets[PK]))</f>
        <v/>
      </c>
      <c r="H2481">
        <f>IF(A2481="","",IFERROR(XLOOKUP(A2481,Tickets[TripKey],Tickets[VehClean]),""))</f>
        <v/>
      </c>
      <c r="I2481">
        <f>IF(A2481="","",IFERROR(XLOOKUP(A2481,Tickets[TripKey],Tickets[RouteLen]),0))</f>
        <v/>
      </c>
      <c r="J2481">
        <f>IF(A2481="","",IFERROR(XLOOKUP(A2481,Tickets[TripKey],Tickets[Capacity]),0))</f>
        <v/>
      </c>
      <c r="K2481">
        <f>IF(A2481="","",I2481*J2481)</f>
        <v/>
      </c>
      <c r="L2481">
        <f>IF(A2481="","",IFERROR(MINIFS(Tickets[Trip Start Time],Tickets[TripKey],A2481),""))</f>
        <v/>
      </c>
    </row>
    <row r="2482">
      <c r="B2482" s="8">
        <f>IF(A2482="","",IFERROR(DATEVALUE(TEXTBEFORE(A2482,"|")),--LEFT(A2482,10)))</f>
        <v/>
      </c>
      <c r="C2482">
        <f>IF(A2482="","",TEXTBEFORE(TEXTAFTER(A2482,"|"),"|"))</f>
        <v/>
      </c>
      <c r="D2482">
        <f>IF(A2482="","",TEXTAFTER(A2482,"|",2))</f>
        <v/>
      </c>
      <c r="E2482">
        <f>IF(A2482="","",SUMIF(Tickets[TripKey],A2482,Tickets[TP]))</f>
        <v/>
      </c>
      <c r="F2482">
        <f>IF(A2482="","",SUMIF(Tickets[TripKey],A2482,Tickets[Revenue]))</f>
        <v/>
      </c>
      <c r="G2482">
        <f>IF(A2482="","",SUMIF(Tickets[TripKey],A2482,Tickets[PK]))</f>
        <v/>
      </c>
      <c r="H2482">
        <f>IF(A2482="","",IFERROR(XLOOKUP(A2482,Tickets[TripKey],Tickets[VehClean]),""))</f>
        <v/>
      </c>
      <c r="I2482">
        <f>IF(A2482="","",IFERROR(XLOOKUP(A2482,Tickets[TripKey],Tickets[RouteLen]),0))</f>
        <v/>
      </c>
      <c r="J2482">
        <f>IF(A2482="","",IFERROR(XLOOKUP(A2482,Tickets[TripKey],Tickets[Capacity]),0))</f>
        <v/>
      </c>
      <c r="K2482">
        <f>IF(A2482="","",I2482*J2482)</f>
        <v/>
      </c>
      <c r="L2482">
        <f>IF(A2482="","",IFERROR(MINIFS(Tickets[Trip Start Time],Tickets[TripKey],A2482),""))</f>
        <v/>
      </c>
    </row>
    <row r="2483">
      <c r="B2483" s="8">
        <f>IF(A2483="","",IFERROR(DATEVALUE(TEXTBEFORE(A2483,"|")),--LEFT(A2483,10)))</f>
        <v/>
      </c>
      <c r="C2483">
        <f>IF(A2483="","",TEXTBEFORE(TEXTAFTER(A2483,"|"),"|"))</f>
        <v/>
      </c>
      <c r="D2483">
        <f>IF(A2483="","",TEXTAFTER(A2483,"|",2))</f>
        <v/>
      </c>
      <c r="E2483">
        <f>IF(A2483="","",SUMIF(Tickets[TripKey],A2483,Tickets[TP]))</f>
        <v/>
      </c>
      <c r="F2483">
        <f>IF(A2483="","",SUMIF(Tickets[TripKey],A2483,Tickets[Revenue]))</f>
        <v/>
      </c>
      <c r="G2483">
        <f>IF(A2483="","",SUMIF(Tickets[TripKey],A2483,Tickets[PK]))</f>
        <v/>
      </c>
      <c r="H2483">
        <f>IF(A2483="","",IFERROR(XLOOKUP(A2483,Tickets[TripKey],Tickets[VehClean]),""))</f>
        <v/>
      </c>
      <c r="I2483">
        <f>IF(A2483="","",IFERROR(XLOOKUP(A2483,Tickets[TripKey],Tickets[RouteLen]),0))</f>
        <v/>
      </c>
      <c r="J2483">
        <f>IF(A2483="","",IFERROR(XLOOKUP(A2483,Tickets[TripKey],Tickets[Capacity]),0))</f>
        <v/>
      </c>
      <c r="K2483">
        <f>IF(A2483="","",I2483*J2483)</f>
        <v/>
      </c>
      <c r="L2483">
        <f>IF(A2483="","",IFERROR(MINIFS(Tickets[Trip Start Time],Tickets[TripKey],A2483),""))</f>
        <v/>
      </c>
    </row>
    <row r="2484">
      <c r="B2484" s="8">
        <f>IF(A2484="","",IFERROR(DATEVALUE(TEXTBEFORE(A2484,"|")),--LEFT(A2484,10)))</f>
        <v/>
      </c>
      <c r="C2484">
        <f>IF(A2484="","",TEXTBEFORE(TEXTAFTER(A2484,"|"),"|"))</f>
        <v/>
      </c>
      <c r="D2484">
        <f>IF(A2484="","",TEXTAFTER(A2484,"|",2))</f>
        <v/>
      </c>
      <c r="E2484">
        <f>IF(A2484="","",SUMIF(Tickets[TripKey],A2484,Tickets[TP]))</f>
        <v/>
      </c>
      <c r="F2484">
        <f>IF(A2484="","",SUMIF(Tickets[TripKey],A2484,Tickets[Revenue]))</f>
        <v/>
      </c>
      <c r="G2484">
        <f>IF(A2484="","",SUMIF(Tickets[TripKey],A2484,Tickets[PK]))</f>
        <v/>
      </c>
      <c r="H2484">
        <f>IF(A2484="","",IFERROR(XLOOKUP(A2484,Tickets[TripKey],Tickets[VehClean]),""))</f>
        <v/>
      </c>
      <c r="I2484">
        <f>IF(A2484="","",IFERROR(XLOOKUP(A2484,Tickets[TripKey],Tickets[RouteLen]),0))</f>
        <v/>
      </c>
      <c r="J2484">
        <f>IF(A2484="","",IFERROR(XLOOKUP(A2484,Tickets[TripKey],Tickets[Capacity]),0))</f>
        <v/>
      </c>
      <c r="K2484">
        <f>IF(A2484="","",I2484*J2484)</f>
        <v/>
      </c>
      <c r="L2484">
        <f>IF(A2484="","",IFERROR(MINIFS(Tickets[Trip Start Time],Tickets[TripKey],A2484),""))</f>
        <v/>
      </c>
    </row>
    <row r="2485">
      <c r="B2485" s="8">
        <f>IF(A2485="","",IFERROR(DATEVALUE(TEXTBEFORE(A2485,"|")),--LEFT(A2485,10)))</f>
        <v/>
      </c>
      <c r="C2485">
        <f>IF(A2485="","",TEXTBEFORE(TEXTAFTER(A2485,"|"),"|"))</f>
        <v/>
      </c>
      <c r="D2485">
        <f>IF(A2485="","",TEXTAFTER(A2485,"|",2))</f>
        <v/>
      </c>
      <c r="E2485">
        <f>IF(A2485="","",SUMIF(Tickets[TripKey],A2485,Tickets[TP]))</f>
        <v/>
      </c>
      <c r="F2485">
        <f>IF(A2485="","",SUMIF(Tickets[TripKey],A2485,Tickets[Revenue]))</f>
        <v/>
      </c>
      <c r="G2485">
        <f>IF(A2485="","",SUMIF(Tickets[TripKey],A2485,Tickets[PK]))</f>
        <v/>
      </c>
      <c r="H2485">
        <f>IF(A2485="","",IFERROR(XLOOKUP(A2485,Tickets[TripKey],Tickets[VehClean]),""))</f>
        <v/>
      </c>
      <c r="I2485">
        <f>IF(A2485="","",IFERROR(XLOOKUP(A2485,Tickets[TripKey],Tickets[RouteLen]),0))</f>
        <v/>
      </c>
      <c r="J2485">
        <f>IF(A2485="","",IFERROR(XLOOKUP(A2485,Tickets[TripKey],Tickets[Capacity]),0))</f>
        <v/>
      </c>
      <c r="K2485">
        <f>IF(A2485="","",I2485*J2485)</f>
        <v/>
      </c>
      <c r="L2485">
        <f>IF(A2485="","",IFERROR(MINIFS(Tickets[Trip Start Time],Tickets[TripKey],A2485),""))</f>
        <v/>
      </c>
    </row>
    <row r="2486">
      <c r="B2486" s="8">
        <f>IF(A2486="","",IFERROR(DATEVALUE(TEXTBEFORE(A2486,"|")),--LEFT(A2486,10)))</f>
        <v/>
      </c>
      <c r="C2486">
        <f>IF(A2486="","",TEXTBEFORE(TEXTAFTER(A2486,"|"),"|"))</f>
        <v/>
      </c>
      <c r="D2486">
        <f>IF(A2486="","",TEXTAFTER(A2486,"|",2))</f>
        <v/>
      </c>
      <c r="E2486">
        <f>IF(A2486="","",SUMIF(Tickets[TripKey],A2486,Tickets[TP]))</f>
        <v/>
      </c>
      <c r="F2486">
        <f>IF(A2486="","",SUMIF(Tickets[TripKey],A2486,Tickets[Revenue]))</f>
        <v/>
      </c>
      <c r="G2486">
        <f>IF(A2486="","",SUMIF(Tickets[TripKey],A2486,Tickets[PK]))</f>
        <v/>
      </c>
      <c r="H2486">
        <f>IF(A2486="","",IFERROR(XLOOKUP(A2486,Tickets[TripKey],Tickets[VehClean]),""))</f>
        <v/>
      </c>
      <c r="I2486">
        <f>IF(A2486="","",IFERROR(XLOOKUP(A2486,Tickets[TripKey],Tickets[RouteLen]),0))</f>
        <v/>
      </c>
      <c r="J2486">
        <f>IF(A2486="","",IFERROR(XLOOKUP(A2486,Tickets[TripKey],Tickets[Capacity]),0))</f>
        <v/>
      </c>
      <c r="K2486">
        <f>IF(A2486="","",I2486*J2486)</f>
        <v/>
      </c>
      <c r="L2486">
        <f>IF(A2486="","",IFERROR(MINIFS(Tickets[Trip Start Time],Tickets[TripKey],A2486),""))</f>
        <v/>
      </c>
    </row>
    <row r="2487">
      <c r="B2487" s="8">
        <f>IF(A2487="","",IFERROR(DATEVALUE(TEXTBEFORE(A2487,"|")),--LEFT(A2487,10)))</f>
        <v/>
      </c>
      <c r="C2487">
        <f>IF(A2487="","",TEXTBEFORE(TEXTAFTER(A2487,"|"),"|"))</f>
        <v/>
      </c>
      <c r="D2487">
        <f>IF(A2487="","",TEXTAFTER(A2487,"|",2))</f>
        <v/>
      </c>
      <c r="E2487">
        <f>IF(A2487="","",SUMIF(Tickets[TripKey],A2487,Tickets[TP]))</f>
        <v/>
      </c>
      <c r="F2487">
        <f>IF(A2487="","",SUMIF(Tickets[TripKey],A2487,Tickets[Revenue]))</f>
        <v/>
      </c>
      <c r="G2487">
        <f>IF(A2487="","",SUMIF(Tickets[TripKey],A2487,Tickets[PK]))</f>
        <v/>
      </c>
      <c r="H2487">
        <f>IF(A2487="","",IFERROR(XLOOKUP(A2487,Tickets[TripKey],Tickets[VehClean]),""))</f>
        <v/>
      </c>
      <c r="I2487">
        <f>IF(A2487="","",IFERROR(XLOOKUP(A2487,Tickets[TripKey],Tickets[RouteLen]),0))</f>
        <v/>
      </c>
      <c r="J2487">
        <f>IF(A2487="","",IFERROR(XLOOKUP(A2487,Tickets[TripKey],Tickets[Capacity]),0))</f>
        <v/>
      </c>
      <c r="K2487">
        <f>IF(A2487="","",I2487*J2487)</f>
        <v/>
      </c>
      <c r="L2487">
        <f>IF(A2487="","",IFERROR(MINIFS(Tickets[Trip Start Time],Tickets[TripKey],A2487),""))</f>
        <v/>
      </c>
    </row>
    <row r="2488">
      <c r="B2488" s="8">
        <f>IF(A2488="","",IFERROR(DATEVALUE(TEXTBEFORE(A2488,"|")),--LEFT(A2488,10)))</f>
        <v/>
      </c>
      <c r="C2488">
        <f>IF(A2488="","",TEXTBEFORE(TEXTAFTER(A2488,"|"),"|"))</f>
        <v/>
      </c>
      <c r="D2488">
        <f>IF(A2488="","",TEXTAFTER(A2488,"|",2))</f>
        <v/>
      </c>
      <c r="E2488">
        <f>IF(A2488="","",SUMIF(Tickets[TripKey],A2488,Tickets[TP]))</f>
        <v/>
      </c>
      <c r="F2488">
        <f>IF(A2488="","",SUMIF(Tickets[TripKey],A2488,Tickets[Revenue]))</f>
        <v/>
      </c>
      <c r="G2488">
        <f>IF(A2488="","",SUMIF(Tickets[TripKey],A2488,Tickets[PK]))</f>
        <v/>
      </c>
      <c r="H2488">
        <f>IF(A2488="","",IFERROR(XLOOKUP(A2488,Tickets[TripKey],Tickets[VehClean]),""))</f>
        <v/>
      </c>
      <c r="I2488">
        <f>IF(A2488="","",IFERROR(XLOOKUP(A2488,Tickets[TripKey],Tickets[RouteLen]),0))</f>
        <v/>
      </c>
      <c r="J2488">
        <f>IF(A2488="","",IFERROR(XLOOKUP(A2488,Tickets[TripKey],Tickets[Capacity]),0))</f>
        <v/>
      </c>
      <c r="K2488">
        <f>IF(A2488="","",I2488*J2488)</f>
        <v/>
      </c>
      <c r="L2488">
        <f>IF(A2488="","",IFERROR(MINIFS(Tickets[Trip Start Time],Tickets[TripKey],A2488),""))</f>
        <v/>
      </c>
    </row>
    <row r="2489">
      <c r="B2489" s="8">
        <f>IF(A2489="","",IFERROR(DATEVALUE(TEXTBEFORE(A2489,"|")),--LEFT(A2489,10)))</f>
        <v/>
      </c>
      <c r="C2489">
        <f>IF(A2489="","",TEXTBEFORE(TEXTAFTER(A2489,"|"),"|"))</f>
        <v/>
      </c>
      <c r="D2489">
        <f>IF(A2489="","",TEXTAFTER(A2489,"|",2))</f>
        <v/>
      </c>
      <c r="E2489">
        <f>IF(A2489="","",SUMIF(Tickets[TripKey],A2489,Tickets[TP]))</f>
        <v/>
      </c>
      <c r="F2489">
        <f>IF(A2489="","",SUMIF(Tickets[TripKey],A2489,Tickets[Revenue]))</f>
        <v/>
      </c>
      <c r="G2489">
        <f>IF(A2489="","",SUMIF(Tickets[TripKey],A2489,Tickets[PK]))</f>
        <v/>
      </c>
      <c r="H2489">
        <f>IF(A2489="","",IFERROR(XLOOKUP(A2489,Tickets[TripKey],Tickets[VehClean]),""))</f>
        <v/>
      </c>
      <c r="I2489">
        <f>IF(A2489="","",IFERROR(XLOOKUP(A2489,Tickets[TripKey],Tickets[RouteLen]),0))</f>
        <v/>
      </c>
      <c r="J2489">
        <f>IF(A2489="","",IFERROR(XLOOKUP(A2489,Tickets[TripKey],Tickets[Capacity]),0))</f>
        <v/>
      </c>
      <c r="K2489">
        <f>IF(A2489="","",I2489*J2489)</f>
        <v/>
      </c>
      <c r="L2489">
        <f>IF(A2489="","",IFERROR(MINIFS(Tickets[Trip Start Time],Tickets[TripKey],A2489),""))</f>
        <v/>
      </c>
    </row>
    <row r="2490">
      <c r="B2490" s="8">
        <f>IF(A2490="","",IFERROR(DATEVALUE(TEXTBEFORE(A2490,"|")),--LEFT(A2490,10)))</f>
        <v/>
      </c>
      <c r="C2490">
        <f>IF(A2490="","",TEXTBEFORE(TEXTAFTER(A2490,"|"),"|"))</f>
        <v/>
      </c>
      <c r="D2490">
        <f>IF(A2490="","",TEXTAFTER(A2490,"|",2))</f>
        <v/>
      </c>
      <c r="E2490">
        <f>IF(A2490="","",SUMIF(Tickets[TripKey],A2490,Tickets[TP]))</f>
        <v/>
      </c>
      <c r="F2490">
        <f>IF(A2490="","",SUMIF(Tickets[TripKey],A2490,Tickets[Revenue]))</f>
        <v/>
      </c>
      <c r="G2490">
        <f>IF(A2490="","",SUMIF(Tickets[TripKey],A2490,Tickets[PK]))</f>
        <v/>
      </c>
      <c r="H2490">
        <f>IF(A2490="","",IFERROR(XLOOKUP(A2490,Tickets[TripKey],Tickets[VehClean]),""))</f>
        <v/>
      </c>
      <c r="I2490">
        <f>IF(A2490="","",IFERROR(XLOOKUP(A2490,Tickets[TripKey],Tickets[RouteLen]),0))</f>
        <v/>
      </c>
      <c r="J2490">
        <f>IF(A2490="","",IFERROR(XLOOKUP(A2490,Tickets[TripKey],Tickets[Capacity]),0))</f>
        <v/>
      </c>
      <c r="K2490">
        <f>IF(A2490="","",I2490*J2490)</f>
        <v/>
      </c>
      <c r="L2490">
        <f>IF(A2490="","",IFERROR(MINIFS(Tickets[Trip Start Time],Tickets[TripKey],A2490),""))</f>
        <v/>
      </c>
    </row>
    <row r="2491">
      <c r="B2491" s="8">
        <f>IF(A2491="","",IFERROR(DATEVALUE(TEXTBEFORE(A2491,"|")),--LEFT(A2491,10)))</f>
        <v/>
      </c>
      <c r="C2491">
        <f>IF(A2491="","",TEXTBEFORE(TEXTAFTER(A2491,"|"),"|"))</f>
        <v/>
      </c>
      <c r="D2491">
        <f>IF(A2491="","",TEXTAFTER(A2491,"|",2))</f>
        <v/>
      </c>
      <c r="E2491">
        <f>IF(A2491="","",SUMIF(Tickets[TripKey],A2491,Tickets[TP]))</f>
        <v/>
      </c>
      <c r="F2491">
        <f>IF(A2491="","",SUMIF(Tickets[TripKey],A2491,Tickets[Revenue]))</f>
        <v/>
      </c>
      <c r="G2491">
        <f>IF(A2491="","",SUMIF(Tickets[TripKey],A2491,Tickets[PK]))</f>
        <v/>
      </c>
      <c r="H2491">
        <f>IF(A2491="","",IFERROR(XLOOKUP(A2491,Tickets[TripKey],Tickets[VehClean]),""))</f>
        <v/>
      </c>
      <c r="I2491">
        <f>IF(A2491="","",IFERROR(XLOOKUP(A2491,Tickets[TripKey],Tickets[RouteLen]),0))</f>
        <v/>
      </c>
      <c r="J2491">
        <f>IF(A2491="","",IFERROR(XLOOKUP(A2491,Tickets[TripKey],Tickets[Capacity]),0))</f>
        <v/>
      </c>
      <c r="K2491">
        <f>IF(A2491="","",I2491*J2491)</f>
        <v/>
      </c>
      <c r="L2491">
        <f>IF(A2491="","",IFERROR(MINIFS(Tickets[Trip Start Time],Tickets[TripKey],A2491),""))</f>
        <v/>
      </c>
    </row>
    <row r="2492">
      <c r="B2492" s="8">
        <f>IF(A2492="","",IFERROR(DATEVALUE(TEXTBEFORE(A2492,"|")),--LEFT(A2492,10)))</f>
        <v/>
      </c>
      <c r="C2492">
        <f>IF(A2492="","",TEXTBEFORE(TEXTAFTER(A2492,"|"),"|"))</f>
        <v/>
      </c>
      <c r="D2492">
        <f>IF(A2492="","",TEXTAFTER(A2492,"|",2))</f>
        <v/>
      </c>
      <c r="E2492">
        <f>IF(A2492="","",SUMIF(Tickets[TripKey],A2492,Tickets[TP]))</f>
        <v/>
      </c>
      <c r="F2492">
        <f>IF(A2492="","",SUMIF(Tickets[TripKey],A2492,Tickets[Revenue]))</f>
        <v/>
      </c>
      <c r="G2492">
        <f>IF(A2492="","",SUMIF(Tickets[TripKey],A2492,Tickets[PK]))</f>
        <v/>
      </c>
      <c r="H2492">
        <f>IF(A2492="","",IFERROR(XLOOKUP(A2492,Tickets[TripKey],Tickets[VehClean]),""))</f>
        <v/>
      </c>
      <c r="I2492">
        <f>IF(A2492="","",IFERROR(XLOOKUP(A2492,Tickets[TripKey],Tickets[RouteLen]),0))</f>
        <v/>
      </c>
      <c r="J2492">
        <f>IF(A2492="","",IFERROR(XLOOKUP(A2492,Tickets[TripKey],Tickets[Capacity]),0))</f>
        <v/>
      </c>
      <c r="K2492">
        <f>IF(A2492="","",I2492*J2492)</f>
        <v/>
      </c>
      <c r="L2492">
        <f>IF(A2492="","",IFERROR(MINIFS(Tickets[Trip Start Time],Tickets[TripKey],A2492),""))</f>
        <v/>
      </c>
    </row>
    <row r="2493">
      <c r="B2493" s="8">
        <f>IF(A2493="","",IFERROR(DATEVALUE(TEXTBEFORE(A2493,"|")),--LEFT(A2493,10)))</f>
        <v/>
      </c>
      <c r="C2493">
        <f>IF(A2493="","",TEXTBEFORE(TEXTAFTER(A2493,"|"),"|"))</f>
        <v/>
      </c>
      <c r="D2493">
        <f>IF(A2493="","",TEXTAFTER(A2493,"|",2))</f>
        <v/>
      </c>
      <c r="E2493">
        <f>IF(A2493="","",SUMIF(Tickets[TripKey],A2493,Tickets[TP]))</f>
        <v/>
      </c>
      <c r="F2493">
        <f>IF(A2493="","",SUMIF(Tickets[TripKey],A2493,Tickets[Revenue]))</f>
        <v/>
      </c>
      <c r="G2493">
        <f>IF(A2493="","",SUMIF(Tickets[TripKey],A2493,Tickets[PK]))</f>
        <v/>
      </c>
      <c r="H2493">
        <f>IF(A2493="","",IFERROR(XLOOKUP(A2493,Tickets[TripKey],Tickets[VehClean]),""))</f>
        <v/>
      </c>
      <c r="I2493">
        <f>IF(A2493="","",IFERROR(XLOOKUP(A2493,Tickets[TripKey],Tickets[RouteLen]),0))</f>
        <v/>
      </c>
      <c r="J2493">
        <f>IF(A2493="","",IFERROR(XLOOKUP(A2493,Tickets[TripKey],Tickets[Capacity]),0))</f>
        <v/>
      </c>
      <c r="K2493">
        <f>IF(A2493="","",I2493*J2493)</f>
        <v/>
      </c>
      <c r="L2493">
        <f>IF(A2493="","",IFERROR(MINIFS(Tickets[Trip Start Time],Tickets[TripKey],A2493),""))</f>
        <v/>
      </c>
    </row>
    <row r="2494">
      <c r="B2494" s="8">
        <f>IF(A2494="","",IFERROR(DATEVALUE(TEXTBEFORE(A2494,"|")),--LEFT(A2494,10)))</f>
        <v/>
      </c>
      <c r="C2494">
        <f>IF(A2494="","",TEXTBEFORE(TEXTAFTER(A2494,"|"),"|"))</f>
        <v/>
      </c>
      <c r="D2494">
        <f>IF(A2494="","",TEXTAFTER(A2494,"|",2))</f>
        <v/>
      </c>
      <c r="E2494">
        <f>IF(A2494="","",SUMIF(Tickets[TripKey],A2494,Tickets[TP]))</f>
        <v/>
      </c>
      <c r="F2494">
        <f>IF(A2494="","",SUMIF(Tickets[TripKey],A2494,Tickets[Revenue]))</f>
        <v/>
      </c>
      <c r="G2494">
        <f>IF(A2494="","",SUMIF(Tickets[TripKey],A2494,Tickets[PK]))</f>
        <v/>
      </c>
      <c r="H2494">
        <f>IF(A2494="","",IFERROR(XLOOKUP(A2494,Tickets[TripKey],Tickets[VehClean]),""))</f>
        <v/>
      </c>
      <c r="I2494">
        <f>IF(A2494="","",IFERROR(XLOOKUP(A2494,Tickets[TripKey],Tickets[RouteLen]),0))</f>
        <v/>
      </c>
      <c r="J2494">
        <f>IF(A2494="","",IFERROR(XLOOKUP(A2494,Tickets[TripKey],Tickets[Capacity]),0))</f>
        <v/>
      </c>
      <c r="K2494">
        <f>IF(A2494="","",I2494*J2494)</f>
        <v/>
      </c>
      <c r="L2494">
        <f>IF(A2494="","",IFERROR(MINIFS(Tickets[Trip Start Time],Tickets[TripKey],A2494),""))</f>
        <v/>
      </c>
    </row>
    <row r="2495">
      <c r="B2495" s="8">
        <f>IF(A2495="","",IFERROR(DATEVALUE(TEXTBEFORE(A2495,"|")),--LEFT(A2495,10)))</f>
        <v/>
      </c>
      <c r="C2495">
        <f>IF(A2495="","",TEXTBEFORE(TEXTAFTER(A2495,"|"),"|"))</f>
        <v/>
      </c>
      <c r="D2495">
        <f>IF(A2495="","",TEXTAFTER(A2495,"|",2))</f>
        <v/>
      </c>
      <c r="E2495">
        <f>IF(A2495="","",SUMIF(Tickets[TripKey],A2495,Tickets[TP]))</f>
        <v/>
      </c>
      <c r="F2495">
        <f>IF(A2495="","",SUMIF(Tickets[TripKey],A2495,Tickets[Revenue]))</f>
        <v/>
      </c>
      <c r="G2495">
        <f>IF(A2495="","",SUMIF(Tickets[TripKey],A2495,Tickets[PK]))</f>
        <v/>
      </c>
      <c r="H2495">
        <f>IF(A2495="","",IFERROR(XLOOKUP(A2495,Tickets[TripKey],Tickets[VehClean]),""))</f>
        <v/>
      </c>
      <c r="I2495">
        <f>IF(A2495="","",IFERROR(XLOOKUP(A2495,Tickets[TripKey],Tickets[RouteLen]),0))</f>
        <v/>
      </c>
      <c r="J2495">
        <f>IF(A2495="","",IFERROR(XLOOKUP(A2495,Tickets[TripKey],Tickets[Capacity]),0))</f>
        <v/>
      </c>
      <c r="K2495">
        <f>IF(A2495="","",I2495*J2495)</f>
        <v/>
      </c>
      <c r="L2495">
        <f>IF(A2495="","",IFERROR(MINIFS(Tickets[Trip Start Time],Tickets[TripKey],A2495),""))</f>
        <v/>
      </c>
    </row>
    <row r="2496">
      <c r="B2496" s="8">
        <f>IF(A2496="","",IFERROR(DATEVALUE(TEXTBEFORE(A2496,"|")),--LEFT(A2496,10)))</f>
        <v/>
      </c>
      <c r="C2496">
        <f>IF(A2496="","",TEXTBEFORE(TEXTAFTER(A2496,"|"),"|"))</f>
        <v/>
      </c>
      <c r="D2496">
        <f>IF(A2496="","",TEXTAFTER(A2496,"|",2))</f>
        <v/>
      </c>
      <c r="E2496">
        <f>IF(A2496="","",SUMIF(Tickets[TripKey],A2496,Tickets[TP]))</f>
        <v/>
      </c>
      <c r="F2496">
        <f>IF(A2496="","",SUMIF(Tickets[TripKey],A2496,Tickets[Revenue]))</f>
        <v/>
      </c>
      <c r="G2496">
        <f>IF(A2496="","",SUMIF(Tickets[TripKey],A2496,Tickets[PK]))</f>
        <v/>
      </c>
      <c r="H2496">
        <f>IF(A2496="","",IFERROR(XLOOKUP(A2496,Tickets[TripKey],Tickets[VehClean]),""))</f>
        <v/>
      </c>
      <c r="I2496">
        <f>IF(A2496="","",IFERROR(XLOOKUP(A2496,Tickets[TripKey],Tickets[RouteLen]),0))</f>
        <v/>
      </c>
      <c r="J2496">
        <f>IF(A2496="","",IFERROR(XLOOKUP(A2496,Tickets[TripKey],Tickets[Capacity]),0))</f>
        <v/>
      </c>
      <c r="K2496">
        <f>IF(A2496="","",I2496*J2496)</f>
        <v/>
      </c>
      <c r="L2496">
        <f>IF(A2496="","",IFERROR(MINIFS(Tickets[Trip Start Time],Tickets[TripKey],A2496),""))</f>
        <v/>
      </c>
    </row>
    <row r="2497">
      <c r="B2497" s="8">
        <f>IF(A2497="","",IFERROR(DATEVALUE(TEXTBEFORE(A2497,"|")),--LEFT(A2497,10)))</f>
        <v/>
      </c>
      <c r="C2497">
        <f>IF(A2497="","",TEXTBEFORE(TEXTAFTER(A2497,"|"),"|"))</f>
        <v/>
      </c>
      <c r="D2497">
        <f>IF(A2497="","",TEXTAFTER(A2497,"|",2))</f>
        <v/>
      </c>
      <c r="E2497">
        <f>IF(A2497="","",SUMIF(Tickets[TripKey],A2497,Tickets[TP]))</f>
        <v/>
      </c>
      <c r="F2497">
        <f>IF(A2497="","",SUMIF(Tickets[TripKey],A2497,Tickets[Revenue]))</f>
        <v/>
      </c>
      <c r="G2497">
        <f>IF(A2497="","",SUMIF(Tickets[TripKey],A2497,Tickets[PK]))</f>
        <v/>
      </c>
      <c r="H2497">
        <f>IF(A2497="","",IFERROR(XLOOKUP(A2497,Tickets[TripKey],Tickets[VehClean]),""))</f>
        <v/>
      </c>
      <c r="I2497">
        <f>IF(A2497="","",IFERROR(XLOOKUP(A2497,Tickets[TripKey],Tickets[RouteLen]),0))</f>
        <v/>
      </c>
      <c r="J2497">
        <f>IF(A2497="","",IFERROR(XLOOKUP(A2497,Tickets[TripKey],Tickets[Capacity]),0))</f>
        <v/>
      </c>
      <c r="K2497">
        <f>IF(A2497="","",I2497*J2497)</f>
        <v/>
      </c>
      <c r="L2497">
        <f>IF(A2497="","",IFERROR(MINIFS(Tickets[Trip Start Time],Tickets[TripKey],A2497),""))</f>
        <v/>
      </c>
    </row>
    <row r="2498">
      <c r="B2498" s="8">
        <f>IF(A2498="","",IFERROR(DATEVALUE(TEXTBEFORE(A2498,"|")),--LEFT(A2498,10)))</f>
        <v/>
      </c>
      <c r="C2498">
        <f>IF(A2498="","",TEXTBEFORE(TEXTAFTER(A2498,"|"),"|"))</f>
        <v/>
      </c>
      <c r="D2498">
        <f>IF(A2498="","",TEXTAFTER(A2498,"|",2))</f>
        <v/>
      </c>
      <c r="E2498">
        <f>IF(A2498="","",SUMIF(Tickets[TripKey],A2498,Tickets[TP]))</f>
        <v/>
      </c>
      <c r="F2498">
        <f>IF(A2498="","",SUMIF(Tickets[TripKey],A2498,Tickets[Revenue]))</f>
        <v/>
      </c>
      <c r="G2498">
        <f>IF(A2498="","",SUMIF(Tickets[TripKey],A2498,Tickets[PK]))</f>
        <v/>
      </c>
      <c r="H2498">
        <f>IF(A2498="","",IFERROR(XLOOKUP(A2498,Tickets[TripKey],Tickets[VehClean]),""))</f>
        <v/>
      </c>
      <c r="I2498">
        <f>IF(A2498="","",IFERROR(XLOOKUP(A2498,Tickets[TripKey],Tickets[RouteLen]),0))</f>
        <v/>
      </c>
      <c r="J2498">
        <f>IF(A2498="","",IFERROR(XLOOKUP(A2498,Tickets[TripKey],Tickets[Capacity]),0))</f>
        <v/>
      </c>
      <c r="K2498">
        <f>IF(A2498="","",I2498*J2498)</f>
        <v/>
      </c>
      <c r="L2498">
        <f>IF(A2498="","",IFERROR(MINIFS(Tickets[Trip Start Time],Tickets[TripKey],A2498),""))</f>
        <v/>
      </c>
    </row>
    <row r="2499">
      <c r="B2499" s="8">
        <f>IF(A2499="","",IFERROR(DATEVALUE(TEXTBEFORE(A2499,"|")),--LEFT(A2499,10)))</f>
        <v/>
      </c>
      <c r="C2499">
        <f>IF(A2499="","",TEXTBEFORE(TEXTAFTER(A2499,"|"),"|"))</f>
        <v/>
      </c>
      <c r="D2499">
        <f>IF(A2499="","",TEXTAFTER(A2499,"|",2))</f>
        <v/>
      </c>
      <c r="E2499">
        <f>IF(A2499="","",SUMIF(Tickets[TripKey],A2499,Tickets[TP]))</f>
        <v/>
      </c>
      <c r="F2499">
        <f>IF(A2499="","",SUMIF(Tickets[TripKey],A2499,Tickets[Revenue]))</f>
        <v/>
      </c>
      <c r="G2499">
        <f>IF(A2499="","",SUMIF(Tickets[TripKey],A2499,Tickets[PK]))</f>
        <v/>
      </c>
      <c r="H2499">
        <f>IF(A2499="","",IFERROR(XLOOKUP(A2499,Tickets[TripKey],Tickets[VehClean]),""))</f>
        <v/>
      </c>
      <c r="I2499">
        <f>IF(A2499="","",IFERROR(XLOOKUP(A2499,Tickets[TripKey],Tickets[RouteLen]),0))</f>
        <v/>
      </c>
      <c r="J2499">
        <f>IF(A2499="","",IFERROR(XLOOKUP(A2499,Tickets[TripKey],Tickets[Capacity]),0))</f>
        <v/>
      </c>
      <c r="K2499">
        <f>IF(A2499="","",I2499*J2499)</f>
        <v/>
      </c>
      <c r="L2499">
        <f>IF(A2499="","",IFERROR(MINIFS(Tickets[Trip Start Time],Tickets[TripKey],A2499),""))</f>
        <v/>
      </c>
    </row>
    <row r="2500">
      <c r="B2500" s="8">
        <f>IF(A2500="","",IFERROR(DATEVALUE(TEXTBEFORE(A2500,"|")),--LEFT(A2500,10)))</f>
        <v/>
      </c>
      <c r="C2500">
        <f>IF(A2500="","",TEXTBEFORE(TEXTAFTER(A2500,"|"),"|"))</f>
        <v/>
      </c>
      <c r="D2500">
        <f>IF(A2500="","",TEXTAFTER(A2500,"|",2))</f>
        <v/>
      </c>
      <c r="E2500">
        <f>IF(A2500="","",SUMIF(Tickets[TripKey],A2500,Tickets[TP]))</f>
        <v/>
      </c>
      <c r="F2500">
        <f>IF(A2500="","",SUMIF(Tickets[TripKey],A2500,Tickets[Revenue]))</f>
        <v/>
      </c>
      <c r="G2500">
        <f>IF(A2500="","",SUMIF(Tickets[TripKey],A2500,Tickets[PK]))</f>
        <v/>
      </c>
      <c r="H2500">
        <f>IF(A2500="","",IFERROR(XLOOKUP(A2500,Tickets[TripKey],Tickets[VehClean]),""))</f>
        <v/>
      </c>
      <c r="I2500">
        <f>IF(A2500="","",IFERROR(XLOOKUP(A2500,Tickets[TripKey],Tickets[RouteLen]),0))</f>
        <v/>
      </c>
      <c r="J2500">
        <f>IF(A2500="","",IFERROR(XLOOKUP(A2500,Tickets[TripKey],Tickets[Capacity]),0))</f>
        <v/>
      </c>
      <c r="K2500">
        <f>IF(A2500="","",I2500*J2500)</f>
        <v/>
      </c>
      <c r="L2500">
        <f>IF(A2500="","",IFERROR(MINIFS(Tickets[Trip Start Time],Tickets[TripKey],A2500),""))</f>
        <v/>
      </c>
    </row>
    <row r="2501">
      <c r="B2501" s="8">
        <f>IF(A2501="","",IFERROR(DATEVALUE(TEXTBEFORE(A2501,"|")),--LEFT(A2501,10)))</f>
        <v/>
      </c>
      <c r="C2501">
        <f>IF(A2501="","",TEXTBEFORE(TEXTAFTER(A2501,"|"),"|"))</f>
        <v/>
      </c>
      <c r="D2501">
        <f>IF(A2501="","",TEXTAFTER(A2501,"|",2))</f>
        <v/>
      </c>
      <c r="E2501">
        <f>IF(A2501="","",SUMIF(Tickets[TripKey],A2501,Tickets[TP]))</f>
        <v/>
      </c>
      <c r="F2501">
        <f>IF(A2501="","",SUMIF(Tickets[TripKey],A2501,Tickets[Revenue]))</f>
        <v/>
      </c>
      <c r="G2501">
        <f>IF(A2501="","",SUMIF(Tickets[TripKey],A2501,Tickets[PK]))</f>
        <v/>
      </c>
      <c r="H2501">
        <f>IF(A2501="","",IFERROR(XLOOKUP(A2501,Tickets[TripKey],Tickets[VehClean]),""))</f>
        <v/>
      </c>
      <c r="I2501">
        <f>IF(A2501="","",IFERROR(XLOOKUP(A2501,Tickets[TripKey],Tickets[RouteLen]),0))</f>
        <v/>
      </c>
      <c r="J2501">
        <f>IF(A2501="","",IFERROR(XLOOKUP(A2501,Tickets[TripKey],Tickets[Capacity]),0))</f>
        <v/>
      </c>
      <c r="K2501">
        <f>IF(A2501="","",I2501*J2501)</f>
        <v/>
      </c>
      <c r="L2501">
        <f>IF(A2501="","",IFERROR(MINIFS(Tickets[Trip Start Time],Tickets[TripKey],A2501),""))</f>
        <v/>
      </c>
    </row>
    <row r="2503">
      <c r="A2503" s="5" t="inlineStr">
        <is>
          <t>Pre-filled measure formulas through row 2501. Extend if you have more trips.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Date</t>
        </is>
      </c>
      <c r="B1" s="6" t="inlineStr">
        <is>
          <t>Ridership</t>
        </is>
      </c>
      <c r="C1" s="6" t="inlineStr">
        <is>
          <t>Revenue</t>
        </is>
      </c>
      <c r="D1" s="6" t="inlineStr">
        <is>
          <t>PaxKm</t>
        </is>
      </c>
      <c r="E1" s="6" t="inlineStr">
        <is>
          <t>CapacityKm</t>
        </is>
      </c>
      <c r="F1" s="6" t="inlineStr">
        <is>
          <t>Trips</t>
        </is>
      </c>
      <c r="G1" s="6" t="inlineStr">
        <is>
          <t>Buses</t>
        </is>
      </c>
      <c r="H1" s="6" t="inlineStr">
        <is>
          <t>LF</t>
        </is>
      </c>
      <c r="I1" s="6" t="inlineStr">
        <is>
          <t>ATL</t>
        </is>
      </c>
      <c r="J1" s="6" t="inlineStr">
        <is>
          <t>FareYield</t>
        </is>
      </c>
      <c r="K1" s="6" t="inlineStr">
        <is>
          <t>TripsPerBus</t>
        </is>
      </c>
      <c r="L1" s="6" t="inlineStr">
        <is>
          <t>EPKM</t>
        </is>
      </c>
      <c r="M1" s="6" t="inlineStr">
        <is>
          <t>EPB</t>
        </is>
      </c>
      <c r="N1" s="6" t="inlineStr">
        <is>
          <t>HeadwayMins</t>
        </is>
      </c>
    </row>
    <row r="2">
      <c r="A2">
        <f>IFERROR(UNIQUE(FILTER(TripSummary!$B$2:$B$2501,TripSummary!$B$2:$B$2501&lt;&gt;"")),"")</f>
        <v/>
      </c>
      <c r="B2">
        <f>IF(A2="","",SUMIF(TripSummary!$B$2:$B$2501,A2,TripSummary!$E$2:$E$2501))</f>
        <v/>
      </c>
      <c r="C2">
        <f>IF(A2="","",SUMIF(TripSummary!$B$2:$B$2501,A2,TripSummary!$F$2:$F$2501))</f>
        <v/>
      </c>
      <c r="D2">
        <f>IF(A2="","",SUMIF(TripSummary!$B$2:$B$2501,A2,TripSummary!$G$2:$G$2501))</f>
        <v/>
      </c>
      <c r="E2">
        <f>IF(A2="","",SUMIF(TripSummary!$B$2:$B$2501,A2,TripSummary!$K$2:$K$2501))</f>
        <v/>
      </c>
      <c r="F2">
        <f>IF(A2="","",COUNTIF(TripSummary!$B$2:$B$2501,A2))</f>
        <v/>
      </c>
      <c r="G2">
        <f>IF(A2="","",IFERROR(ROWS(UNIQUE(FILTER(TripSummary!$H$2:$H$2501,TripSummary!$B$2:$B$2501=A2))),0))</f>
        <v/>
      </c>
      <c r="H2">
        <f>IF(OR(A2="",E2=0),"" ,D2/E2)</f>
        <v/>
      </c>
      <c r="I2">
        <f>IF(OR(A2="",B2=0),"",D2/B2)</f>
        <v/>
      </c>
      <c r="J2">
        <f>IF(OR(A2="",B2=0),"",C2/B2)</f>
        <v/>
      </c>
      <c r="K2">
        <f>IF(OR(A2="",G2=0),"",F2/G2)</f>
        <v/>
      </c>
      <c r="L2">
        <f>IF(A2="","",IFERROR(C2/SUMIF(TripSummary!$B$2:$B$2501,A2,TripSummary!$I$2:$I$2501),0))</f>
        <v/>
      </c>
      <c r="M2">
        <f>IF(OR(A2="",G2=0),"",C2/G2)</f>
        <v/>
      </c>
      <c r="N2">
        <f>IF(OR(A2="",F2=0),"",(MAXIFS(TripSummary!$L$2:$L$2501,TripSummary!$B$2:$B$2501,A2)-MINIFS(TripSummary!$L$2:$L$2501,TripSummary!$B$2:$B$2501,A2))*1440/F2)</f>
        <v/>
      </c>
    </row>
    <row r="3">
      <c r="B3">
        <f>IF(A3="","",SUMIF(TripSummary!$B$2:$B$2501,A3,TripSummary!$E$2:$E$2501))</f>
        <v/>
      </c>
      <c r="C3">
        <f>IF(A3="","",SUMIF(TripSummary!$B$2:$B$2501,A3,TripSummary!$F$2:$F$2501))</f>
        <v/>
      </c>
      <c r="D3">
        <f>IF(A3="","",SUMIF(TripSummary!$B$2:$B$2501,A3,TripSummary!$G$2:$G$2501))</f>
        <v/>
      </c>
      <c r="E3">
        <f>IF(A3="","",SUMIF(TripSummary!$B$2:$B$2501,A3,TripSummary!$K$2:$K$2501))</f>
        <v/>
      </c>
      <c r="F3">
        <f>IF(A3="","",COUNTIF(TripSummary!$B$2:$B$2501,A3))</f>
        <v/>
      </c>
      <c r="G3">
        <f>IF(A3="","",IFERROR(ROWS(UNIQUE(FILTER(TripSummary!$H$2:$H$2501,TripSummary!$B$2:$B$2501=A3))),0))</f>
        <v/>
      </c>
      <c r="H3">
        <f>IF(OR(A3="",E3=0),"" ,D3/E3)</f>
        <v/>
      </c>
      <c r="I3">
        <f>IF(OR(A3="",B3=0),"",D3/B3)</f>
        <v/>
      </c>
      <c r="J3">
        <f>IF(OR(A3="",B3=0),"",C3/B3)</f>
        <v/>
      </c>
      <c r="K3">
        <f>IF(OR(A3="",G3=0),"",F3/G3)</f>
        <v/>
      </c>
      <c r="L3">
        <f>IF(A3="","",IFERROR(C3/SUMIF(TripSummary!$B$2:$B$2501,A3,TripSummary!$I$2:$I$2501),0))</f>
        <v/>
      </c>
      <c r="M3">
        <f>IF(OR(A3="",G3=0),"",C3/G3)</f>
        <v/>
      </c>
      <c r="N3">
        <f>IF(OR(A3="",F3=0),"",(MAXIFS(TripSummary!$L$2:$L$2501,TripSummary!$B$2:$B$2501,A3)-MINIFS(TripSummary!$L$2:$L$2501,TripSummary!$B$2:$B$2501,A3))*1440/F3)</f>
        <v/>
      </c>
    </row>
    <row r="4">
      <c r="B4">
        <f>IF(A4="","",SUMIF(TripSummary!$B$2:$B$2501,A4,TripSummary!$E$2:$E$2501))</f>
        <v/>
      </c>
      <c r="C4">
        <f>IF(A4="","",SUMIF(TripSummary!$B$2:$B$2501,A4,TripSummary!$F$2:$F$2501))</f>
        <v/>
      </c>
      <c r="D4">
        <f>IF(A4="","",SUMIF(TripSummary!$B$2:$B$2501,A4,TripSummary!$G$2:$G$2501))</f>
        <v/>
      </c>
      <c r="E4">
        <f>IF(A4="","",SUMIF(TripSummary!$B$2:$B$2501,A4,TripSummary!$K$2:$K$2501))</f>
        <v/>
      </c>
      <c r="F4">
        <f>IF(A4="","",COUNTIF(TripSummary!$B$2:$B$2501,A4))</f>
        <v/>
      </c>
      <c r="G4">
        <f>IF(A4="","",IFERROR(ROWS(UNIQUE(FILTER(TripSummary!$H$2:$H$2501,TripSummary!$B$2:$B$2501=A4))),0))</f>
        <v/>
      </c>
      <c r="H4">
        <f>IF(OR(A4="",E4=0),"" ,D4/E4)</f>
        <v/>
      </c>
      <c r="I4">
        <f>IF(OR(A4="",B4=0),"",D4/B4)</f>
        <v/>
      </c>
      <c r="J4">
        <f>IF(OR(A4="",B4=0),"",C4/B4)</f>
        <v/>
      </c>
      <c r="K4">
        <f>IF(OR(A4="",G4=0),"",F4/G4)</f>
        <v/>
      </c>
      <c r="L4">
        <f>IF(A4="","",IFERROR(C4/SUMIF(TripSummary!$B$2:$B$2501,A4,TripSummary!$I$2:$I$2501),0))</f>
        <v/>
      </c>
      <c r="M4">
        <f>IF(OR(A4="",G4=0),"",C4/G4)</f>
        <v/>
      </c>
      <c r="N4">
        <f>IF(OR(A4="",F4=0),"",(MAXIFS(TripSummary!$L$2:$L$2501,TripSummary!$B$2:$B$2501,A4)-MINIFS(TripSummary!$L$2:$L$2501,TripSummary!$B$2:$B$2501,A4))*1440/F4)</f>
        <v/>
      </c>
    </row>
    <row r="5">
      <c r="B5">
        <f>IF(A5="","",SUMIF(TripSummary!$B$2:$B$2501,A5,TripSummary!$E$2:$E$2501))</f>
        <v/>
      </c>
      <c r="C5">
        <f>IF(A5="","",SUMIF(TripSummary!$B$2:$B$2501,A5,TripSummary!$F$2:$F$2501))</f>
        <v/>
      </c>
      <c r="D5">
        <f>IF(A5="","",SUMIF(TripSummary!$B$2:$B$2501,A5,TripSummary!$G$2:$G$2501))</f>
        <v/>
      </c>
      <c r="E5">
        <f>IF(A5="","",SUMIF(TripSummary!$B$2:$B$2501,A5,TripSummary!$K$2:$K$2501))</f>
        <v/>
      </c>
      <c r="F5">
        <f>IF(A5="","",COUNTIF(TripSummary!$B$2:$B$2501,A5))</f>
        <v/>
      </c>
      <c r="G5">
        <f>IF(A5="","",IFERROR(ROWS(UNIQUE(FILTER(TripSummary!$H$2:$H$2501,TripSummary!$B$2:$B$2501=A5))),0))</f>
        <v/>
      </c>
      <c r="H5">
        <f>IF(OR(A5="",E5=0),"" ,D5/E5)</f>
        <v/>
      </c>
      <c r="I5">
        <f>IF(OR(A5="",B5=0),"",D5/B5)</f>
        <v/>
      </c>
      <c r="J5">
        <f>IF(OR(A5="",B5=0),"",C5/B5)</f>
        <v/>
      </c>
      <c r="K5">
        <f>IF(OR(A5="",G5=0),"",F5/G5)</f>
        <v/>
      </c>
      <c r="L5">
        <f>IF(A5="","",IFERROR(C5/SUMIF(TripSummary!$B$2:$B$2501,A5,TripSummary!$I$2:$I$2501),0))</f>
        <v/>
      </c>
      <c r="M5">
        <f>IF(OR(A5="",G5=0),"",C5/G5)</f>
        <v/>
      </c>
      <c r="N5">
        <f>IF(OR(A5="",F5=0),"",(MAXIFS(TripSummary!$L$2:$L$2501,TripSummary!$B$2:$B$2501,A5)-MINIFS(TripSummary!$L$2:$L$2501,TripSummary!$B$2:$B$2501,A5))*1440/F5)</f>
        <v/>
      </c>
    </row>
    <row r="6">
      <c r="B6">
        <f>IF(A6="","",SUMIF(TripSummary!$B$2:$B$2501,A6,TripSummary!$E$2:$E$2501))</f>
        <v/>
      </c>
      <c r="C6">
        <f>IF(A6="","",SUMIF(TripSummary!$B$2:$B$2501,A6,TripSummary!$F$2:$F$2501))</f>
        <v/>
      </c>
      <c r="D6">
        <f>IF(A6="","",SUMIF(TripSummary!$B$2:$B$2501,A6,TripSummary!$G$2:$G$2501))</f>
        <v/>
      </c>
      <c r="E6">
        <f>IF(A6="","",SUMIF(TripSummary!$B$2:$B$2501,A6,TripSummary!$K$2:$K$2501))</f>
        <v/>
      </c>
      <c r="F6">
        <f>IF(A6="","",COUNTIF(TripSummary!$B$2:$B$2501,A6))</f>
        <v/>
      </c>
      <c r="G6">
        <f>IF(A6="","",IFERROR(ROWS(UNIQUE(FILTER(TripSummary!$H$2:$H$2501,TripSummary!$B$2:$B$2501=A6))),0))</f>
        <v/>
      </c>
      <c r="H6">
        <f>IF(OR(A6="",E6=0),"" ,D6/E6)</f>
        <v/>
      </c>
      <c r="I6">
        <f>IF(OR(A6="",B6=0),"",D6/B6)</f>
        <v/>
      </c>
      <c r="J6">
        <f>IF(OR(A6="",B6=0),"",C6/B6)</f>
        <v/>
      </c>
      <c r="K6">
        <f>IF(OR(A6="",G6=0),"",F6/G6)</f>
        <v/>
      </c>
      <c r="L6">
        <f>IF(A6="","",IFERROR(C6/SUMIF(TripSummary!$B$2:$B$2501,A6,TripSummary!$I$2:$I$2501),0))</f>
        <v/>
      </c>
      <c r="M6">
        <f>IF(OR(A6="",G6=0),"",C6/G6)</f>
        <v/>
      </c>
      <c r="N6">
        <f>IF(OR(A6="",F6=0),"",(MAXIFS(TripSummary!$L$2:$L$2501,TripSummary!$B$2:$B$2501,A6)-MINIFS(TripSummary!$L$2:$L$2501,TripSummary!$B$2:$B$2501,A6))*1440/F6)</f>
        <v/>
      </c>
    </row>
    <row r="7">
      <c r="B7">
        <f>IF(A7="","",SUMIF(TripSummary!$B$2:$B$2501,A7,TripSummary!$E$2:$E$2501))</f>
        <v/>
      </c>
      <c r="C7">
        <f>IF(A7="","",SUMIF(TripSummary!$B$2:$B$2501,A7,TripSummary!$F$2:$F$2501))</f>
        <v/>
      </c>
      <c r="D7">
        <f>IF(A7="","",SUMIF(TripSummary!$B$2:$B$2501,A7,TripSummary!$G$2:$G$2501))</f>
        <v/>
      </c>
      <c r="E7">
        <f>IF(A7="","",SUMIF(TripSummary!$B$2:$B$2501,A7,TripSummary!$K$2:$K$2501))</f>
        <v/>
      </c>
      <c r="F7">
        <f>IF(A7="","",COUNTIF(TripSummary!$B$2:$B$2501,A7))</f>
        <v/>
      </c>
      <c r="G7">
        <f>IF(A7="","",IFERROR(ROWS(UNIQUE(FILTER(TripSummary!$H$2:$H$2501,TripSummary!$B$2:$B$2501=A7))),0))</f>
        <v/>
      </c>
      <c r="H7">
        <f>IF(OR(A7="",E7=0),"" ,D7/E7)</f>
        <v/>
      </c>
      <c r="I7">
        <f>IF(OR(A7="",B7=0),"",D7/B7)</f>
        <v/>
      </c>
      <c r="J7">
        <f>IF(OR(A7="",B7=0),"",C7/B7)</f>
        <v/>
      </c>
      <c r="K7">
        <f>IF(OR(A7="",G7=0),"",F7/G7)</f>
        <v/>
      </c>
      <c r="L7">
        <f>IF(A7="","",IFERROR(C7/SUMIF(TripSummary!$B$2:$B$2501,A7,TripSummary!$I$2:$I$2501),0))</f>
        <v/>
      </c>
      <c r="M7">
        <f>IF(OR(A7="",G7=0),"",C7/G7)</f>
        <v/>
      </c>
      <c r="N7">
        <f>IF(OR(A7="",F7=0),"",(MAXIFS(TripSummary!$L$2:$L$2501,TripSummary!$B$2:$B$2501,A7)-MINIFS(TripSummary!$L$2:$L$2501,TripSummary!$B$2:$B$2501,A7))*1440/F7)</f>
        <v/>
      </c>
    </row>
    <row r="8">
      <c r="B8">
        <f>IF(A8="","",SUMIF(TripSummary!$B$2:$B$2501,A8,TripSummary!$E$2:$E$2501))</f>
        <v/>
      </c>
      <c r="C8">
        <f>IF(A8="","",SUMIF(TripSummary!$B$2:$B$2501,A8,TripSummary!$F$2:$F$2501))</f>
        <v/>
      </c>
      <c r="D8">
        <f>IF(A8="","",SUMIF(TripSummary!$B$2:$B$2501,A8,TripSummary!$G$2:$G$2501))</f>
        <v/>
      </c>
      <c r="E8">
        <f>IF(A8="","",SUMIF(TripSummary!$B$2:$B$2501,A8,TripSummary!$K$2:$K$2501))</f>
        <v/>
      </c>
      <c r="F8">
        <f>IF(A8="","",COUNTIF(TripSummary!$B$2:$B$2501,A8))</f>
        <v/>
      </c>
      <c r="G8">
        <f>IF(A8="","",IFERROR(ROWS(UNIQUE(FILTER(TripSummary!$H$2:$H$2501,TripSummary!$B$2:$B$2501=A8))),0))</f>
        <v/>
      </c>
      <c r="H8">
        <f>IF(OR(A8="",E8=0),"" ,D8/E8)</f>
        <v/>
      </c>
      <c r="I8">
        <f>IF(OR(A8="",B8=0),"",D8/B8)</f>
        <v/>
      </c>
      <c r="J8">
        <f>IF(OR(A8="",B8=0),"",C8/B8)</f>
        <v/>
      </c>
      <c r="K8">
        <f>IF(OR(A8="",G8=0),"",F8/G8)</f>
        <v/>
      </c>
      <c r="L8">
        <f>IF(A8="","",IFERROR(C8/SUMIF(TripSummary!$B$2:$B$2501,A8,TripSummary!$I$2:$I$2501),0))</f>
        <v/>
      </c>
      <c r="M8">
        <f>IF(OR(A8="",G8=0),"",C8/G8)</f>
        <v/>
      </c>
      <c r="N8">
        <f>IF(OR(A8="",F8=0),"",(MAXIFS(TripSummary!$L$2:$L$2501,TripSummary!$B$2:$B$2501,A8)-MINIFS(TripSummary!$L$2:$L$2501,TripSummary!$B$2:$B$2501,A8))*1440/F8)</f>
        <v/>
      </c>
    </row>
    <row r="9">
      <c r="B9">
        <f>IF(A9="","",SUMIF(TripSummary!$B$2:$B$2501,A9,TripSummary!$E$2:$E$2501))</f>
        <v/>
      </c>
      <c r="C9">
        <f>IF(A9="","",SUMIF(TripSummary!$B$2:$B$2501,A9,TripSummary!$F$2:$F$2501))</f>
        <v/>
      </c>
      <c r="D9">
        <f>IF(A9="","",SUMIF(TripSummary!$B$2:$B$2501,A9,TripSummary!$G$2:$G$2501))</f>
        <v/>
      </c>
      <c r="E9">
        <f>IF(A9="","",SUMIF(TripSummary!$B$2:$B$2501,A9,TripSummary!$K$2:$K$2501))</f>
        <v/>
      </c>
      <c r="F9">
        <f>IF(A9="","",COUNTIF(TripSummary!$B$2:$B$2501,A9))</f>
        <v/>
      </c>
      <c r="G9">
        <f>IF(A9="","",IFERROR(ROWS(UNIQUE(FILTER(TripSummary!$H$2:$H$2501,TripSummary!$B$2:$B$2501=A9))),0))</f>
        <v/>
      </c>
      <c r="H9">
        <f>IF(OR(A9="",E9=0),"" ,D9/E9)</f>
        <v/>
      </c>
      <c r="I9">
        <f>IF(OR(A9="",B9=0),"",D9/B9)</f>
        <v/>
      </c>
      <c r="J9">
        <f>IF(OR(A9="",B9=0),"",C9/B9)</f>
        <v/>
      </c>
      <c r="K9">
        <f>IF(OR(A9="",G9=0),"",F9/G9)</f>
        <v/>
      </c>
      <c r="L9">
        <f>IF(A9="","",IFERROR(C9/SUMIF(TripSummary!$B$2:$B$2501,A9,TripSummary!$I$2:$I$2501),0))</f>
        <v/>
      </c>
      <c r="M9">
        <f>IF(OR(A9="",G9=0),"",C9/G9)</f>
        <v/>
      </c>
      <c r="N9">
        <f>IF(OR(A9="",F9=0),"",(MAXIFS(TripSummary!$L$2:$L$2501,TripSummary!$B$2:$B$2501,A9)-MINIFS(TripSummary!$L$2:$L$2501,TripSummary!$B$2:$B$2501,A9))*1440/F9)</f>
        <v/>
      </c>
    </row>
    <row r="10">
      <c r="B10">
        <f>IF(A10="","",SUMIF(TripSummary!$B$2:$B$2501,A10,TripSummary!$E$2:$E$2501))</f>
        <v/>
      </c>
      <c r="C10">
        <f>IF(A10="","",SUMIF(TripSummary!$B$2:$B$2501,A10,TripSummary!$F$2:$F$2501))</f>
        <v/>
      </c>
      <c r="D10">
        <f>IF(A10="","",SUMIF(TripSummary!$B$2:$B$2501,A10,TripSummary!$G$2:$G$2501))</f>
        <v/>
      </c>
      <c r="E10">
        <f>IF(A10="","",SUMIF(TripSummary!$B$2:$B$2501,A10,TripSummary!$K$2:$K$2501))</f>
        <v/>
      </c>
      <c r="F10">
        <f>IF(A10="","",COUNTIF(TripSummary!$B$2:$B$2501,A10))</f>
        <v/>
      </c>
      <c r="G10">
        <f>IF(A10="","",IFERROR(ROWS(UNIQUE(FILTER(TripSummary!$H$2:$H$2501,TripSummary!$B$2:$B$2501=A10))),0))</f>
        <v/>
      </c>
      <c r="H10">
        <f>IF(OR(A10="",E10=0),"" ,D10/E10)</f>
        <v/>
      </c>
      <c r="I10">
        <f>IF(OR(A10="",B10=0),"",D10/B10)</f>
        <v/>
      </c>
      <c r="J10">
        <f>IF(OR(A10="",B10=0),"",C10/B10)</f>
        <v/>
      </c>
      <c r="K10">
        <f>IF(OR(A10="",G10=0),"",F10/G10)</f>
        <v/>
      </c>
      <c r="L10">
        <f>IF(A10="","",IFERROR(C10/SUMIF(TripSummary!$B$2:$B$2501,A10,TripSummary!$I$2:$I$2501),0))</f>
        <v/>
      </c>
      <c r="M10">
        <f>IF(OR(A10="",G10=0),"",C10/G10)</f>
        <v/>
      </c>
      <c r="N10">
        <f>IF(OR(A10="",F10=0),"",(MAXIFS(TripSummary!$L$2:$L$2501,TripSummary!$B$2:$B$2501,A10)-MINIFS(TripSummary!$L$2:$L$2501,TripSummary!$B$2:$B$2501,A10))*1440/F10)</f>
        <v/>
      </c>
    </row>
    <row r="11">
      <c r="B11">
        <f>IF(A11="","",SUMIF(TripSummary!$B$2:$B$2501,A11,TripSummary!$E$2:$E$2501))</f>
        <v/>
      </c>
      <c r="C11">
        <f>IF(A11="","",SUMIF(TripSummary!$B$2:$B$2501,A11,TripSummary!$F$2:$F$2501))</f>
        <v/>
      </c>
      <c r="D11">
        <f>IF(A11="","",SUMIF(TripSummary!$B$2:$B$2501,A11,TripSummary!$G$2:$G$2501))</f>
        <v/>
      </c>
      <c r="E11">
        <f>IF(A11="","",SUMIF(TripSummary!$B$2:$B$2501,A11,TripSummary!$K$2:$K$2501))</f>
        <v/>
      </c>
      <c r="F11">
        <f>IF(A11="","",COUNTIF(TripSummary!$B$2:$B$2501,A11))</f>
        <v/>
      </c>
      <c r="G11">
        <f>IF(A11="","",IFERROR(ROWS(UNIQUE(FILTER(TripSummary!$H$2:$H$2501,TripSummary!$B$2:$B$2501=A11))),0))</f>
        <v/>
      </c>
      <c r="H11">
        <f>IF(OR(A11="",E11=0),"" ,D11/E11)</f>
        <v/>
      </c>
      <c r="I11">
        <f>IF(OR(A11="",B11=0),"",D11/B11)</f>
        <v/>
      </c>
      <c r="J11">
        <f>IF(OR(A11="",B11=0),"",C11/B11)</f>
        <v/>
      </c>
      <c r="K11">
        <f>IF(OR(A11="",G11=0),"",F11/G11)</f>
        <v/>
      </c>
      <c r="L11">
        <f>IF(A11="","",IFERROR(C11/SUMIF(TripSummary!$B$2:$B$2501,A11,TripSummary!$I$2:$I$2501),0))</f>
        <v/>
      </c>
      <c r="M11">
        <f>IF(OR(A11="",G11=0),"",C11/G11)</f>
        <v/>
      </c>
      <c r="N11">
        <f>IF(OR(A11="",F11=0),"",(MAXIFS(TripSummary!$L$2:$L$2501,TripSummary!$B$2:$B$2501,A11)-MINIFS(TripSummary!$L$2:$L$2501,TripSummary!$B$2:$B$2501,A11))*1440/F11)</f>
        <v/>
      </c>
    </row>
    <row r="12">
      <c r="B12">
        <f>IF(A12="","",SUMIF(TripSummary!$B$2:$B$2501,A12,TripSummary!$E$2:$E$2501))</f>
        <v/>
      </c>
      <c r="C12">
        <f>IF(A12="","",SUMIF(TripSummary!$B$2:$B$2501,A12,TripSummary!$F$2:$F$2501))</f>
        <v/>
      </c>
      <c r="D12">
        <f>IF(A12="","",SUMIF(TripSummary!$B$2:$B$2501,A12,TripSummary!$G$2:$G$2501))</f>
        <v/>
      </c>
      <c r="E12">
        <f>IF(A12="","",SUMIF(TripSummary!$B$2:$B$2501,A12,TripSummary!$K$2:$K$2501))</f>
        <v/>
      </c>
      <c r="F12">
        <f>IF(A12="","",COUNTIF(TripSummary!$B$2:$B$2501,A12))</f>
        <v/>
      </c>
      <c r="G12">
        <f>IF(A12="","",IFERROR(ROWS(UNIQUE(FILTER(TripSummary!$H$2:$H$2501,TripSummary!$B$2:$B$2501=A12))),0))</f>
        <v/>
      </c>
      <c r="H12">
        <f>IF(OR(A12="",E12=0),"" ,D12/E12)</f>
        <v/>
      </c>
      <c r="I12">
        <f>IF(OR(A12="",B12=0),"",D12/B12)</f>
        <v/>
      </c>
      <c r="J12">
        <f>IF(OR(A12="",B12=0),"",C12/B12)</f>
        <v/>
      </c>
      <c r="K12">
        <f>IF(OR(A12="",G12=0),"",F12/G12)</f>
        <v/>
      </c>
      <c r="L12">
        <f>IF(A12="","",IFERROR(C12/SUMIF(TripSummary!$B$2:$B$2501,A12,TripSummary!$I$2:$I$2501),0))</f>
        <v/>
      </c>
      <c r="M12">
        <f>IF(OR(A12="",G12=0),"",C12/G12)</f>
        <v/>
      </c>
      <c r="N12">
        <f>IF(OR(A12="",F12=0),"",(MAXIFS(TripSummary!$L$2:$L$2501,TripSummary!$B$2:$B$2501,A12)-MINIFS(TripSummary!$L$2:$L$2501,TripSummary!$B$2:$B$2501,A12))*1440/F12)</f>
        <v/>
      </c>
    </row>
    <row r="13">
      <c r="B13">
        <f>IF(A13="","",SUMIF(TripSummary!$B$2:$B$2501,A13,TripSummary!$E$2:$E$2501))</f>
        <v/>
      </c>
      <c r="C13">
        <f>IF(A13="","",SUMIF(TripSummary!$B$2:$B$2501,A13,TripSummary!$F$2:$F$2501))</f>
        <v/>
      </c>
      <c r="D13">
        <f>IF(A13="","",SUMIF(TripSummary!$B$2:$B$2501,A13,TripSummary!$G$2:$G$2501))</f>
        <v/>
      </c>
      <c r="E13">
        <f>IF(A13="","",SUMIF(TripSummary!$B$2:$B$2501,A13,TripSummary!$K$2:$K$2501))</f>
        <v/>
      </c>
      <c r="F13">
        <f>IF(A13="","",COUNTIF(TripSummary!$B$2:$B$2501,A13))</f>
        <v/>
      </c>
      <c r="G13">
        <f>IF(A13="","",IFERROR(ROWS(UNIQUE(FILTER(TripSummary!$H$2:$H$2501,TripSummary!$B$2:$B$2501=A13))),0))</f>
        <v/>
      </c>
      <c r="H13">
        <f>IF(OR(A13="",E13=0),"" ,D13/E13)</f>
        <v/>
      </c>
      <c r="I13">
        <f>IF(OR(A13="",B13=0),"",D13/B13)</f>
        <v/>
      </c>
      <c r="J13">
        <f>IF(OR(A13="",B13=0),"",C13/B13)</f>
        <v/>
      </c>
      <c r="K13">
        <f>IF(OR(A13="",G13=0),"",F13/G13)</f>
        <v/>
      </c>
      <c r="L13">
        <f>IF(A13="","",IFERROR(C13/SUMIF(TripSummary!$B$2:$B$2501,A13,TripSummary!$I$2:$I$2501),0))</f>
        <v/>
      </c>
      <c r="M13">
        <f>IF(OR(A13="",G13=0),"",C13/G13)</f>
        <v/>
      </c>
      <c r="N13">
        <f>IF(OR(A13="",F13=0),"",(MAXIFS(TripSummary!$L$2:$L$2501,TripSummary!$B$2:$B$2501,A13)-MINIFS(TripSummary!$L$2:$L$2501,TripSummary!$B$2:$B$2501,A13))*1440/F13)</f>
        <v/>
      </c>
    </row>
    <row r="14">
      <c r="B14">
        <f>IF(A14="","",SUMIF(TripSummary!$B$2:$B$2501,A14,TripSummary!$E$2:$E$2501))</f>
        <v/>
      </c>
      <c r="C14">
        <f>IF(A14="","",SUMIF(TripSummary!$B$2:$B$2501,A14,TripSummary!$F$2:$F$2501))</f>
        <v/>
      </c>
      <c r="D14">
        <f>IF(A14="","",SUMIF(TripSummary!$B$2:$B$2501,A14,TripSummary!$G$2:$G$2501))</f>
        <v/>
      </c>
      <c r="E14">
        <f>IF(A14="","",SUMIF(TripSummary!$B$2:$B$2501,A14,TripSummary!$K$2:$K$2501))</f>
        <v/>
      </c>
      <c r="F14">
        <f>IF(A14="","",COUNTIF(TripSummary!$B$2:$B$2501,A14))</f>
        <v/>
      </c>
      <c r="G14">
        <f>IF(A14="","",IFERROR(ROWS(UNIQUE(FILTER(TripSummary!$H$2:$H$2501,TripSummary!$B$2:$B$2501=A14))),0))</f>
        <v/>
      </c>
      <c r="H14">
        <f>IF(OR(A14="",E14=0),"" ,D14/E14)</f>
        <v/>
      </c>
      <c r="I14">
        <f>IF(OR(A14="",B14=0),"",D14/B14)</f>
        <v/>
      </c>
      <c r="J14">
        <f>IF(OR(A14="",B14=0),"",C14/B14)</f>
        <v/>
      </c>
      <c r="K14">
        <f>IF(OR(A14="",G14=0),"",F14/G14)</f>
        <v/>
      </c>
      <c r="L14">
        <f>IF(A14="","",IFERROR(C14/SUMIF(TripSummary!$B$2:$B$2501,A14,TripSummary!$I$2:$I$2501),0))</f>
        <v/>
      </c>
      <c r="M14">
        <f>IF(OR(A14="",G14=0),"",C14/G14)</f>
        <v/>
      </c>
      <c r="N14">
        <f>IF(OR(A14="",F14=0),"",(MAXIFS(TripSummary!$L$2:$L$2501,TripSummary!$B$2:$B$2501,A14)-MINIFS(TripSummary!$L$2:$L$2501,TripSummary!$B$2:$B$2501,A14))*1440/F14)</f>
        <v/>
      </c>
    </row>
    <row r="15">
      <c r="B15">
        <f>IF(A15="","",SUMIF(TripSummary!$B$2:$B$2501,A15,TripSummary!$E$2:$E$2501))</f>
        <v/>
      </c>
      <c r="C15">
        <f>IF(A15="","",SUMIF(TripSummary!$B$2:$B$2501,A15,TripSummary!$F$2:$F$2501))</f>
        <v/>
      </c>
      <c r="D15">
        <f>IF(A15="","",SUMIF(TripSummary!$B$2:$B$2501,A15,TripSummary!$G$2:$G$2501))</f>
        <v/>
      </c>
      <c r="E15">
        <f>IF(A15="","",SUMIF(TripSummary!$B$2:$B$2501,A15,TripSummary!$K$2:$K$2501))</f>
        <v/>
      </c>
      <c r="F15">
        <f>IF(A15="","",COUNTIF(TripSummary!$B$2:$B$2501,A15))</f>
        <v/>
      </c>
      <c r="G15">
        <f>IF(A15="","",IFERROR(ROWS(UNIQUE(FILTER(TripSummary!$H$2:$H$2501,TripSummary!$B$2:$B$2501=A15))),0))</f>
        <v/>
      </c>
      <c r="H15">
        <f>IF(OR(A15="",E15=0),"" ,D15/E15)</f>
        <v/>
      </c>
      <c r="I15">
        <f>IF(OR(A15="",B15=0),"",D15/B15)</f>
        <v/>
      </c>
      <c r="J15">
        <f>IF(OR(A15="",B15=0),"",C15/B15)</f>
        <v/>
      </c>
      <c r="K15">
        <f>IF(OR(A15="",G15=0),"",F15/G15)</f>
        <v/>
      </c>
      <c r="L15">
        <f>IF(A15="","",IFERROR(C15/SUMIF(TripSummary!$B$2:$B$2501,A15,TripSummary!$I$2:$I$2501),0))</f>
        <v/>
      </c>
      <c r="M15">
        <f>IF(OR(A15="",G15=0),"",C15/G15)</f>
        <v/>
      </c>
      <c r="N15">
        <f>IF(OR(A15="",F15=0),"",(MAXIFS(TripSummary!$L$2:$L$2501,TripSummary!$B$2:$B$2501,A15)-MINIFS(TripSummary!$L$2:$L$2501,TripSummary!$B$2:$B$2501,A15))*1440/F15)</f>
        <v/>
      </c>
    </row>
    <row r="16">
      <c r="B16">
        <f>IF(A16="","",SUMIF(TripSummary!$B$2:$B$2501,A16,TripSummary!$E$2:$E$2501))</f>
        <v/>
      </c>
      <c r="C16">
        <f>IF(A16="","",SUMIF(TripSummary!$B$2:$B$2501,A16,TripSummary!$F$2:$F$2501))</f>
        <v/>
      </c>
      <c r="D16">
        <f>IF(A16="","",SUMIF(TripSummary!$B$2:$B$2501,A16,TripSummary!$G$2:$G$2501))</f>
        <v/>
      </c>
      <c r="E16">
        <f>IF(A16="","",SUMIF(TripSummary!$B$2:$B$2501,A16,TripSummary!$K$2:$K$2501))</f>
        <v/>
      </c>
      <c r="F16">
        <f>IF(A16="","",COUNTIF(TripSummary!$B$2:$B$2501,A16))</f>
        <v/>
      </c>
      <c r="G16">
        <f>IF(A16="","",IFERROR(ROWS(UNIQUE(FILTER(TripSummary!$H$2:$H$2501,TripSummary!$B$2:$B$2501=A16))),0))</f>
        <v/>
      </c>
      <c r="H16">
        <f>IF(OR(A16="",E16=0),"" ,D16/E16)</f>
        <v/>
      </c>
      <c r="I16">
        <f>IF(OR(A16="",B16=0),"",D16/B16)</f>
        <v/>
      </c>
      <c r="J16">
        <f>IF(OR(A16="",B16=0),"",C16/B16)</f>
        <v/>
      </c>
      <c r="K16">
        <f>IF(OR(A16="",G16=0),"",F16/G16)</f>
        <v/>
      </c>
      <c r="L16">
        <f>IF(A16="","",IFERROR(C16/SUMIF(TripSummary!$B$2:$B$2501,A16,TripSummary!$I$2:$I$2501),0))</f>
        <v/>
      </c>
      <c r="M16">
        <f>IF(OR(A16="",G16=0),"",C16/G16)</f>
        <v/>
      </c>
      <c r="N16">
        <f>IF(OR(A16="",F16=0),"",(MAXIFS(TripSummary!$L$2:$L$2501,TripSummary!$B$2:$B$2501,A16)-MINIFS(TripSummary!$L$2:$L$2501,TripSummary!$B$2:$B$2501,A16))*1440/F16)</f>
        <v/>
      </c>
    </row>
    <row r="17">
      <c r="B17">
        <f>IF(A17="","",SUMIF(TripSummary!$B$2:$B$2501,A17,TripSummary!$E$2:$E$2501))</f>
        <v/>
      </c>
      <c r="C17">
        <f>IF(A17="","",SUMIF(TripSummary!$B$2:$B$2501,A17,TripSummary!$F$2:$F$2501))</f>
        <v/>
      </c>
      <c r="D17">
        <f>IF(A17="","",SUMIF(TripSummary!$B$2:$B$2501,A17,TripSummary!$G$2:$G$2501))</f>
        <v/>
      </c>
      <c r="E17">
        <f>IF(A17="","",SUMIF(TripSummary!$B$2:$B$2501,A17,TripSummary!$K$2:$K$2501))</f>
        <v/>
      </c>
      <c r="F17">
        <f>IF(A17="","",COUNTIF(TripSummary!$B$2:$B$2501,A17))</f>
        <v/>
      </c>
      <c r="G17">
        <f>IF(A17="","",IFERROR(ROWS(UNIQUE(FILTER(TripSummary!$H$2:$H$2501,TripSummary!$B$2:$B$2501=A17))),0))</f>
        <v/>
      </c>
      <c r="H17">
        <f>IF(OR(A17="",E17=0),"" ,D17/E17)</f>
        <v/>
      </c>
      <c r="I17">
        <f>IF(OR(A17="",B17=0),"",D17/B17)</f>
        <v/>
      </c>
      <c r="J17">
        <f>IF(OR(A17="",B17=0),"",C17/B17)</f>
        <v/>
      </c>
      <c r="K17">
        <f>IF(OR(A17="",G17=0),"",F17/G17)</f>
        <v/>
      </c>
      <c r="L17">
        <f>IF(A17="","",IFERROR(C17/SUMIF(TripSummary!$B$2:$B$2501,A17,TripSummary!$I$2:$I$2501),0))</f>
        <v/>
      </c>
      <c r="M17">
        <f>IF(OR(A17="",G17=0),"",C17/G17)</f>
        <v/>
      </c>
      <c r="N17">
        <f>IF(OR(A17="",F17=0),"",(MAXIFS(TripSummary!$L$2:$L$2501,TripSummary!$B$2:$B$2501,A17)-MINIFS(TripSummary!$L$2:$L$2501,TripSummary!$B$2:$B$2501,A17))*1440/F17)</f>
        <v/>
      </c>
    </row>
    <row r="18">
      <c r="B18">
        <f>IF(A18="","",SUMIF(TripSummary!$B$2:$B$2501,A18,TripSummary!$E$2:$E$2501))</f>
        <v/>
      </c>
      <c r="C18">
        <f>IF(A18="","",SUMIF(TripSummary!$B$2:$B$2501,A18,TripSummary!$F$2:$F$2501))</f>
        <v/>
      </c>
      <c r="D18">
        <f>IF(A18="","",SUMIF(TripSummary!$B$2:$B$2501,A18,TripSummary!$G$2:$G$2501))</f>
        <v/>
      </c>
      <c r="E18">
        <f>IF(A18="","",SUMIF(TripSummary!$B$2:$B$2501,A18,TripSummary!$K$2:$K$2501))</f>
        <v/>
      </c>
      <c r="F18">
        <f>IF(A18="","",COUNTIF(TripSummary!$B$2:$B$2501,A18))</f>
        <v/>
      </c>
      <c r="G18">
        <f>IF(A18="","",IFERROR(ROWS(UNIQUE(FILTER(TripSummary!$H$2:$H$2501,TripSummary!$B$2:$B$2501=A18))),0))</f>
        <v/>
      </c>
      <c r="H18">
        <f>IF(OR(A18="",E18=0),"" ,D18/E18)</f>
        <v/>
      </c>
      <c r="I18">
        <f>IF(OR(A18="",B18=0),"",D18/B18)</f>
        <v/>
      </c>
      <c r="J18">
        <f>IF(OR(A18="",B18=0),"",C18/B18)</f>
        <v/>
      </c>
      <c r="K18">
        <f>IF(OR(A18="",G18=0),"",F18/G18)</f>
        <v/>
      </c>
      <c r="L18">
        <f>IF(A18="","",IFERROR(C18/SUMIF(TripSummary!$B$2:$B$2501,A18,TripSummary!$I$2:$I$2501),0))</f>
        <v/>
      </c>
      <c r="M18">
        <f>IF(OR(A18="",G18=0),"",C18/G18)</f>
        <v/>
      </c>
      <c r="N18">
        <f>IF(OR(A18="",F18=0),"",(MAXIFS(TripSummary!$L$2:$L$2501,TripSummary!$B$2:$B$2501,A18)-MINIFS(TripSummary!$L$2:$L$2501,TripSummary!$B$2:$B$2501,A18))*1440/F18)</f>
        <v/>
      </c>
    </row>
    <row r="19">
      <c r="B19">
        <f>IF(A19="","",SUMIF(TripSummary!$B$2:$B$2501,A19,TripSummary!$E$2:$E$2501))</f>
        <v/>
      </c>
      <c r="C19">
        <f>IF(A19="","",SUMIF(TripSummary!$B$2:$B$2501,A19,TripSummary!$F$2:$F$2501))</f>
        <v/>
      </c>
      <c r="D19">
        <f>IF(A19="","",SUMIF(TripSummary!$B$2:$B$2501,A19,TripSummary!$G$2:$G$2501))</f>
        <v/>
      </c>
      <c r="E19">
        <f>IF(A19="","",SUMIF(TripSummary!$B$2:$B$2501,A19,TripSummary!$K$2:$K$2501))</f>
        <v/>
      </c>
      <c r="F19">
        <f>IF(A19="","",COUNTIF(TripSummary!$B$2:$B$2501,A19))</f>
        <v/>
      </c>
      <c r="G19">
        <f>IF(A19="","",IFERROR(ROWS(UNIQUE(FILTER(TripSummary!$H$2:$H$2501,TripSummary!$B$2:$B$2501=A19))),0))</f>
        <v/>
      </c>
      <c r="H19">
        <f>IF(OR(A19="",E19=0),"" ,D19/E19)</f>
        <v/>
      </c>
      <c r="I19">
        <f>IF(OR(A19="",B19=0),"",D19/B19)</f>
        <v/>
      </c>
      <c r="J19">
        <f>IF(OR(A19="",B19=0),"",C19/B19)</f>
        <v/>
      </c>
      <c r="K19">
        <f>IF(OR(A19="",G19=0),"",F19/G19)</f>
        <v/>
      </c>
      <c r="L19">
        <f>IF(A19="","",IFERROR(C19/SUMIF(TripSummary!$B$2:$B$2501,A19,TripSummary!$I$2:$I$2501),0))</f>
        <v/>
      </c>
      <c r="M19">
        <f>IF(OR(A19="",G19=0),"",C19/G19)</f>
        <v/>
      </c>
      <c r="N19">
        <f>IF(OR(A19="",F19=0),"",(MAXIFS(TripSummary!$L$2:$L$2501,TripSummary!$B$2:$B$2501,A19)-MINIFS(TripSummary!$L$2:$L$2501,TripSummary!$B$2:$B$2501,A19))*1440/F19)</f>
        <v/>
      </c>
    </row>
    <row r="20">
      <c r="B20">
        <f>IF(A20="","",SUMIF(TripSummary!$B$2:$B$2501,A20,TripSummary!$E$2:$E$2501))</f>
        <v/>
      </c>
      <c r="C20">
        <f>IF(A20="","",SUMIF(TripSummary!$B$2:$B$2501,A20,TripSummary!$F$2:$F$2501))</f>
        <v/>
      </c>
      <c r="D20">
        <f>IF(A20="","",SUMIF(TripSummary!$B$2:$B$2501,A20,TripSummary!$G$2:$G$2501))</f>
        <v/>
      </c>
      <c r="E20">
        <f>IF(A20="","",SUMIF(TripSummary!$B$2:$B$2501,A20,TripSummary!$K$2:$K$2501))</f>
        <v/>
      </c>
      <c r="F20">
        <f>IF(A20="","",COUNTIF(TripSummary!$B$2:$B$2501,A20))</f>
        <v/>
      </c>
      <c r="G20">
        <f>IF(A20="","",IFERROR(ROWS(UNIQUE(FILTER(TripSummary!$H$2:$H$2501,TripSummary!$B$2:$B$2501=A20))),0))</f>
        <v/>
      </c>
      <c r="H20">
        <f>IF(OR(A20="",E20=0),"" ,D20/E20)</f>
        <v/>
      </c>
      <c r="I20">
        <f>IF(OR(A20="",B20=0),"",D20/B20)</f>
        <v/>
      </c>
      <c r="J20">
        <f>IF(OR(A20="",B20=0),"",C20/B20)</f>
        <v/>
      </c>
      <c r="K20">
        <f>IF(OR(A20="",G20=0),"",F20/G20)</f>
        <v/>
      </c>
      <c r="L20">
        <f>IF(A20="","",IFERROR(C20/SUMIF(TripSummary!$B$2:$B$2501,A20,TripSummary!$I$2:$I$2501),0))</f>
        <v/>
      </c>
      <c r="M20">
        <f>IF(OR(A20="",G20=0),"",C20/G20)</f>
        <v/>
      </c>
      <c r="N20">
        <f>IF(OR(A20="",F20=0),"",(MAXIFS(TripSummary!$L$2:$L$2501,TripSummary!$B$2:$B$2501,A20)-MINIFS(TripSummary!$L$2:$L$2501,TripSummary!$B$2:$B$2501,A20))*1440/F20)</f>
        <v/>
      </c>
    </row>
    <row r="21">
      <c r="B21">
        <f>IF(A21="","",SUMIF(TripSummary!$B$2:$B$2501,A21,TripSummary!$E$2:$E$2501))</f>
        <v/>
      </c>
      <c r="C21">
        <f>IF(A21="","",SUMIF(TripSummary!$B$2:$B$2501,A21,TripSummary!$F$2:$F$2501))</f>
        <v/>
      </c>
      <c r="D21">
        <f>IF(A21="","",SUMIF(TripSummary!$B$2:$B$2501,A21,TripSummary!$G$2:$G$2501))</f>
        <v/>
      </c>
      <c r="E21">
        <f>IF(A21="","",SUMIF(TripSummary!$B$2:$B$2501,A21,TripSummary!$K$2:$K$2501))</f>
        <v/>
      </c>
      <c r="F21">
        <f>IF(A21="","",COUNTIF(TripSummary!$B$2:$B$2501,A21))</f>
        <v/>
      </c>
      <c r="G21">
        <f>IF(A21="","",IFERROR(ROWS(UNIQUE(FILTER(TripSummary!$H$2:$H$2501,TripSummary!$B$2:$B$2501=A21))),0))</f>
        <v/>
      </c>
      <c r="H21">
        <f>IF(OR(A21="",E21=0),"" ,D21/E21)</f>
        <v/>
      </c>
      <c r="I21">
        <f>IF(OR(A21="",B21=0),"",D21/B21)</f>
        <v/>
      </c>
      <c r="J21">
        <f>IF(OR(A21="",B21=0),"",C21/B21)</f>
        <v/>
      </c>
      <c r="K21">
        <f>IF(OR(A21="",G21=0),"",F21/G21)</f>
        <v/>
      </c>
      <c r="L21">
        <f>IF(A21="","",IFERROR(C21/SUMIF(TripSummary!$B$2:$B$2501,A21,TripSummary!$I$2:$I$2501),0))</f>
        <v/>
      </c>
      <c r="M21">
        <f>IF(OR(A21="",G21=0),"",C21/G21)</f>
        <v/>
      </c>
      <c r="N21">
        <f>IF(OR(A21="",F21=0),"",(MAXIFS(TripSummary!$L$2:$L$2501,TripSummary!$B$2:$B$2501,A21)-MINIFS(TripSummary!$L$2:$L$2501,TripSummary!$B$2:$B$2501,A21))*1440/F21)</f>
        <v/>
      </c>
    </row>
    <row r="22">
      <c r="B22">
        <f>IF(A22="","",SUMIF(TripSummary!$B$2:$B$2501,A22,TripSummary!$E$2:$E$2501))</f>
        <v/>
      </c>
      <c r="C22">
        <f>IF(A22="","",SUMIF(TripSummary!$B$2:$B$2501,A22,TripSummary!$F$2:$F$2501))</f>
        <v/>
      </c>
      <c r="D22">
        <f>IF(A22="","",SUMIF(TripSummary!$B$2:$B$2501,A22,TripSummary!$G$2:$G$2501))</f>
        <v/>
      </c>
      <c r="E22">
        <f>IF(A22="","",SUMIF(TripSummary!$B$2:$B$2501,A22,TripSummary!$K$2:$K$2501))</f>
        <v/>
      </c>
      <c r="F22">
        <f>IF(A22="","",COUNTIF(TripSummary!$B$2:$B$2501,A22))</f>
        <v/>
      </c>
      <c r="G22">
        <f>IF(A22="","",IFERROR(ROWS(UNIQUE(FILTER(TripSummary!$H$2:$H$2501,TripSummary!$B$2:$B$2501=A22))),0))</f>
        <v/>
      </c>
      <c r="H22">
        <f>IF(OR(A22="",E22=0),"" ,D22/E22)</f>
        <v/>
      </c>
      <c r="I22">
        <f>IF(OR(A22="",B22=0),"",D22/B22)</f>
        <v/>
      </c>
      <c r="J22">
        <f>IF(OR(A22="",B22=0),"",C22/B22)</f>
        <v/>
      </c>
      <c r="K22">
        <f>IF(OR(A22="",G22=0),"",F22/G22)</f>
        <v/>
      </c>
      <c r="L22">
        <f>IF(A22="","",IFERROR(C22/SUMIF(TripSummary!$B$2:$B$2501,A22,TripSummary!$I$2:$I$2501),0))</f>
        <v/>
      </c>
      <c r="M22">
        <f>IF(OR(A22="",G22=0),"",C22/G22)</f>
        <v/>
      </c>
      <c r="N22">
        <f>IF(OR(A22="",F22=0),"",(MAXIFS(TripSummary!$L$2:$L$2501,TripSummary!$B$2:$B$2501,A22)-MINIFS(TripSummary!$L$2:$L$2501,TripSummary!$B$2:$B$2501,A22))*1440/F22)</f>
        <v/>
      </c>
    </row>
    <row r="23">
      <c r="B23">
        <f>IF(A23="","",SUMIF(TripSummary!$B$2:$B$2501,A23,TripSummary!$E$2:$E$2501))</f>
        <v/>
      </c>
      <c r="C23">
        <f>IF(A23="","",SUMIF(TripSummary!$B$2:$B$2501,A23,TripSummary!$F$2:$F$2501))</f>
        <v/>
      </c>
      <c r="D23">
        <f>IF(A23="","",SUMIF(TripSummary!$B$2:$B$2501,A23,TripSummary!$G$2:$G$2501))</f>
        <v/>
      </c>
      <c r="E23">
        <f>IF(A23="","",SUMIF(TripSummary!$B$2:$B$2501,A23,TripSummary!$K$2:$K$2501))</f>
        <v/>
      </c>
      <c r="F23">
        <f>IF(A23="","",COUNTIF(TripSummary!$B$2:$B$2501,A23))</f>
        <v/>
      </c>
      <c r="G23">
        <f>IF(A23="","",IFERROR(ROWS(UNIQUE(FILTER(TripSummary!$H$2:$H$2501,TripSummary!$B$2:$B$2501=A23))),0))</f>
        <v/>
      </c>
      <c r="H23">
        <f>IF(OR(A23="",E23=0),"" ,D23/E23)</f>
        <v/>
      </c>
      <c r="I23">
        <f>IF(OR(A23="",B23=0),"",D23/B23)</f>
        <v/>
      </c>
      <c r="J23">
        <f>IF(OR(A23="",B23=0),"",C23/B23)</f>
        <v/>
      </c>
      <c r="K23">
        <f>IF(OR(A23="",G23=0),"",F23/G23)</f>
        <v/>
      </c>
      <c r="L23">
        <f>IF(A23="","",IFERROR(C23/SUMIF(TripSummary!$B$2:$B$2501,A23,TripSummary!$I$2:$I$2501),0))</f>
        <v/>
      </c>
      <c r="M23">
        <f>IF(OR(A23="",G23=0),"",C23/G23)</f>
        <v/>
      </c>
      <c r="N23">
        <f>IF(OR(A23="",F23=0),"",(MAXIFS(TripSummary!$L$2:$L$2501,TripSummary!$B$2:$B$2501,A23)-MINIFS(TripSummary!$L$2:$L$2501,TripSummary!$B$2:$B$2501,A23))*1440/F23)</f>
        <v/>
      </c>
    </row>
    <row r="24">
      <c r="B24">
        <f>IF(A24="","",SUMIF(TripSummary!$B$2:$B$2501,A24,TripSummary!$E$2:$E$2501))</f>
        <v/>
      </c>
      <c r="C24">
        <f>IF(A24="","",SUMIF(TripSummary!$B$2:$B$2501,A24,TripSummary!$F$2:$F$2501))</f>
        <v/>
      </c>
      <c r="D24">
        <f>IF(A24="","",SUMIF(TripSummary!$B$2:$B$2501,A24,TripSummary!$G$2:$G$2501))</f>
        <v/>
      </c>
      <c r="E24">
        <f>IF(A24="","",SUMIF(TripSummary!$B$2:$B$2501,A24,TripSummary!$K$2:$K$2501))</f>
        <v/>
      </c>
      <c r="F24">
        <f>IF(A24="","",COUNTIF(TripSummary!$B$2:$B$2501,A24))</f>
        <v/>
      </c>
      <c r="G24">
        <f>IF(A24="","",IFERROR(ROWS(UNIQUE(FILTER(TripSummary!$H$2:$H$2501,TripSummary!$B$2:$B$2501=A24))),0))</f>
        <v/>
      </c>
      <c r="H24">
        <f>IF(OR(A24="",E24=0),"" ,D24/E24)</f>
        <v/>
      </c>
      <c r="I24">
        <f>IF(OR(A24="",B24=0),"",D24/B24)</f>
        <v/>
      </c>
      <c r="J24">
        <f>IF(OR(A24="",B24=0),"",C24/B24)</f>
        <v/>
      </c>
      <c r="K24">
        <f>IF(OR(A24="",G24=0),"",F24/G24)</f>
        <v/>
      </c>
      <c r="L24">
        <f>IF(A24="","",IFERROR(C24/SUMIF(TripSummary!$B$2:$B$2501,A24,TripSummary!$I$2:$I$2501),0))</f>
        <v/>
      </c>
      <c r="M24">
        <f>IF(OR(A24="",G24=0),"",C24/G24)</f>
        <v/>
      </c>
      <c r="N24">
        <f>IF(OR(A24="",F24=0),"",(MAXIFS(TripSummary!$L$2:$L$2501,TripSummary!$B$2:$B$2501,A24)-MINIFS(TripSummary!$L$2:$L$2501,TripSummary!$B$2:$B$2501,A24))*1440/F24)</f>
        <v/>
      </c>
    </row>
    <row r="25">
      <c r="B25">
        <f>IF(A25="","",SUMIF(TripSummary!$B$2:$B$2501,A25,TripSummary!$E$2:$E$2501))</f>
        <v/>
      </c>
      <c r="C25">
        <f>IF(A25="","",SUMIF(TripSummary!$B$2:$B$2501,A25,TripSummary!$F$2:$F$2501))</f>
        <v/>
      </c>
      <c r="D25">
        <f>IF(A25="","",SUMIF(TripSummary!$B$2:$B$2501,A25,TripSummary!$G$2:$G$2501))</f>
        <v/>
      </c>
      <c r="E25">
        <f>IF(A25="","",SUMIF(TripSummary!$B$2:$B$2501,A25,TripSummary!$K$2:$K$2501))</f>
        <v/>
      </c>
      <c r="F25">
        <f>IF(A25="","",COUNTIF(TripSummary!$B$2:$B$2501,A25))</f>
        <v/>
      </c>
      <c r="G25">
        <f>IF(A25="","",IFERROR(ROWS(UNIQUE(FILTER(TripSummary!$H$2:$H$2501,TripSummary!$B$2:$B$2501=A25))),0))</f>
        <v/>
      </c>
      <c r="H25">
        <f>IF(OR(A25="",E25=0),"" ,D25/E25)</f>
        <v/>
      </c>
      <c r="I25">
        <f>IF(OR(A25="",B25=0),"",D25/B25)</f>
        <v/>
      </c>
      <c r="J25">
        <f>IF(OR(A25="",B25=0),"",C25/B25)</f>
        <v/>
      </c>
      <c r="K25">
        <f>IF(OR(A25="",G25=0),"",F25/G25)</f>
        <v/>
      </c>
      <c r="L25">
        <f>IF(A25="","",IFERROR(C25/SUMIF(TripSummary!$B$2:$B$2501,A25,TripSummary!$I$2:$I$2501),0))</f>
        <v/>
      </c>
      <c r="M25">
        <f>IF(OR(A25="",G25=0),"",C25/G25)</f>
        <v/>
      </c>
      <c r="N25">
        <f>IF(OR(A25="",F25=0),"",(MAXIFS(TripSummary!$L$2:$L$2501,TripSummary!$B$2:$B$2501,A25)-MINIFS(TripSummary!$L$2:$L$2501,TripSummary!$B$2:$B$2501,A25))*1440/F25)</f>
        <v/>
      </c>
    </row>
    <row r="26">
      <c r="B26">
        <f>IF(A26="","",SUMIF(TripSummary!$B$2:$B$2501,A26,TripSummary!$E$2:$E$2501))</f>
        <v/>
      </c>
      <c r="C26">
        <f>IF(A26="","",SUMIF(TripSummary!$B$2:$B$2501,A26,TripSummary!$F$2:$F$2501))</f>
        <v/>
      </c>
      <c r="D26">
        <f>IF(A26="","",SUMIF(TripSummary!$B$2:$B$2501,A26,TripSummary!$G$2:$G$2501))</f>
        <v/>
      </c>
      <c r="E26">
        <f>IF(A26="","",SUMIF(TripSummary!$B$2:$B$2501,A26,TripSummary!$K$2:$K$2501))</f>
        <v/>
      </c>
      <c r="F26">
        <f>IF(A26="","",COUNTIF(TripSummary!$B$2:$B$2501,A26))</f>
        <v/>
      </c>
      <c r="G26">
        <f>IF(A26="","",IFERROR(ROWS(UNIQUE(FILTER(TripSummary!$H$2:$H$2501,TripSummary!$B$2:$B$2501=A26))),0))</f>
        <v/>
      </c>
      <c r="H26">
        <f>IF(OR(A26="",E26=0),"" ,D26/E26)</f>
        <v/>
      </c>
      <c r="I26">
        <f>IF(OR(A26="",B26=0),"",D26/B26)</f>
        <v/>
      </c>
      <c r="J26">
        <f>IF(OR(A26="",B26=0),"",C26/B26)</f>
        <v/>
      </c>
      <c r="K26">
        <f>IF(OR(A26="",G26=0),"",F26/G26)</f>
        <v/>
      </c>
      <c r="L26">
        <f>IF(A26="","",IFERROR(C26/SUMIF(TripSummary!$B$2:$B$2501,A26,TripSummary!$I$2:$I$2501),0))</f>
        <v/>
      </c>
      <c r="M26">
        <f>IF(OR(A26="",G26=0),"",C26/G26)</f>
        <v/>
      </c>
      <c r="N26">
        <f>IF(OR(A26="",F26=0),"",(MAXIFS(TripSummary!$L$2:$L$2501,TripSummary!$B$2:$B$2501,A26)-MINIFS(TripSummary!$L$2:$L$2501,TripSummary!$B$2:$B$2501,A26))*1440/F26)</f>
        <v/>
      </c>
    </row>
    <row r="27">
      <c r="B27">
        <f>IF(A27="","",SUMIF(TripSummary!$B$2:$B$2501,A27,TripSummary!$E$2:$E$2501))</f>
        <v/>
      </c>
      <c r="C27">
        <f>IF(A27="","",SUMIF(TripSummary!$B$2:$B$2501,A27,TripSummary!$F$2:$F$2501))</f>
        <v/>
      </c>
      <c r="D27">
        <f>IF(A27="","",SUMIF(TripSummary!$B$2:$B$2501,A27,TripSummary!$G$2:$G$2501))</f>
        <v/>
      </c>
      <c r="E27">
        <f>IF(A27="","",SUMIF(TripSummary!$B$2:$B$2501,A27,TripSummary!$K$2:$K$2501))</f>
        <v/>
      </c>
      <c r="F27">
        <f>IF(A27="","",COUNTIF(TripSummary!$B$2:$B$2501,A27))</f>
        <v/>
      </c>
      <c r="G27">
        <f>IF(A27="","",IFERROR(ROWS(UNIQUE(FILTER(TripSummary!$H$2:$H$2501,TripSummary!$B$2:$B$2501=A27))),0))</f>
        <v/>
      </c>
      <c r="H27">
        <f>IF(OR(A27="",E27=0),"" ,D27/E27)</f>
        <v/>
      </c>
      <c r="I27">
        <f>IF(OR(A27="",B27=0),"",D27/B27)</f>
        <v/>
      </c>
      <c r="J27">
        <f>IF(OR(A27="",B27=0),"",C27/B27)</f>
        <v/>
      </c>
      <c r="K27">
        <f>IF(OR(A27="",G27=0),"",F27/G27)</f>
        <v/>
      </c>
      <c r="L27">
        <f>IF(A27="","",IFERROR(C27/SUMIF(TripSummary!$B$2:$B$2501,A27,TripSummary!$I$2:$I$2501),0))</f>
        <v/>
      </c>
      <c r="M27">
        <f>IF(OR(A27="",G27=0),"",C27/G27)</f>
        <v/>
      </c>
      <c r="N27">
        <f>IF(OR(A27="",F27=0),"",(MAXIFS(TripSummary!$L$2:$L$2501,TripSummary!$B$2:$B$2501,A27)-MINIFS(TripSummary!$L$2:$L$2501,TripSummary!$B$2:$B$2501,A27))*1440/F27)</f>
        <v/>
      </c>
    </row>
    <row r="28">
      <c r="B28">
        <f>IF(A28="","",SUMIF(TripSummary!$B$2:$B$2501,A28,TripSummary!$E$2:$E$2501))</f>
        <v/>
      </c>
      <c r="C28">
        <f>IF(A28="","",SUMIF(TripSummary!$B$2:$B$2501,A28,TripSummary!$F$2:$F$2501))</f>
        <v/>
      </c>
      <c r="D28">
        <f>IF(A28="","",SUMIF(TripSummary!$B$2:$B$2501,A28,TripSummary!$G$2:$G$2501))</f>
        <v/>
      </c>
      <c r="E28">
        <f>IF(A28="","",SUMIF(TripSummary!$B$2:$B$2501,A28,TripSummary!$K$2:$K$2501))</f>
        <v/>
      </c>
      <c r="F28">
        <f>IF(A28="","",COUNTIF(TripSummary!$B$2:$B$2501,A28))</f>
        <v/>
      </c>
      <c r="G28">
        <f>IF(A28="","",IFERROR(ROWS(UNIQUE(FILTER(TripSummary!$H$2:$H$2501,TripSummary!$B$2:$B$2501=A28))),0))</f>
        <v/>
      </c>
      <c r="H28">
        <f>IF(OR(A28="",E28=0),"" ,D28/E28)</f>
        <v/>
      </c>
      <c r="I28">
        <f>IF(OR(A28="",B28=0),"",D28/B28)</f>
        <v/>
      </c>
      <c r="J28">
        <f>IF(OR(A28="",B28=0),"",C28/B28)</f>
        <v/>
      </c>
      <c r="K28">
        <f>IF(OR(A28="",G28=0),"",F28/G28)</f>
        <v/>
      </c>
      <c r="L28">
        <f>IF(A28="","",IFERROR(C28/SUMIF(TripSummary!$B$2:$B$2501,A28,TripSummary!$I$2:$I$2501),0))</f>
        <v/>
      </c>
      <c r="M28">
        <f>IF(OR(A28="",G28=0),"",C28/G28)</f>
        <v/>
      </c>
      <c r="N28">
        <f>IF(OR(A28="",F28=0),"",(MAXIFS(TripSummary!$L$2:$L$2501,TripSummary!$B$2:$B$2501,A28)-MINIFS(TripSummary!$L$2:$L$2501,TripSummary!$B$2:$B$2501,A28))*1440/F28)</f>
        <v/>
      </c>
    </row>
    <row r="29">
      <c r="B29">
        <f>IF(A29="","",SUMIF(TripSummary!$B$2:$B$2501,A29,TripSummary!$E$2:$E$2501))</f>
        <v/>
      </c>
      <c r="C29">
        <f>IF(A29="","",SUMIF(TripSummary!$B$2:$B$2501,A29,TripSummary!$F$2:$F$2501))</f>
        <v/>
      </c>
      <c r="D29">
        <f>IF(A29="","",SUMIF(TripSummary!$B$2:$B$2501,A29,TripSummary!$G$2:$G$2501))</f>
        <v/>
      </c>
      <c r="E29">
        <f>IF(A29="","",SUMIF(TripSummary!$B$2:$B$2501,A29,TripSummary!$K$2:$K$2501))</f>
        <v/>
      </c>
      <c r="F29">
        <f>IF(A29="","",COUNTIF(TripSummary!$B$2:$B$2501,A29))</f>
        <v/>
      </c>
      <c r="G29">
        <f>IF(A29="","",IFERROR(ROWS(UNIQUE(FILTER(TripSummary!$H$2:$H$2501,TripSummary!$B$2:$B$2501=A29))),0))</f>
        <v/>
      </c>
      <c r="H29">
        <f>IF(OR(A29="",E29=0),"" ,D29/E29)</f>
        <v/>
      </c>
      <c r="I29">
        <f>IF(OR(A29="",B29=0),"",D29/B29)</f>
        <v/>
      </c>
      <c r="J29">
        <f>IF(OR(A29="",B29=0),"",C29/B29)</f>
        <v/>
      </c>
      <c r="K29">
        <f>IF(OR(A29="",G29=0),"",F29/G29)</f>
        <v/>
      </c>
      <c r="L29">
        <f>IF(A29="","",IFERROR(C29/SUMIF(TripSummary!$B$2:$B$2501,A29,TripSummary!$I$2:$I$2501),0))</f>
        <v/>
      </c>
      <c r="M29">
        <f>IF(OR(A29="",G29=0),"",C29/G29)</f>
        <v/>
      </c>
      <c r="N29">
        <f>IF(OR(A29="",F29=0),"",(MAXIFS(TripSummary!$L$2:$L$2501,TripSummary!$B$2:$B$2501,A29)-MINIFS(TripSummary!$L$2:$L$2501,TripSummary!$B$2:$B$2501,A29))*1440/F29)</f>
        <v/>
      </c>
    </row>
    <row r="30">
      <c r="B30">
        <f>IF(A30="","",SUMIF(TripSummary!$B$2:$B$2501,A30,TripSummary!$E$2:$E$2501))</f>
        <v/>
      </c>
      <c r="C30">
        <f>IF(A30="","",SUMIF(TripSummary!$B$2:$B$2501,A30,TripSummary!$F$2:$F$2501))</f>
        <v/>
      </c>
      <c r="D30">
        <f>IF(A30="","",SUMIF(TripSummary!$B$2:$B$2501,A30,TripSummary!$G$2:$G$2501))</f>
        <v/>
      </c>
      <c r="E30">
        <f>IF(A30="","",SUMIF(TripSummary!$B$2:$B$2501,A30,TripSummary!$K$2:$K$2501))</f>
        <v/>
      </c>
      <c r="F30">
        <f>IF(A30="","",COUNTIF(TripSummary!$B$2:$B$2501,A30))</f>
        <v/>
      </c>
      <c r="G30">
        <f>IF(A30="","",IFERROR(ROWS(UNIQUE(FILTER(TripSummary!$H$2:$H$2501,TripSummary!$B$2:$B$2501=A30))),0))</f>
        <v/>
      </c>
      <c r="H30">
        <f>IF(OR(A30="",E30=0),"" ,D30/E30)</f>
        <v/>
      </c>
      <c r="I30">
        <f>IF(OR(A30="",B30=0),"",D30/B30)</f>
        <v/>
      </c>
      <c r="J30">
        <f>IF(OR(A30="",B30=0),"",C30/B30)</f>
        <v/>
      </c>
      <c r="K30">
        <f>IF(OR(A30="",G30=0),"",F30/G30)</f>
        <v/>
      </c>
      <c r="L30">
        <f>IF(A30="","",IFERROR(C30/SUMIF(TripSummary!$B$2:$B$2501,A30,TripSummary!$I$2:$I$2501),0))</f>
        <v/>
      </c>
      <c r="M30">
        <f>IF(OR(A30="",G30=0),"",C30/G30)</f>
        <v/>
      </c>
      <c r="N30">
        <f>IF(OR(A30="",F30=0),"",(MAXIFS(TripSummary!$L$2:$L$2501,TripSummary!$B$2:$B$2501,A30)-MINIFS(TripSummary!$L$2:$L$2501,TripSummary!$B$2:$B$2501,A30))*1440/F30)</f>
        <v/>
      </c>
    </row>
    <row r="31">
      <c r="B31">
        <f>IF(A31="","",SUMIF(TripSummary!$B$2:$B$2501,A31,TripSummary!$E$2:$E$2501))</f>
        <v/>
      </c>
      <c r="C31">
        <f>IF(A31="","",SUMIF(TripSummary!$B$2:$B$2501,A31,TripSummary!$F$2:$F$2501))</f>
        <v/>
      </c>
      <c r="D31">
        <f>IF(A31="","",SUMIF(TripSummary!$B$2:$B$2501,A31,TripSummary!$G$2:$G$2501))</f>
        <v/>
      </c>
      <c r="E31">
        <f>IF(A31="","",SUMIF(TripSummary!$B$2:$B$2501,A31,TripSummary!$K$2:$K$2501))</f>
        <v/>
      </c>
      <c r="F31">
        <f>IF(A31="","",COUNTIF(TripSummary!$B$2:$B$2501,A31))</f>
        <v/>
      </c>
      <c r="G31">
        <f>IF(A31="","",IFERROR(ROWS(UNIQUE(FILTER(TripSummary!$H$2:$H$2501,TripSummary!$B$2:$B$2501=A31))),0))</f>
        <v/>
      </c>
      <c r="H31">
        <f>IF(OR(A31="",E31=0),"" ,D31/E31)</f>
        <v/>
      </c>
      <c r="I31">
        <f>IF(OR(A31="",B31=0),"",D31/B31)</f>
        <v/>
      </c>
      <c r="J31">
        <f>IF(OR(A31="",B31=0),"",C31/B31)</f>
        <v/>
      </c>
      <c r="K31">
        <f>IF(OR(A31="",G31=0),"",F31/G31)</f>
        <v/>
      </c>
      <c r="L31">
        <f>IF(A31="","",IFERROR(C31/SUMIF(TripSummary!$B$2:$B$2501,A31,TripSummary!$I$2:$I$2501),0))</f>
        <v/>
      </c>
      <c r="M31">
        <f>IF(OR(A31="",G31=0),"",C31/G31)</f>
        <v/>
      </c>
      <c r="N31">
        <f>IF(OR(A31="",F31=0),"",(MAXIFS(TripSummary!$L$2:$L$2501,TripSummary!$B$2:$B$2501,A31)-MINIFS(TripSummary!$L$2:$L$2501,TripSummary!$B$2:$B$2501,A31))*1440/F31)</f>
        <v/>
      </c>
    </row>
    <row r="32">
      <c r="B32">
        <f>IF(A32="","",SUMIF(TripSummary!$B$2:$B$2501,A32,TripSummary!$E$2:$E$2501))</f>
        <v/>
      </c>
      <c r="C32">
        <f>IF(A32="","",SUMIF(TripSummary!$B$2:$B$2501,A32,TripSummary!$F$2:$F$2501))</f>
        <v/>
      </c>
      <c r="D32">
        <f>IF(A32="","",SUMIF(TripSummary!$B$2:$B$2501,A32,TripSummary!$G$2:$G$2501))</f>
        <v/>
      </c>
      <c r="E32">
        <f>IF(A32="","",SUMIF(TripSummary!$B$2:$B$2501,A32,TripSummary!$K$2:$K$2501))</f>
        <v/>
      </c>
      <c r="F32">
        <f>IF(A32="","",COUNTIF(TripSummary!$B$2:$B$2501,A32))</f>
        <v/>
      </c>
      <c r="G32">
        <f>IF(A32="","",IFERROR(ROWS(UNIQUE(FILTER(TripSummary!$H$2:$H$2501,TripSummary!$B$2:$B$2501=A32))),0))</f>
        <v/>
      </c>
      <c r="H32">
        <f>IF(OR(A32="",E32=0),"" ,D32/E32)</f>
        <v/>
      </c>
      <c r="I32">
        <f>IF(OR(A32="",B32=0),"",D32/B32)</f>
        <v/>
      </c>
      <c r="J32">
        <f>IF(OR(A32="",B32=0),"",C32/B32)</f>
        <v/>
      </c>
      <c r="K32">
        <f>IF(OR(A32="",G32=0),"",F32/G32)</f>
        <v/>
      </c>
      <c r="L32">
        <f>IF(A32="","",IFERROR(C32/SUMIF(TripSummary!$B$2:$B$2501,A32,TripSummary!$I$2:$I$2501),0))</f>
        <v/>
      </c>
      <c r="M32">
        <f>IF(OR(A32="",G32=0),"",C32/G32)</f>
        <v/>
      </c>
      <c r="N32">
        <f>IF(OR(A32="",F32=0),"",(MAXIFS(TripSummary!$L$2:$L$2501,TripSummary!$B$2:$B$2501,A32)-MINIFS(TripSummary!$L$2:$L$2501,TripSummary!$B$2:$B$2501,A32))*1440/F32)</f>
        <v/>
      </c>
    </row>
    <row r="33">
      <c r="B33">
        <f>IF(A33="","",SUMIF(TripSummary!$B$2:$B$2501,A33,TripSummary!$E$2:$E$2501))</f>
        <v/>
      </c>
      <c r="C33">
        <f>IF(A33="","",SUMIF(TripSummary!$B$2:$B$2501,A33,TripSummary!$F$2:$F$2501))</f>
        <v/>
      </c>
      <c r="D33">
        <f>IF(A33="","",SUMIF(TripSummary!$B$2:$B$2501,A33,TripSummary!$G$2:$G$2501))</f>
        <v/>
      </c>
      <c r="E33">
        <f>IF(A33="","",SUMIF(TripSummary!$B$2:$B$2501,A33,TripSummary!$K$2:$K$2501))</f>
        <v/>
      </c>
      <c r="F33">
        <f>IF(A33="","",COUNTIF(TripSummary!$B$2:$B$2501,A33))</f>
        <v/>
      </c>
      <c r="G33">
        <f>IF(A33="","",IFERROR(ROWS(UNIQUE(FILTER(TripSummary!$H$2:$H$2501,TripSummary!$B$2:$B$2501=A33))),0))</f>
        <v/>
      </c>
      <c r="H33">
        <f>IF(OR(A33="",E33=0),"" ,D33/E33)</f>
        <v/>
      </c>
      <c r="I33">
        <f>IF(OR(A33="",B33=0),"",D33/B33)</f>
        <v/>
      </c>
      <c r="J33">
        <f>IF(OR(A33="",B33=0),"",C33/B33)</f>
        <v/>
      </c>
      <c r="K33">
        <f>IF(OR(A33="",G33=0),"",F33/G33)</f>
        <v/>
      </c>
      <c r="L33">
        <f>IF(A33="","",IFERROR(C33/SUMIF(TripSummary!$B$2:$B$2501,A33,TripSummary!$I$2:$I$2501),0))</f>
        <v/>
      </c>
      <c r="M33">
        <f>IF(OR(A33="",G33=0),"",C33/G33)</f>
        <v/>
      </c>
      <c r="N33">
        <f>IF(OR(A33="",F33=0),"",(MAXIFS(TripSummary!$L$2:$L$2501,TripSummary!$B$2:$B$2501,A33)-MINIFS(TripSummary!$L$2:$L$2501,TripSummary!$B$2:$B$2501,A33))*1440/F33)</f>
        <v/>
      </c>
    </row>
    <row r="34">
      <c r="B34">
        <f>IF(A34="","",SUMIF(TripSummary!$B$2:$B$2501,A34,TripSummary!$E$2:$E$2501))</f>
        <v/>
      </c>
      <c r="C34">
        <f>IF(A34="","",SUMIF(TripSummary!$B$2:$B$2501,A34,TripSummary!$F$2:$F$2501))</f>
        <v/>
      </c>
      <c r="D34">
        <f>IF(A34="","",SUMIF(TripSummary!$B$2:$B$2501,A34,TripSummary!$G$2:$G$2501))</f>
        <v/>
      </c>
      <c r="E34">
        <f>IF(A34="","",SUMIF(TripSummary!$B$2:$B$2501,A34,TripSummary!$K$2:$K$2501))</f>
        <v/>
      </c>
      <c r="F34">
        <f>IF(A34="","",COUNTIF(TripSummary!$B$2:$B$2501,A34))</f>
        <v/>
      </c>
      <c r="G34">
        <f>IF(A34="","",IFERROR(ROWS(UNIQUE(FILTER(TripSummary!$H$2:$H$2501,TripSummary!$B$2:$B$2501=A34))),0))</f>
        <v/>
      </c>
      <c r="H34">
        <f>IF(OR(A34="",E34=0),"" ,D34/E34)</f>
        <v/>
      </c>
      <c r="I34">
        <f>IF(OR(A34="",B34=0),"",D34/B34)</f>
        <v/>
      </c>
      <c r="J34">
        <f>IF(OR(A34="",B34=0),"",C34/B34)</f>
        <v/>
      </c>
      <c r="K34">
        <f>IF(OR(A34="",G34=0),"",F34/G34)</f>
        <v/>
      </c>
      <c r="L34">
        <f>IF(A34="","",IFERROR(C34/SUMIF(TripSummary!$B$2:$B$2501,A34,TripSummary!$I$2:$I$2501),0))</f>
        <v/>
      </c>
      <c r="M34">
        <f>IF(OR(A34="",G34=0),"",C34/G34)</f>
        <v/>
      </c>
      <c r="N34">
        <f>IF(OR(A34="",F34=0),"",(MAXIFS(TripSummary!$L$2:$L$2501,TripSummary!$B$2:$B$2501,A34)-MINIFS(TripSummary!$L$2:$L$2501,TripSummary!$B$2:$B$2501,A34))*1440/F34)</f>
        <v/>
      </c>
    </row>
    <row r="35">
      <c r="B35">
        <f>IF(A35="","",SUMIF(TripSummary!$B$2:$B$2501,A35,TripSummary!$E$2:$E$2501))</f>
        <v/>
      </c>
      <c r="C35">
        <f>IF(A35="","",SUMIF(TripSummary!$B$2:$B$2501,A35,TripSummary!$F$2:$F$2501))</f>
        <v/>
      </c>
      <c r="D35">
        <f>IF(A35="","",SUMIF(TripSummary!$B$2:$B$2501,A35,TripSummary!$G$2:$G$2501))</f>
        <v/>
      </c>
      <c r="E35">
        <f>IF(A35="","",SUMIF(TripSummary!$B$2:$B$2501,A35,TripSummary!$K$2:$K$2501))</f>
        <v/>
      </c>
      <c r="F35">
        <f>IF(A35="","",COUNTIF(TripSummary!$B$2:$B$2501,A35))</f>
        <v/>
      </c>
      <c r="G35">
        <f>IF(A35="","",IFERROR(ROWS(UNIQUE(FILTER(TripSummary!$H$2:$H$2501,TripSummary!$B$2:$B$2501=A35))),0))</f>
        <v/>
      </c>
      <c r="H35">
        <f>IF(OR(A35="",E35=0),"" ,D35/E35)</f>
        <v/>
      </c>
      <c r="I35">
        <f>IF(OR(A35="",B35=0),"",D35/B35)</f>
        <v/>
      </c>
      <c r="J35">
        <f>IF(OR(A35="",B35=0),"",C35/B35)</f>
        <v/>
      </c>
      <c r="K35">
        <f>IF(OR(A35="",G35=0),"",F35/G35)</f>
        <v/>
      </c>
      <c r="L35">
        <f>IF(A35="","",IFERROR(C35/SUMIF(TripSummary!$B$2:$B$2501,A35,TripSummary!$I$2:$I$2501),0))</f>
        <v/>
      </c>
      <c r="M35">
        <f>IF(OR(A35="",G35=0),"",C35/G35)</f>
        <v/>
      </c>
      <c r="N35">
        <f>IF(OR(A35="",F35=0),"",(MAXIFS(TripSummary!$L$2:$L$2501,TripSummary!$B$2:$B$2501,A35)-MINIFS(TripSummary!$L$2:$L$2501,TripSummary!$B$2:$B$2501,A35))*1440/F35)</f>
        <v/>
      </c>
    </row>
    <row r="36">
      <c r="B36">
        <f>IF(A36="","",SUMIF(TripSummary!$B$2:$B$2501,A36,TripSummary!$E$2:$E$2501))</f>
        <v/>
      </c>
      <c r="C36">
        <f>IF(A36="","",SUMIF(TripSummary!$B$2:$B$2501,A36,TripSummary!$F$2:$F$2501))</f>
        <v/>
      </c>
      <c r="D36">
        <f>IF(A36="","",SUMIF(TripSummary!$B$2:$B$2501,A36,TripSummary!$G$2:$G$2501))</f>
        <v/>
      </c>
      <c r="E36">
        <f>IF(A36="","",SUMIF(TripSummary!$B$2:$B$2501,A36,TripSummary!$K$2:$K$2501))</f>
        <v/>
      </c>
      <c r="F36">
        <f>IF(A36="","",COUNTIF(TripSummary!$B$2:$B$2501,A36))</f>
        <v/>
      </c>
      <c r="G36">
        <f>IF(A36="","",IFERROR(ROWS(UNIQUE(FILTER(TripSummary!$H$2:$H$2501,TripSummary!$B$2:$B$2501=A36))),0))</f>
        <v/>
      </c>
      <c r="H36">
        <f>IF(OR(A36="",E36=0),"" ,D36/E36)</f>
        <v/>
      </c>
      <c r="I36">
        <f>IF(OR(A36="",B36=0),"",D36/B36)</f>
        <v/>
      </c>
      <c r="J36">
        <f>IF(OR(A36="",B36=0),"",C36/B36)</f>
        <v/>
      </c>
      <c r="K36">
        <f>IF(OR(A36="",G36=0),"",F36/G36)</f>
        <v/>
      </c>
      <c r="L36">
        <f>IF(A36="","",IFERROR(C36/SUMIF(TripSummary!$B$2:$B$2501,A36,TripSummary!$I$2:$I$2501),0))</f>
        <v/>
      </c>
      <c r="M36">
        <f>IF(OR(A36="",G36=0),"",C36/G36)</f>
        <v/>
      </c>
      <c r="N36">
        <f>IF(OR(A36="",F36=0),"",(MAXIFS(TripSummary!$L$2:$L$2501,TripSummary!$B$2:$B$2501,A36)-MINIFS(TripSummary!$L$2:$L$2501,TripSummary!$B$2:$B$2501,A36))*1440/F36)</f>
        <v/>
      </c>
    </row>
    <row r="37">
      <c r="B37">
        <f>IF(A37="","",SUMIF(TripSummary!$B$2:$B$2501,A37,TripSummary!$E$2:$E$2501))</f>
        <v/>
      </c>
      <c r="C37">
        <f>IF(A37="","",SUMIF(TripSummary!$B$2:$B$2501,A37,TripSummary!$F$2:$F$2501))</f>
        <v/>
      </c>
      <c r="D37">
        <f>IF(A37="","",SUMIF(TripSummary!$B$2:$B$2501,A37,TripSummary!$G$2:$G$2501))</f>
        <v/>
      </c>
      <c r="E37">
        <f>IF(A37="","",SUMIF(TripSummary!$B$2:$B$2501,A37,TripSummary!$K$2:$K$2501))</f>
        <v/>
      </c>
      <c r="F37">
        <f>IF(A37="","",COUNTIF(TripSummary!$B$2:$B$2501,A37))</f>
        <v/>
      </c>
      <c r="G37">
        <f>IF(A37="","",IFERROR(ROWS(UNIQUE(FILTER(TripSummary!$H$2:$H$2501,TripSummary!$B$2:$B$2501=A37))),0))</f>
        <v/>
      </c>
      <c r="H37">
        <f>IF(OR(A37="",E37=0),"" ,D37/E37)</f>
        <v/>
      </c>
      <c r="I37">
        <f>IF(OR(A37="",B37=0),"",D37/B37)</f>
        <v/>
      </c>
      <c r="J37">
        <f>IF(OR(A37="",B37=0),"",C37/B37)</f>
        <v/>
      </c>
      <c r="K37">
        <f>IF(OR(A37="",G37=0),"",F37/G37)</f>
        <v/>
      </c>
      <c r="L37">
        <f>IF(A37="","",IFERROR(C37/SUMIF(TripSummary!$B$2:$B$2501,A37,TripSummary!$I$2:$I$2501),0))</f>
        <v/>
      </c>
      <c r="M37">
        <f>IF(OR(A37="",G37=0),"",C37/G37)</f>
        <v/>
      </c>
      <c r="N37">
        <f>IF(OR(A37="",F37=0),"",(MAXIFS(TripSummary!$L$2:$L$2501,TripSummary!$B$2:$B$2501,A37)-MINIFS(TripSummary!$L$2:$L$2501,TripSummary!$B$2:$B$2501,A37))*1440/F37)</f>
        <v/>
      </c>
    </row>
    <row r="38">
      <c r="B38">
        <f>IF(A38="","",SUMIF(TripSummary!$B$2:$B$2501,A38,TripSummary!$E$2:$E$2501))</f>
        <v/>
      </c>
      <c r="C38">
        <f>IF(A38="","",SUMIF(TripSummary!$B$2:$B$2501,A38,TripSummary!$F$2:$F$2501))</f>
        <v/>
      </c>
      <c r="D38">
        <f>IF(A38="","",SUMIF(TripSummary!$B$2:$B$2501,A38,TripSummary!$G$2:$G$2501))</f>
        <v/>
      </c>
      <c r="E38">
        <f>IF(A38="","",SUMIF(TripSummary!$B$2:$B$2501,A38,TripSummary!$K$2:$K$2501))</f>
        <v/>
      </c>
      <c r="F38">
        <f>IF(A38="","",COUNTIF(TripSummary!$B$2:$B$2501,A38))</f>
        <v/>
      </c>
      <c r="G38">
        <f>IF(A38="","",IFERROR(ROWS(UNIQUE(FILTER(TripSummary!$H$2:$H$2501,TripSummary!$B$2:$B$2501=A38))),0))</f>
        <v/>
      </c>
      <c r="H38">
        <f>IF(OR(A38="",E38=0),"" ,D38/E38)</f>
        <v/>
      </c>
      <c r="I38">
        <f>IF(OR(A38="",B38=0),"",D38/B38)</f>
        <v/>
      </c>
      <c r="J38">
        <f>IF(OR(A38="",B38=0),"",C38/B38)</f>
        <v/>
      </c>
      <c r="K38">
        <f>IF(OR(A38="",G38=0),"",F38/G38)</f>
        <v/>
      </c>
      <c r="L38">
        <f>IF(A38="","",IFERROR(C38/SUMIF(TripSummary!$B$2:$B$2501,A38,TripSummary!$I$2:$I$2501),0))</f>
        <v/>
      </c>
      <c r="M38">
        <f>IF(OR(A38="",G38=0),"",C38/G38)</f>
        <v/>
      </c>
      <c r="N38">
        <f>IF(OR(A38="",F38=0),"",(MAXIFS(TripSummary!$L$2:$L$2501,TripSummary!$B$2:$B$2501,A38)-MINIFS(TripSummary!$L$2:$L$2501,TripSummary!$B$2:$B$2501,A38))*1440/F38)</f>
        <v/>
      </c>
    </row>
    <row r="39">
      <c r="B39">
        <f>IF(A39="","",SUMIF(TripSummary!$B$2:$B$2501,A39,TripSummary!$E$2:$E$2501))</f>
        <v/>
      </c>
      <c r="C39">
        <f>IF(A39="","",SUMIF(TripSummary!$B$2:$B$2501,A39,TripSummary!$F$2:$F$2501))</f>
        <v/>
      </c>
      <c r="D39">
        <f>IF(A39="","",SUMIF(TripSummary!$B$2:$B$2501,A39,TripSummary!$G$2:$G$2501))</f>
        <v/>
      </c>
      <c r="E39">
        <f>IF(A39="","",SUMIF(TripSummary!$B$2:$B$2501,A39,TripSummary!$K$2:$K$2501))</f>
        <v/>
      </c>
      <c r="F39">
        <f>IF(A39="","",COUNTIF(TripSummary!$B$2:$B$2501,A39))</f>
        <v/>
      </c>
      <c r="G39">
        <f>IF(A39="","",IFERROR(ROWS(UNIQUE(FILTER(TripSummary!$H$2:$H$2501,TripSummary!$B$2:$B$2501=A39))),0))</f>
        <v/>
      </c>
      <c r="H39">
        <f>IF(OR(A39="",E39=0),"" ,D39/E39)</f>
        <v/>
      </c>
      <c r="I39">
        <f>IF(OR(A39="",B39=0),"",D39/B39)</f>
        <v/>
      </c>
      <c r="J39">
        <f>IF(OR(A39="",B39=0),"",C39/B39)</f>
        <v/>
      </c>
      <c r="K39">
        <f>IF(OR(A39="",G39=0),"",F39/G39)</f>
        <v/>
      </c>
      <c r="L39">
        <f>IF(A39="","",IFERROR(C39/SUMIF(TripSummary!$B$2:$B$2501,A39,TripSummary!$I$2:$I$2501),0))</f>
        <v/>
      </c>
      <c r="M39">
        <f>IF(OR(A39="",G39=0),"",C39/G39)</f>
        <v/>
      </c>
      <c r="N39">
        <f>IF(OR(A39="",F39=0),"",(MAXIFS(TripSummary!$L$2:$L$2501,TripSummary!$B$2:$B$2501,A39)-MINIFS(TripSummary!$L$2:$L$2501,TripSummary!$B$2:$B$2501,A39))*1440/F39)</f>
        <v/>
      </c>
    </row>
    <row r="40">
      <c r="B40">
        <f>IF(A40="","",SUMIF(TripSummary!$B$2:$B$2501,A40,TripSummary!$E$2:$E$2501))</f>
        <v/>
      </c>
      <c r="C40">
        <f>IF(A40="","",SUMIF(TripSummary!$B$2:$B$2501,A40,TripSummary!$F$2:$F$2501))</f>
        <v/>
      </c>
      <c r="D40">
        <f>IF(A40="","",SUMIF(TripSummary!$B$2:$B$2501,A40,TripSummary!$G$2:$G$2501))</f>
        <v/>
      </c>
      <c r="E40">
        <f>IF(A40="","",SUMIF(TripSummary!$B$2:$B$2501,A40,TripSummary!$K$2:$K$2501))</f>
        <v/>
      </c>
      <c r="F40">
        <f>IF(A40="","",COUNTIF(TripSummary!$B$2:$B$2501,A40))</f>
        <v/>
      </c>
      <c r="G40">
        <f>IF(A40="","",IFERROR(ROWS(UNIQUE(FILTER(TripSummary!$H$2:$H$2501,TripSummary!$B$2:$B$2501=A40))),0))</f>
        <v/>
      </c>
      <c r="H40">
        <f>IF(OR(A40="",E40=0),"" ,D40/E40)</f>
        <v/>
      </c>
      <c r="I40">
        <f>IF(OR(A40="",B40=0),"",D40/B40)</f>
        <v/>
      </c>
      <c r="J40">
        <f>IF(OR(A40="",B40=0),"",C40/B40)</f>
        <v/>
      </c>
      <c r="K40">
        <f>IF(OR(A40="",G40=0),"",F40/G40)</f>
        <v/>
      </c>
      <c r="L40">
        <f>IF(A40="","",IFERROR(C40/SUMIF(TripSummary!$B$2:$B$2501,A40,TripSummary!$I$2:$I$2501),0))</f>
        <v/>
      </c>
      <c r="M40">
        <f>IF(OR(A40="",G40=0),"",C40/G40)</f>
        <v/>
      </c>
      <c r="N40">
        <f>IF(OR(A40="",F40=0),"",(MAXIFS(TripSummary!$L$2:$L$2501,TripSummary!$B$2:$B$2501,A40)-MINIFS(TripSummary!$L$2:$L$2501,TripSummary!$B$2:$B$2501,A40))*1440/F40)</f>
        <v/>
      </c>
    </row>
    <row r="41">
      <c r="B41">
        <f>IF(A41="","",SUMIF(TripSummary!$B$2:$B$2501,A41,TripSummary!$E$2:$E$2501))</f>
        <v/>
      </c>
      <c r="C41">
        <f>IF(A41="","",SUMIF(TripSummary!$B$2:$B$2501,A41,TripSummary!$F$2:$F$2501))</f>
        <v/>
      </c>
      <c r="D41">
        <f>IF(A41="","",SUMIF(TripSummary!$B$2:$B$2501,A41,TripSummary!$G$2:$G$2501))</f>
        <v/>
      </c>
      <c r="E41">
        <f>IF(A41="","",SUMIF(TripSummary!$B$2:$B$2501,A41,TripSummary!$K$2:$K$2501))</f>
        <v/>
      </c>
      <c r="F41">
        <f>IF(A41="","",COUNTIF(TripSummary!$B$2:$B$2501,A41))</f>
        <v/>
      </c>
      <c r="G41">
        <f>IF(A41="","",IFERROR(ROWS(UNIQUE(FILTER(TripSummary!$H$2:$H$2501,TripSummary!$B$2:$B$2501=A41))),0))</f>
        <v/>
      </c>
      <c r="H41">
        <f>IF(OR(A41="",E41=0),"" ,D41/E41)</f>
        <v/>
      </c>
      <c r="I41">
        <f>IF(OR(A41="",B41=0),"",D41/B41)</f>
        <v/>
      </c>
      <c r="J41">
        <f>IF(OR(A41="",B41=0),"",C41/B41)</f>
        <v/>
      </c>
      <c r="K41">
        <f>IF(OR(A41="",G41=0),"",F41/G41)</f>
        <v/>
      </c>
      <c r="L41">
        <f>IF(A41="","",IFERROR(C41/SUMIF(TripSummary!$B$2:$B$2501,A41,TripSummary!$I$2:$I$2501),0))</f>
        <v/>
      </c>
      <c r="M41">
        <f>IF(OR(A41="",G41=0),"",C41/G41)</f>
        <v/>
      </c>
      <c r="N41">
        <f>IF(OR(A41="",F41=0),"",(MAXIFS(TripSummary!$L$2:$L$2501,TripSummary!$B$2:$B$2501,A41)-MINIFS(TripSummary!$L$2:$L$2501,TripSummary!$B$2:$B$2501,A41))*1440/F41)</f>
        <v/>
      </c>
    </row>
    <row r="42">
      <c r="B42">
        <f>IF(A42="","",SUMIF(TripSummary!$B$2:$B$2501,A42,TripSummary!$E$2:$E$2501))</f>
        <v/>
      </c>
      <c r="C42">
        <f>IF(A42="","",SUMIF(TripSummary!$B$2:$B$2501,A42,TripSummary!$F$2:$F$2501))</f>
        <v/>
      </c>
      <c r="D42">
        <f>IF(A42="","",SUMIF(TripSummary!$B$2:$B$2501,A42,TripSummary!$G$2:$G$2501))</f>
        <v/>
      </c>
      <c r="E42">
        <f>IF(A42="","",SUMIF(TripSummary!$B$2:$B$2501,A42,TripSummary!$K$2:$K$2501))</f>
        <v/>
      </c>
      <c r="F42">
        <f>IF(A42="","",COUNTIF(TripSummary!$B$2:$B$2501,A42))</f>
        <v/>
      </c>
      <c r="G42">
        <f>IF(A42="","",IFERROR(ROWS(UNIQUE(FILTER(TripSummary!$H$2:$H$2501,TripSummary!$B$2:$B$2501=A42))),0))</f>
        <v/>
      </c>
      <c r="H42">
        <f>IF(OR(A42="",E42=0),"" ,D42/E42)</f>
        <v/>
      </c>
      <c r="I42">
        <f>IF(OR(A42="",B42=0),"",D42/B42)</f>
        <v/>
      </c>
      <c r="J42">
        <f>IF(OR(A42="",B42=0),"",C42/B42)</f>
        <v/>
      </c>
      <c r="K42">
        <f>IF(OR(A42="",G42=0),"",F42/G42)</f>
        <v/>
      </c>
      <c r="L42">
        <f>IF(A42="","",IFERROR(C42/SUMIF(TripSummary!$B$2:$B$2501,A42,TripSummary!$I$2:$I$2501),0))</f>
        <v/>
      </c>
      <c r="M42">
        <f>IF(OR(A42="",G42=0),"",C42/G42)</f>
        <v/>
      </c>
      <c r="N42">
        <f>IF(OR(A42="",F42=0),"",(MAXIFS(TripSummary!$L$2:$L$2501,TripSummary!$B$2:$B$2501,A42)-MINIFS(TripSummary!$L$2:$L$2501,TripSummary!$B$2:$B$2501,A42))*1440/F42)</f>
        <v/>
      </c>
    </row>
    <row r="43">
      <c r="B43">
        <f>IF(A43="","",SUMIF(TripSummary!$B$2:$B$2501,A43,TripSummary!$E$2:$E$2501))</f>
        <v/>
      </c>
      <c r="C43">
        <f>IF(A43="","",SUMIF(TripSummary!$B$2:$B$2501,A43,TripSummary!$F$2:$F$2501))</f>
        <v/>
      </c>
      <c r="D43">
        <f>IF(A43="","",SUMIF(TripSummary!$B$2:$B$2501,A43,TripSummary!$G$2:$G$2501))</f>
        <v/>
      </c>
      <c r="E43">
        <f>IF(A43="","",SUMIF(TripSummary!$B$2:$B$2501,A43,TripSummary!$K$2:$K$2501))</f>
        <v/>
      </c>
      <c r="F43">
        <f>IF(A43="","",COUNTIF(TripSummary!$B$2:$B$2501,A43))</f>
        <v/>
      </c>
      <c r="G43">
        <f>IF(A43="","",IFERROR(ROWS(UNIQUE(FILTER(TripSummary!$H$2:$H$2501,TripSummary!$B$2:$B$2501=A43))),0))</f>
        <v/>
      </c>
      <c r="H43">
        <f>IF(OR(A43="",E43=0),"" ,D43/E43)</f>
        <v/>
      </c>
      <c r="I43">
        <f>IF(OR(A43="",B43=0),"",D43/B43)</f>
        <v/>
      </c>
      <c r="J43">
        <f>IF(OR(A43="",B43=0),"",C43/B43)</f>
        <v/>
      </c>
      <c r="K43">
        <f>IF(OR(A43="",G43=0),"",F43/G43)</f>
        <v/>
      </c>
      <c r="L43">
        <f>IF(A43="","",IFERROR(C43/SUMIF(TripSummary!$B$2:$B$2501,A43,TripSummary!$I$2:$I$2501),0))</f>
        <v/>
      </c>
      <c r="M43">
        <f>IF(OR(A43="",G43=0),"",C43/G43)</f>
        <v/>
      </c>
      <c r="N43">
        <f>IF(OR(A43="",F43=0),"",(MAXIFS(TripSummary!$L$2:$L$2501,TripSummary!$B$2:$B$2501,A43)-MINIFS(TripSummary!$L$2:$L$2501,TripSummary!$B$2:$B$2501,A43))*1440/F43)</f>
        <v/>
      </c>
    </row>
    <row r="44">
      <c r="B44">
        <f>IF(A44="","",SUMIF(TripSummary!$B$2:$B$2501,A44,TripSummary!$E$2:$E$2501))</f>
        <v/>
      </c>
      <c r="C44">
        <f>IF(A44="","",SUMIF(TripSummary!$B$2:$B$2501,A44,TripSummary!$F$2:$F$2501))</f>
        <v/>
      </c>
      <c r="D44">
        <f>IF(A44="","",SUMIF(TripSummary!$B$2:$B$2501,A44,TripSummary!$G$2:$G$2501))</f>
        <v/>
      </c>
      <c r="E44">
        <f>IF(A44="","",SUMIF(TripSummary!$B$2:$B$2501,A44,TripSummary!$K$2:$K$2501))</f>
        <v/>
      </c>
      <c r="F44">
        <f>IF(A44="","",COUNTIF(TripSummary!$B$2:$B$2501,A44))</f>
        <v/>
      </c>
      <c r="G44">
        <f>IF(A44="","",IFERROR(ROWS(UNIQUE(FILTER(TripSummary!$H$2:$H$2501,TripSummary!$B$2:$B$2501=A44))),0))</f>
        <v/>
      </c>
      <c r="H44">
        <f>IF(OR(A44="",E44=0),"" ,D44/E44)</f>
        <v/>
      </c>
      <c r="I44">
        <f>IF(OR(A44="",B44=0),"",D44/B44)</f>
        <v/>
      </c>
      <c r="J44">
        <f>IF(OR(A44="",B44=0),"",C44/B44)</f>
        <v/>
      </c>
      <c r="K44">
        <f>IF(OR(A44="",G44=0),"",F44/G44)</f>
        <v/>
      </c>
      <c r="L44">
        <f>IF(A44="","",IFERROR(C44/SUMIF(TripSummary!$B$2:$B$2501,A44,TripSummary!$I$2:$I$2501),0))</f>
        <v/>
      </c>
      <c r="M44">
        <f>IF(OR(A44="",G44=0),"",C44/G44)</f>
        <v/>
      </c>
      <c r="N44">
        <f>IF(OR(A44="",F44=0),"",(MAXIFS(TripSummary!$L$2:$L$2501,TripSummary!$B$2:$B$2501,A44)-MINIFS(TripSummary!$L$2:$L$2501,TripSummary!$B$2:$B$2501,A44))*1440/F44)</f>
        <v/>
      </c>
    </row>
    <row r="45">
      <c r="B45">
        <f>IF(A45="","",SUMIF(TripSummary!$B$2:$B$2501,A45,TripSummary!$E$2:$E$2501))</f>
        <v/>
      </c>
      <c r="C45">
        <f>IF(A45="","",SUMIF(TripSummary!$B$2:$B$2501,A45,TripSummary!$F$2:$F$2501))</f>
        <v/>
      </c>
      <c r="D45">
        <f>IF(A45="","",SUMIF(TripSummary!$B$2:$B$2501,A45,TripSummary!$G$2:$G$2501))</f>
        <v/>
      </c>
      <c r="E45">
        <f>IF(A45="","",SUMIF(TripSummary!$B$2:$B$2501,A45,TripSummary!$K$2:$K$2501))</f>
        <v/>
      </c>
      <c r="F45">
        <f>IF(A45="","",COUNTIF(TripSummary!$B$2:$B$2501,A45))</f>
        <v/>
      </c>
      <c r="G45">
        <f>IF(A45="","",IFERROR(ROWS(UNIQUE(FILTER(TripSummary!$H$2:$H$2501,TripSummary!$B$2:$B$2501=A45))),0))</f>
        <v/>
      </c>
      <c r="H45">
        <f>IF(OR(A45="",E45=0),"" ,D45/E45)</f>
        <v/>
      </c>
      <c r="I45">
        <f>IF(OR(A45="",B45=0),"",D45/B45)</f>
        <v/>
      </c>
      <c r="J45">
        <f>IF(OR(A45="",B45=0),"",C45/B45)</f>
        <v/>
      </c>
      <c r="K45">
        <f>IF(OR(A45="",G45=0),"",F45/G45)</f>
        <v/>
      </c>
      <c r="L45">
        <f>IF(A45="","",IFERROR(C45/SUMIF(TripSummary!$B$2:$B$2501,A45,TripSummary!$I$2:$I$2501),0))</f>
        <v/>
      </c>
      <c r="M45">
        <f>IF(OR(A45="",G45=0),"",C45/G45)</f>
        <v/>
      </c>
      <c r="N45">
        <f>IF(OR(A45="",F45=0),"",(MAXIFS(TripSummary!$L$2:$L$2501,TripSummary!$B$2:$B$2501,A45)-MINIFS(TripSummary!$L$2:$L$2501,TripSummary!$B$2:$B$2501,A45))*1440/F45)</f>
        <v/>
      </c>
    </row>
    <row r="46">
      <c r="B46">
        <f>IF(A46="","",SUMIF(TripSummary!$B$2:$B$2501,A46,TripSummary!$E$2:$E$2501))</f>
        <v/>
      </c>
      <c r="C46">
        <f>IF(A46="","",SUMIF(TripSummary!$B$2:$B$2501,A46,TripSummary!$F$2:$F$2501))</f>
        <v/>
      </c>
      <c r="D46">
        <f>IF(A46="","",SUMIF(TripSummary!$B$2:$B$2501,A46,TripSummary!$G$2:$G$2501))</f>
        <v/>
      </c>
      <c r="E46">
        <f>IF(A46="","",SUMIF(TripSummary!$B$2:$B$2501,A46,TripSummary!$K$2:$K$2501))</f>
        <v/>
      </c>
      <c r="F46">
        <f>IF(A46="","",COUNTIF(TripSummary!$B$2:$B$2501,A46))</f>
        <v/>
      </c>
      <c r="G46">
        <f>IF(A46="","",IFERROR(ROWS(UNIQUE(FILTER(TripSummary!$H$2:$H$2501,TripSummary!$B$2:$B$2501=A46))),0))</f>
        <v/>
      </c>
      <c r="H46">
        <f>IF(OR(A46="",E46=0),"" ,D46/E46)</f>
        <v/>
      </c>
      <c r="I46">
        <f>IF(OR(A46="",B46=0),"",D46/B46)</f>
        <v/>
      </c>
      <c r="J46">
        <f>IF(OR(A46="",B46=0),"",C46/B46)</f>
        <v/>
      </c>
      <c r="K46">
        <f>IF(OR(A46="",G46=0),"",F46/G46)</f>
        <v/>
      </c>
      <c r="L46">
        <f>IF(A46="","",IFERROR(C46/SUMIF(TripSummary!$B$2:$B$2501,A46,TripSummary!$I$2:$I$2501),0))</f>
        <v/>
      </c>
      <c r="M46">
        <f>IF(OR(A46="",G46=0),"",C46/G46)</f>
        <v/>
      </c>
      <c r="N46">
        <f>IF(OR(A46="",F46=0),"",(MAXIFS(TripSummary!$L$2:$L$2501,TripSummary!$B$2:$B$2501,A46)-MINIFS(TripSummary!$L$2:$L$2501,TripSummary!$B$2:$B$2501,A46))*1440/F46)</f>
        <v/>
      </c>
    </row>
    <row r="47">
      <c r="B47">
        <f>IF(A47="","",SUMIF(TripSummary!$B$2:$B$2501,A47,TripSummary!$E$2:$E$2501))</f>
        <v/>
      </c>
      <c r="C47">
        <f>IF(A47="","",SUMIF(TripSummary!$B$2:$B$2501,A47,TripSummary!$F$2:$F$2501))</f>
        <v/>
      </c>
      <c r="D47">
        <f>IF(A47="","",SUMIF(TripSummary!$B$2:$B$2501,A47,TripSummary!$G$2:$G$2501))</f>
        <v/>
      </c>
      <c r="E47">
        <f>IF(A47="","",SUMIF(TripSummary!$B$2:$B$2501,A47,TripSummary!$K$2:$K$2501))</f>
        <v/>
      </c>
      <c r="F47">
        <f>IF(A47="","",COUNTIF(TripSummary!$B$2:$B$2501,A47))</f>
        <v/>
      </c>
      <c r="G47">
        <f>IF(A47="","",IFERROR(ROWS(UNIQUE(FILTER(TripSummary!$H$2:$H$2501,TripSummary!$B$2:$B$2501=A47))),0))</f>
        <v/>
      </c>
      <c r="H47">
        <f>IF(OR(A47="",E47=0),"" ,D47/E47)</f>
        <v/>
      </c>
      <c r="I47">
        <f>IF(OR(A47="",B47=0),"",D47/B47)</f>
        <v/>
      </c>
      <c r="J47">
        <f>IF(OR(A47="",B47=0),"",C47/B47)</f>
        <v/>
      </c>
      <c r="K47">
        <f>IF(OR(A47="",G47=0),"",F47/G47)</f>
        <v/>
      </c>
      <c r="L47">
        <f>IF(A47="","",IFERROR(C47/SUMIF(TripSummary!$B$2:$B$2501,A47,TripSummary!$I$2:$I$2501),0))</f>
        <v/>
      </c>
      <c r="M47">
        <f>IF(OR(A47="",G47=0),"",C47/G47)</f>
        <v/>
      </c>
      <c r="N47">
        <f>IF(OR(A47="",F47=0),"",(MAXIFS(TripSummary!$L$2:$L$2501,TripSummary!$B$2:$B$2501,A47)-MINIFS(TripSummary!$L$2:$L$2501,TripSummary!$B$2:$B$2501,A47))*1440/F47)</f>
        <v/>
      </c>
    </row>
    <row r="48">
      <c r="B48">
        <f>IF(A48="","",SUMIF(TripSummary!$B$2:$B$2501,A48,TripSummary!$E$2:$E$2501))</f>
        <v/>
      </c>
      <c r="C48">
        <f>IF(A48="","",SUMIF(TripSummary!$B$2:$B$2501,A48,TripSummary!$F$2:$F$2501))</f>
        <v/>
      </c>
      <c r="D48">
        <f>IF(A48="","",SUMIF(TripSummary!$B$2:$B$2501,A48,TripSummary!$G$2:$G$2501))</f>
        <v/>
      </c>
      <c r="E48">
        <f>IF(A48="","",SUMIF(TripSummary!$B$2:$B$2501,A48,TripSummary!$K$2:$K$2501))</f>
        <v/>
      </c>
      <c r="F48">
        <f>IF(A48="","",COUNTIF(TripSummary!$B$2:$B$2501,A48))</f>
        <v/>
      </c>
      <c r="G48">
        <f>IF(A48="","",IFERROR(ROWS(UNIQUE(FILTER(TripSummary!$H$2:$H$2501,TripSummary!$B$2:$B$2501=A48))),0))</f>
        <v/>
      </c>
      <c r="H48">
        <f>IF(OR(A48="",E48=0),"" ,D48/E48)</f>
        <v/>
      </c>
      <c r="I48">
        <f>IF(OR(A48="",B48=0),"",D48/B48)</f>
        <v/>
      </c>
      <c r="J48">
        <f>IF(OR(A48="",B48=0),"",C48/B48)</f>
        <v/>
      </c>
      <c r="K48">
        <f>IF(OR(A48="",G48=0),"",F48/G48)</f>
        <v/>
      </c>
      <c r="L48">
        <f>IF(A48="","",IFERROR(C48/SUMIF(TripSummary!$B$2:$B$2501,A48,TripSummary!$I$2:$I$2501),0))</f>
        <v/>
      </c>
      <c r="M48">
        <f>IF(OR(A48="",G48=0),"",C48/G48)</f>
        <v/>
      </c>
      <c r="N48">
        <f>IF(OR(A48="",F48=0),"",(MAXIFS(TripSummary!$L$2:$L$2501,TripSummary!$B$2:$B$2501,A48)-MINIFS(TripSummary!$L$2:$L$2501,TripSummary!$B$2:$B$2501,A48))*1440/F48)</f>
        <v/>
      </c>
    </row>
    <row r="49">
      <c r="B49">
        <f>IF(A49="","",SUMIF(TripSummary!$B$2:$B$2501,A49,TripSummary!$E$2:$E$2501))</f>
        <v/>
      </c>
      <c r="C49">
        <f>IF(A49="","",SUMIF(TripSummary!$B$2:$B$2501,A49,TripSummary!$F$2:$F$2501))</f>
        <v/>
      </c>
      <c r="D49">
        <f>IF(A49="","",SUMIF(TripSummary!$B$2:$B$2501,A49,TripSummary!$G$2:$G$2501))</f>
        <v/>
      </c>
      <c r="E49">
        <f>IF(A49="","",SUMIF(TripSummary!$B$2:$B$2501,A49,TripSummary!$K$2:$K$2501))</f>
        <v/>
      </c>
      <c r="F49">
        <f>IF(A49="","",COUNTIF(TripSummary!$B$2:$B$2501,A49))</f>
        <v/>
      </c>
      <c r="G49">
        <f>IF(A49="","",IFERROR(ROWS(UNIQUE(FILTER(TripSummary!$H$2:$H$2501,TripSummary!$B$2:$B$2501=A49))),0))</f>
        <v/>
      </c>
      <c r="H49">
        <f>IF(OR(A49="",E49=0),"" ,D49/E49)</f>
        <v/>
      </c>
      <c r="I49">
        <f>IF(OR(A49="",B49=0),"",D49/B49)</f>
        <v/>
      </c>
      <c r="J49">
        <f>IF(OR(A49="",B49=0),"",C49/B49)</f>
        <v/>
      </c>
      <c r="K49">
        <f>IF(OR(A49="",G49=0),"",F49/G49)</f>
        <v/>
      </c>
      <c r="L49">
        <f>IF(A49="","",IFERROR(C49/SUMIF(TripSummary!$B$2:$B$2501,A49,TripSummary!$I$2:$I$2501),0))</f>
        <v/>
      </c>
      <c r="M49">
        <f>IF(OR(A49="",G49=0),"",C49/G49)</f>
        <v/>
      </c>
      <c r="N49">
        <f>IF(OR(A49="",F49=0),"",(MAXIFS(TripSummary!$L$2:$L$2501,TripSummary!$B$2:$B$2501,A49)-MINIFS(TripSummary!$L$2:$L$2501,TripSummary!$B$2:$B$2501,A49))*1440/F49)</f>
        <v/>
      </c>
    </row>
    <row r="50">
      <c r="B50">
        <f>IF(A50="","",SUMIF(TripSummary!$B$2:$B$2501,A50,TripSummary!$E$2:$E$2501))</f>
        <v/>
      </c>
      <c r="C50">
        <f>IF(A50="","",SUMIF(TripSummary!$B$2:$B$2501,A50,TripSummary!$F$2:$F$2501))</f>
        <v/>
      </c>
      <c r="D50">
        <f>IF(A50="","",SUMIF(TripSummary!$B$2:$B$2501,A50,TripSummary!$G$2:$G$2501))</f>
        <v/>
      </c>
      <c r="E50">
        <f>IF(A50="","",SUMIF(TripSummary!$B$2:$B$2501,A50,TripSummary!$K$2:$K$2501))</f>
        <v/>
      </c>
      <c r="F50">
        <f>IF(A50="","",COUNTIF(TripSummary!$B$2:$B$2501,A50))</f>
        <v/>
      </c>
      <c r="G50">
        <f>IF(A50="","",IFERROR(ROWS(UNIQUE(FILTER(TripSummary!$H$2:$H$2501,TripSummary!$B$2:$B$2501=A50))),0))</f>
        <v/>
      </c>
      <c r="H50">
        <f>IF(OR(A50="",E50=0),"" ,D50/E50)</f>
        <v/>
      </c>
      <c r="I50">
        <f>IF(OR(A50="",B50=0),"",D50/B50)</f>
        <v/>
      </c>
      <c r="J50">
        <f>IF(OR(A50="",B50=0),"",C50/B50)</f>
        <v/>
      </c>
      <c r="K50">
        <f>IF(OR(A50="",G50=0),"",F50/G50)</f>
        <v/>
      </c>
      <c r="L50">
        <f>IF(A50="","",IFERROR(C50/SUMIF(TripSummary!$B$2:$B$2501,A50,TripSummary!$I$2:$I$2501),0))</f>
        <v/>
      </c>
      <c r="M50">
        <f>IF(OR(A50="",G50=0),"",C50/G50)</f>
        <v/>
      </c>
      <c r="N50">
        <f>IF(OR(A50="",F50=0),"",(MAXIFS(TripSummary!$L$2:$L$2501,TripSummary!$B$2:$B$2501,A50)-MINIFS(TripSummary!$L$2:$L$2501,TripSummary!$B$2:$B$2501,A50))*1440/F50)</f>
        <v/>
      </c>
    </row>
    <row r="51">
      <c r="B51">
        <f>IF(A51="","",SUMIF(TripSummary!$B$2:$B$2501,A51,TripSummary!$E$2:$E$2501))</f>
        <v/>
      </c>
      <c r="C51">
        <f>IF(A51="","",SUMIF(TripSummary!$B$2:$B$2501,A51,TripSummary!$F$2:$F$2501))</f>
        <v/>
      </c>
      <c r="D51">
        <f>IF(A51="","",SUMIF(TripSummary!$B$2:$B$2501,A51,TripSummary!$G$2:$G$2501))</f>
        <v/>
      </c>
      <c r="E51">
        <f>IF(A51="","",SUMIF(TripSummary!$B$2:$B$2501,A51,TripSummary!$K$2:$K$2501))</f>
        <v/>
      </c>
      <c r="F51">
        <f>IF(A51="","",COUNTIF(TripSummary!$B$2:$B$2501,A51))</f>
        <v/>
      </c>
      <c r="G51">
        <f>IF(A51="","",IFERROR(ROWS(UNIQUE(FILTER(TripSummary!$H$2:$H$2501,TripSummary!$B$2:$B$2501=A51))),0))</f>
        <v/>
      </c>
      <c r="H51">
        <f>IF(OR(A51="",E51=0),"" ,D51/E51)</f>
        <v/>
      </c>
      <c r="I51">
        <f>IF(OR(A51="",B51=0),"",D51/B51)</f>
        <v/>
      </c>
      <c r="J51">
        <f>IF(OR(A51="",B51=0),"",C51/B51)</f>
        <v/>
      </c>
      <c r="K51">
        <f>IF(OR(A51="",G51=0),"",F51/G51)</f>
        <v/>
      </c>
      <c r="L51">
        <f>IF(A51="","",IFERROR(C51/SUMIF(TripSummary!$B$2:$B$2501,A51,TripSummary!$I$2:$I$2501),0))</f>
        <v/>
      </c>
      <c r="M51">
        <f>IF(OR(A51="",G51=0),"",C51/G51)</f>
        <v/>
      </c>
      <c r="N51">
        <f>IF(OR(A51="",F51=0),"",(MAXIFS(TripSummary!$L$2:$L$2501,TripSummary!$B$2:$B$2501,A51)-MINIFS(TripSummary!$L$2:$L$2501,TripSummary!$B$2:$B$2501,A51))*1440/F51)</f>
        <v/>
      </c>
    </row>
    <row r="52">
      <c r="B52">
        <f>IF(A52="","",SUMIF(TripSummary!$B$2:$B$2501,A52,TripSummary!$E$2:$E$2501))</f>
        <v/>
      </c>
      <c r="C52">
        <f>IF(A52="","",SUMIF(TripSummary!$B$2:$B$2501,A52,TripSummary!$F$2:$F$2501))</f>
        <v/>
      </c>
      <c r="D52">
        <f>IF(A52="","",SUMIF(TripSummary!$B$2:$B$2501,A52,TripSummary!$G$2:$G$2501))</f>
        <v/>
      </c>
      <c r="E52">
        <f>IF(A52="","",SUMIF(TripSummary!$B$2:$B$2501,A52,TripSummary!$K$2:$K$2501))</f>
        <v/>
      </c>
      <c r="F52">
        <f>IF(A52="","",COUNTIF(TripSummary!$B$2:$B$2501,A52))</f>
        <v/>
      </c>
      <c r="G52">
        <f>IF(A52="","",IFERROR(ROWS(UNIQUE(FILTER(TripSummary!$H$2:$H$2501,TripSummary!$B$2:$B$2501=A52))),0))</f>
        <v/>
      </c>
      <c r="H52">
        <f>IF(OR(A52="",E52=0),"" ,D52/E52)</f>
        <v/>
      </c>
      <c r="I52">
        <f>IF(OR(A52="",B52=0),"",D52/B52)</f>
        <v/>
      </c>
      <c r="J52">
        <f>IF(OR(A52="",B52=0),"",C52/B52)</f>
        <v/>
      </c>
      <c r="K52">
        <f>IF(OR(A52="",G52=0),"",F52/G52)</f>
        <v/>
      </c>
      <c r="L52">
        <f>IF(A52="","",IFERROR(C52/SUMIF(TripSummary!$B$2:$B$2501,A52,TripSummary!$I$2:$I$2501),0))</f>
        <v/>
      </c>
      <c r="M52">
        <f>IF(OR(A52="",G52=0),"",C52/G52)</f>
        <v/>
      </c>
      <c r="N52">
        <f>IF(OR(A52="",F52=0),"",(MAXIFS(TripSummary!$L$2:$L$2501,TripSummary!$B$2:$B$2501,A52)-MINIFS(TripSummary!$L$2:$L$2501,TripSummary!$B$2:$B$2501,A52))*1440/F52)</f>
        <v/>
      </c>
    </row>
    <row r="53">
      <c r="B53">
        <f>IF(A53="","",SUMIF(TripSummary!$B$2:$B$2501,A53,TripSummary!$E$2:$E$2501))</f>
        <v/>
      </c>
      <c r="C53">
        <f>IF(A53="","",SUMIF(TripSummary!$B$2:$B$2501,A53,TripSummary!$F$2:$F$2501))</f>
        <v/>
      </c>
      <c r="D53">
        <f>IF(A53="","",SUMIF(TripSummary!$B$2:$B$2501,A53,TripSummary!$G$2:$G$2501))</f>
        <v/>
      </c>
      <c r="E53">
        <f>IF(A53="","",SUMIF(TripSummary!$B$2:$B$2501,A53,TripSummary!$K$2:$K$2501))</f>
        <v/>
      </c>
      <c r="F53">
        <f>IF(A53="","",COUNTIF(TripSummary!$B$2:$B$2501,A53))</f>
        <v/>
      </c>
      <c r="G53">
        <f>IF(A53="","",IFERROR(ROWS(UNIQUE(FILTER(TripSummary!$H$2:$H$2501,TripSummary!$B$2:$B$2501=A53))),0))</f>
        <v/>
      </c>
      <c r="H53">
        <f>IF(OR(A53="",E53=0),"" ,D53/E53)</f>
        <v/>
      </c>
      <c r="I53">
        <f>IF(OR(A53="",B53=0),"",D53/B53)</f>
        <v/>
      </c>
      <c r="J53">
        <f>IF(OR(A53="",B53=0),"",C53/B53)</f>
        <v/>
      </c>
      <c r="K53">
        <f>IF(OR(A53="",G53=0),"",F53/G53)</f>
        <v/>
      </c>
      <c r="L53">
        <f>IF(A53="","",IFERROR(C53/SUMIF(TripSummary!$B$2:$B$2501,A53,TripSummary!$I$2:$I$2501),0))</f>
        <v/>
      </c>
      <c r="M53">
        <f>IF(OR(A53="",G53=0),"",C53/G53)</f>
        <v/>
      </c>
      <c r="N53">
        <f>IF(OR(A53="",F53=0),"",(MAXIFS(TripSummary!$L$2:$L$2501,TripSummary!$B$2:$B$2501,A53)-MINIFS(TripSummary!$L$2:$L$2501,TripSummary!$B$2:$B$2501,A53))*1440/F53)</f>
        <v/>
      </c>
    </row>
    <row r="54">
      <c r="B54">
        <f>IF(A54="","",SUMIF(TripSummary!$B$2:$B$2501,A54,TripSummary!$E$2:$E$2501))</f>
        <v/>
      </c>
      <c r="C54">
        <f>IF(A54="","",SUMIF(TripSummary!$B$2:$B$2501,A54,TripSummary!$F$2:$F$2501))</f>
        <v/>
      </c>
      <c r="D54">
        <f>IF(A54="","",SUMIF(TripSummary!$B$2:$B$2501,A54,TripSummary!$G$2:$G$2501))</f>
        <v/>
      </c>
      <c r="E54">
        <f>IF(A54="","",SUMIF(TripSummary!$B$2:$B$2501,A54,TripSummary!$K$2:$K$2501))</f>
        <v/>
      </c>
      <c r="F54">
        <f>IF(A54="","",COUNTIF(TripSummary!$B$2:$B$2501,A54))</f>
        <v/>
      </c>
      <c r="G54">
        <f>IF(A54="","",IFERROR(ROWS(UNIQUE(FILTER(TripSummary!$H$2:$H$2501,TripSummary!$B$2:$B$2501=A54))),0))</f>
        <v/>
      </c>
      <c r="H54">
        <f>IF(OR(A54="",E54=0),"" ,D54/E54)</f>
        <v/>
      </c>
      <c r="I54">
        <f>IF(OR(A54="",B54=0),"",D54/B54)</f>
        <v/>
      </c>
      <c r="J54">
        <f>IF(OR(A54="",B54=0),"",C54/B54)</f>
        <v/>
      </c>
      <c r="K54">
        <f>IF(OR(A54="",G54=0),"",F54/G54)</f>
        <v/>
      </c>
      <c r="L54">
        <f>IF(A54="","",IFERROR(C54/SUMIF(TripSummary!$B$2:$B$2501,A54,TripSummary!$I$2:$I$2501),0))</f>
        <v/>
      </c>
      <c r="M54">
        <f>IF(OR(A54="",G54=0),"",C54/G54)</f>
        <v/>
      </c>
      <c r="N54">
        <f>IF(OR(A54="",F54=0),"",(MAXIFS(TripSummary!$L$2:$L$2501,TripSummary!$B$2:$B$2501,A54)-MINIFS(TripSummary!$L$2:$L$2501,TripSummary!$B$2:$B$2501,A54))*1440/F54)</f>
        <v/>
      </c>
    </row>
    <row r="55">
      <c r="B55">
        <f>IF(A55="","",SUMIF(TripSummary!$B$2:$B$2501,A55,TripSummary!$E$2:$E$2501))</f>
        <v/>
      </c>
      <c r="C55">
        <f>IF(A55="","",SUMIF(TripSummary!$B$2:$B$2501,A55,TripSummary!$F$2:$F$2501))</f>
        <v/>
      </c>
      <c r="D55">
        <f>IF(A55="","",SUMIF(TripSummary!$B$2:$B$2501,A55,TripSummary!$G$2:$G$2501))</f>
        <v/>
      </c>
      <c r="E55">
        <f>IF(A55="","",SUMIF(TripSummary!$B$2:$B$2501,A55,TripSummary!$K$2:$K$2501))</f>
        <v/>
      </c>
      <c r="F55">
        <f>IF(A55="","",COUNTIF(TripSummary!$B$2:$B$2501,A55))</f>
        <v/>
      </c>
      <c r="G55">
        <f>IF(A55="","",IFERROR(ROWS(UNIQUE(FILTER(TripSummary!$H$2:$H$2501,TripSummary!$B$2:$B$2501=A55))),0))</f>
        <v/>
      </c>
      <c r="H55">
        <f>IF(OR(A55="",E55=0),"" ,D55/E55)</f>
        <v/>
      </c>
      <c r="I55">
        <f>IF(OR(A55="",B55=0),"",D55/B55)</f>
        <v/>
      </c>
      <c r="J55">
        <f>IF(OR(A55="",B55=0),"",C55/B55)</f>
        <v/>
      </c>
      <c r="K55">
        <f>IF(OR(A55="",G55=0),"",F55/G55)</f>
        <v/>
      </c>
      <c r="L55">
        <f>IF(A55="","",IFERROR(C55/SUMIF(TripSummary!$B$2:$B$2501,A55,TripSummary!$I$2:$I$2501),0))</f>
        <v/>
      </c>
      <c r="M55">
        <f>IF(OR(A55="",G55=0),"",C55/G55)</f>
        <v/>
      </c>
      <c r="N55">
        <f>IF(OR(A55="",F55=0),"",(MAXIFS(TripSummary!$L$2:$L$2501,TripSummary!$B$2:$B$2501,A55)-MINIFS(TripSummary!$L$2:$L$2501,TripSummary!$B$2:$B$2501,A55))*1440/F55)</f>
        <v/>
      </c>
    </row>
    <row r="56">
      <c r="B56">
        <f>IF(A56="","",SUMIF(TripSummary!$B$2:$B$2501,A56,TripSummary!$E$2:$E$2501))</f>
        <v/>
      </c>
      <c r="C56">
        <f>IF(A56="","",SUMIF(TripSummary!$B$2:$B$2501,A56,TripSummary!$F$2:$F$2501))</f>
        <v/>
      </c>
      <c r="D56">
        <f>IF(A56="","",SUMIF(TripSummary!$B$2:$B$2501,A56,TripSummary!$G$2:$G$2501))</f>
        <v/>
      </c>
      <c r="E56">
        <f>IF(A56="","",SUMIF(TripSummary!$B$2:$B$2501,A56,TripSummary!$K$2:$K$2501))</f>
        <v/>
      </c>
      <c r="F56">
        <f>IF(A56="","",COUNTIF(TripSummary!$B$2:$B$2501,A56))</f>
        <v/>
      </c>
      <c r="G56">
        <f>IF(A56="","",IFERROR(ROWS(UNIQUE(FILTER(TripSummary!$H$2:$H$2501,TripSummary!$B$2:$B$2501=A56))),0))</f>
        <v/>
      </c>
      <c r="H56">
        <f>IF(OR(A56="",E56=0),"" ,D56/E56)</f>
        <v/>
      </c>
      <c r="I56">
        <f>IF(OR(A56="",B56=0),"",D56/B56)</f>
        <v/>
      </c>
      <c r="J56">
        <f>IF(OR(A56="",B56=0),"",C56/B56)</f>
        <v/>
      </c>
      <c r="K56">
        <f>IF(OR(A56="",G56=0),"",F56/G56)</f>
        <v/>
      </c>
      <c r="L56">
        <f>IF(A56="","",IFERROR(C56/SUMIF(TripSummary!$B$2:$B$2501,A56,TripSummary!$I$2:$I$2501),0))</f>
        <v/>
      </c>
      <c r="M56">
        <f>IF(OR(A56="",G56=0),"",C56/G56)</f>
        <v/>
      </c>
      <c r="N56">
        <f>IF(OR(A56="",F56=0),"",(MAXIFS(TripSummary!$L$2:$L$2501,TripSummary!$B$2:$B$2501,A56)-MINIFS(TripSummary!$L$2:$L$2501,TripSummary!$B$2:$B$2501,A56))*1440/F56)</f>
        <v/>
      </c>
    </row>
    <row r="57">
      <c r="B57">
        <f>IF(A57="","",SUMIF(TripSummary!$B$2:$B$2501,A57,TripSummary!$E$2:$E$2501))</f>
        <v/>
      </c>
      <c r="C57">
        <f>IF(A57="","",SUMIF(TripSummary!$B$2:$B$2501,A57,TripSummary!$F$2:$F$2501))</f>
        <v/>
      </c>
      <c r="D57">
        <f>IF(A57="","",SUMIF(TripSummary!$B$2:$B$2501,A57,TripSummary!$G$2:$G$2501))</f>
        <v/>
      </c>
      <c r="E57">
        <f>IF(A57="","",SUMIF(TripSummary!$B$2:$B$2501,A57,TripSummary!$K$2:$K$2501))</f>
        <v/>
      </c>
      <c r="F57">
        <f>IF(A57="","",COUNTIF(TripSummary!$B$2:$B$2501,A57))</f>
        <v/>
      </c>
      <c r="G57">
        <f>IF(A57="","",IFERROR(ROWS(UNIQUE(FILTER(TripSummary!$H$2:$H$2501,TripSummary!$B$2:$B$2501=A57))),0))</f>
        <v/>
      </c>
      <c r="H57">
        <f>IF(OR(A57="",E57=0),"" ,D57/E57)</f>
        <v/>
      </c>
      <c r="I57">
        <f>IF(OR(A57="",B57=0),"",D57/B57)</f>
        <v/>
      </c>
      <c r="J57">
        <f>IF(OR(A57="",B57=0),"",C57/B57)</f>
        <v/>
      </c>
      <c r="K57">
        <f>IF(OR(A57="",G57=0),"",F57/G57)</f>
        <v/>
      </c>
      <c r="L57">
        <f>IF(A57="","",IFERROR(C57/SUMIF(TripSummary!$B$2:$B$2501,A57,TripSummary!$I$2:$I$2501),0))</f>
        <v/>
      </c>
      <c r="M57">
        <f>IF(OR(A57="",G57=0),"",C57/G57)</f>
        <v/>
      </c>
      <c r="N57">
        <f>IF(OR(A57="",F57=0),"",(MAXIFS(TripSummary!$L$2:$L$2501,TripSummary!$B$2:$B$2501,A57)-MINIFS(TripSummary!$L$2:$L$2501,TripSummary!$B$2:$B$2501,A57))*1440/F57)</f>
        <v/>
      </c>
    </row>
    <row r="58">
      <c r="B58">
        <f>IF(A58="","",SUMIF(TripSummary!$B$2:$B$2501,A58,TripSummary!$E$2:$E$2501))</f>
        <v/>
      </c>
      <c r="C58">
        <f>IF(A58="","",SUMIF(TripSummary!$B$2:$B$2501,A58,TripSummary!$F$2:$F$2501))</f>
        <v/>
      </c>
      <c r="D58">
        <f>IF(A58="","",SUMIF(TripSummary!$B$2:$B$2501,A58,TripSummary!$G$2:$G$2501))</f>
        <v/>
      </c>
      <c r="E58">
        <f>IF(A58="","",SUMIF(TripSummary!$B$2:$B$2501,A58,TripSummary!$K$2:$K$2501))</f>
        <v/>
      </c>
      <c r="F58">
        <f>IF(A58="","",COUNTIF(TripSummary!$B$2:$B$2501,A58))</f>
        <v/>
      </c>
      <c r="G58">
        <f>IF(A58="","",IFERROR(ROWS(UNIQUE(FILTER(TripSummary!$H$2:$H$2501,TripSummary!$B$2:$B$2501=A58))),0))</f>
        <v/>
      </c>
      <c r="H58">
        <f>IF(OR(A58="",E58=0),"" ,D58/E58)</f>
        <v/>
      </c>
      <c r="I58">
        <f>IF(OR(A58="",B58=0),"",D58/B58)</f>
        <v/>
      </c>
      <c r="J58">
        <f>IF(OR(A58="",B58=0),"",C58/B58)</f>
        <v/>
      </c>
      <c r="K58">
        <f>IF(OR(A58="",G58=0),"",F58/G58)</f>
        <v/>
      </c>
      <c r="L58">
        <f>IF(A58="","",IFERROR(C58/SUMIF(TripSummary!$B$2:$B$2501,A58,TripSummary!$I$2:$I$2501),0))</f>
        <v/>
      </c>
      <c r="M58">
        <f>IF(OR(A58="",G58=0),"",C58/G58)</f>
        <v/>
      </c>
      <c r="N58">
        <f>IF(OR(A58="",F58=0),"",(MAXIFS(TripSummary!$L$2:$L$2501,TripSummary!$B$2:$B$2501,A58)-MINIFS(TripSummary!$L$2:$L$2501,TripSummary!$B$2:$B$2501,A58))*1440/F58)</f>
        <v/>
      </c>
    </row>
    <row r="59">
      <c r="B59">
        <f>IF(A59="","",SUMIF(TripSummary!$B$2:$B$2501,A59,TripSummary!$E$2:$E$2501))</f>
        <v/>
      </c>
      <c r="C59">
        <f>IF(A59="","",SUMIF(TripSummary!$B$2:$B$2501,A59,TripSummary!$F$2:$F$2501))</f>
        <v/>
      </c>
      <c r="D59">
        <f>IF(A59="","",SUMIF(TripSummary!$B$2:$B$2501,A59,TripSummary!$G$2:$G$2501))</f>
        <v/>
      </c>
      <c r="E59">
        <f>IF(A59="","",SUMIF(TripSummary!$B$2:$B$2501,A59,TripSummary!$K$2:$K$2501))</f>
        <v/>
      </c>
      <c r="F59">
        <f>IF(A59="","",COUNTIF(TripSummary!$B$2:$B$2501,A59))</f>
        <v/>
      </c>
      <c r="G59">
        <f>IF(A59="","",IFERROR(ROWS(UNIQUE(FILTER(TripSummary!$H$2:$H$2501,TripSummary!$B$2:$B$2501=A59))),0))</f>
        <v/>
      </c>
      <c r="H59">
        <f>IF(OR(A59="",E59=0),"" ,D59/E59)</f>
        <v/>
      </c>
      <c r="I59">
        <f>IF(OR(A59="",B59=0),"",D59/B59)</f>
        <v/>
      </c>
      <c r="J59">
        <f>IF(OR(A59="",B59=0),"",C59/B59)</f>
        <v/>
      </c>
      <c r="K59">
        <f>IF(OR(A59="",G59=0),"",F59/G59)</f>
        <v/>
      </c>
      <c r="L59">
        <f>IF(A59="","",IFERROR(C59/SUMIF(TripSummary!$B$2:$B$2501,A59,TripSummary!$I$2:$I$2501),0))</f>
        <v/>
      </c>
      <c r="M59">
        <f>IF(OR(A59="",G59=0),"",C59/G59)</f>
        <v/>
      </c>
      <c r="N59">
        <f>IF(OR(A59="",F59=0),"",(MAXIFS(TripSummary!$L$2:$L$2501,TripSummary!$B$2:$B$2501,A59)-MINIFS(TripSummary!$L$2:$L$2501,TripSummary!$B$2:$B$2501,A59))*1440/F59)</f>
        <v/>
      </c>
    </row>
    <row r="60">
      <c r="B60">
        <f>IF(A60="","",SUMIF(TripSummary!$B$2:$B$2501,A60,TripSummary!$E$2:$E$2501))</f>
        <v/>
      </c>
      <c r="C60">
        <f>IF(A60="","",SUMIF(TripSummary!$B$2:$B$2501,A60,TripSummary!$F$2:$F$2501))</f>
        <v/>
      </c>
      <c r="D60">
        <f>IF(A60="","",SUMIF(TripSummary!$B$2:$B$2501,A60,TripSummary!$G$2:$G$2501))</f>
        <v/>
      </c>
      <c r="E60">
        <f>IF(A60="","",SUMIF(TripSummary!$B$2:$B$2501,A60,TripSummary!$K$2:$K$2501))</f>
        <v/>
      </c>
      <c r="F60">
        <f>IF(A60="","",COUNTIF(TripSummary!$B$2:$B$2501,A60))</f>
        <v/>
      </c>
      <c r="G60">
        <f>IF(A60="","",IFERROR(ROWS(UNIQUE(FILTER(TripSummary!$H$2:$H$2501,TripSummary!$B$2:$B$2501=A60))),0))</f>
        <v/>
      </c>
      <c r="H60">
        <f>IF(OR(A60="",E60=0),"" ,D60/E60)</f>
        <v/>
      </c>
      <c r="I60">
        <f>IF(OR(A60="",B60=0),"",D60/B60)</f>
        <v/>
      </c>
      <c r="J60">
        <f>IF(OR(A60="",B60=0),"",C60/B60)</f>
        <v/>
      </c>
      <c r="K60">
        <f>IF(OR(A60="",G60=0),"",F60/G60)</f>
        <v/>
      </c>
      <c r="L60">
        <f>IF(A60="","",IFERROR(C60/SUMIF(TripSummary!$B$2:$B$2501,A60,TripSummary!$I$2:$I$2501),0))</f>
        <v/>
      </c>
      <c r="M60">
        <f>IF(OR(A60="",G60=0),"",C60/G60)</f>
        <v/>
      </c>
      <c r="N60">
        <f>IF(OR(A60="",F60=0),"",(MAXIFS(TripSummary!$L$2:$L$2501,TripSummary!$B$2:$B$2501,A60)-MINIFS(TripSummary!$L$2:$L$2501,TripSummary!$B$2:$B$2501,A60))*1440/F60)</f>
        <v/>
      </c>
    </row>
    <row r="61">
      <c r="B61">
        <f>IF(A61="","",SUMIF(TripSummary!$B$2:$B$2501,A61,TripSummary!$E$2:$E$2501))</f>
        <v/>
      </c>
      <c r="C61">
        <f>IF(A61="","",SUMIF(TripSummary!$B$2:$B$2501,A61,TripSummary!$F$2:$F$2501))</f>
        <v/>
      </c>
      <c r="D61">
        <f>IF(A61="","",SUMIF(TripSummary!$B$2:$B$2501,A61,TripSummary!$G$2:$G$2501))</f>
        <v/>
      </c>
      <c r="E61">
        <f>IF(A61="","",SUMIF(TripSummary!$B$2:$B$2501,A61,TripSummary!$K$2:$K$2501))</f>
        <v/>
      </c>
      <c r="F61">
        <f>IF(A61="","",COUNTIF(TripSummary!$B$2:$B$2501,A61))</f>
        <v/>
      </c>
      <c r="G61">
        <f>IF(A61="","",IFERROR(ROWS(UNIQUE(FILTER(TripSummary!$H$2:$H$2501,TripSummary!$B$2:$B$2501=A61))),0))</f>
        <v/>
      </c>
      <c r="H61">
        <f>IF(OR(A61="",E61=0),"" ,D61/E61)</f>
        <v/>
      </c>
      <c r="I61">
        <f>IF(OR(A61="",B61=0),"",D61/B61)</f>
        <v/>
      </c>
      <c r="J61">
        <f>IF(OR(A61="",B61=0),"",C61/B61)</f>
        <v/>
      </c>
      <c r="K61">
        <f>IF(OR(A61="",G61=0),"",F61/G61)</f>
        <v/>
      </c>
      <c r="L61">
        <f>IF(A61="","",IFERROR(C61/SUMIF(TripSummary!$B$2:$B$2501,A61,TripSummary!$I$2:$I$2501),0))</f>
        <v/>
      </c>
      <c r="M61">
        <f>IF(OR(A61="",G61=0),"",C61/G61)</f>
        <v/>
      </c>
      <c r="N61">
        <f>IF(OR(A61="",F61=0),"",(MAXIFS(TripSummary!$L$2:$L$2501,TripSummary!$B$2:$B$2501,A61)-MINIFS(TripSummary!$L$2:$L$2501,TripSummary!$B$2:$B$2501,A61))*1440/F61)</f>
        <v/>
      </c>
    </row>
    <row r="62">
      <c r="B62">
        <f>IF(A62="","",SUMIF(TripSummary!$B$2:$B$2501,A62,TripSummary!$E$2:$E$2501))</f>
        <v/>
      </c>
      <c r="C62">
        <f>IF(A62="","",SUMIF(TripSummary!$B$2:$B$2501,A62,TripSummary!$F$2:$F$2501))</f>
        <v/>
      </c>
      <c r="D62">
        <f>IF(A62="","",SUMIF(TripSummary!$B$2:$B$2501,A62,TripSummary!$G$2:$G$2501))</f>
        <v/>
      </c>
      <c r="E62">
        <f>IF(A62="","",SUMIF(TripSummary!$B$2:$B$2501,A62,TripSummary!$K$2:$K$2501))</f>
        <v/>
      </c>
      <c r="F62">
        <f>IF(A62="","",COUNTIF(TripSummary!$B$2:$B$2501,A62))</f>
        <v/>
      </c>
      <c r="G62">
        <f>IF(A62="","",IFERROR(ROWS(UNIQUE(FILTER(TripSummary!$H$2:$H$2501,TripSummary!$B$2:$B$2501=A62))),0))</f>
        <v/>
      </c>
      <c r="H62">
        <f>IF(OR(A62="",E62=0),"" ,D62/E62)</f>
        <v/>
      </c>
      <c r="I62">
        <f>IF(OR(A62="",B62=0),"",D62/B62)</f>
        <v/>
      </c>
      <c r="J62">
        <f>IF(OR(A62="",B62=0),"",C62/B62)</f>
        <v/>
      </c>
      <c r="K62">
        <f>IF(OR(A62="",G62=0),"",F62/G62)</f>
        <v/>
      </c>
      <c r="L62">
        <f>IF(A62="","",IFERROR(C62/SUMIF(TripSummary!$B$2:$B$2501,A62,TripSummary!$I$2:$I$2501),0))</f>
        <v/>
      </c>
      <c r="M62">
        <f>IF(OR(A62="",G62=0),"",C62/G62)</f>
        <v/>
      </c>
      <c r="N62">
        <f>IF(OR(A62="",F62=0),"",(MAXIFS(TripSummary!$L$2:$L$2501,TripSummary!$B$2:$B$2501,A62)-MINIFS(TripSummary!$L$2:$L$2501,TripSummary!$B$2:$B$2501,A62))*1440/F62)</f>
        <v/>
      </c>
    </row>
    <row r="63">
      <c r="B63">
        <f>IF(A63="","",SUMIF(TripSummary!$B$2:$B$2501,A63,TripSummary!$E$2:$E$2501))</f>
        <v/>
      </c>
      <c r="C63">
        <f>IF(A63="","",SUMIF(TripSummary!$B$2:$B$2501,A63,TripSummary!$F$2:$F$2501))</f>
        <v/>
      </c>
      <c r="D63">
        <f>IF(A63="","",SUMIF(TripSummary!$B$2:$B$2501,A63,TripSummary!$G$2:$G$2501))</f>
        <v/>
      </c>
      <c r="E63">
        <f>IF(A63="","",SUMIF(TripSummary!$B$2:$B$2501,A63,TripSummary!$K$2:$K$2501))</f>
        <v/>
      </c>
      <c r="F63">
        <f>IF(A63="","",COUNTIF(TripSummary!$B$2:$B$2501,A63))</f>
        <v/>
      </c>
      <c r="G63">
        <f>IF(A63="","",IFERROR(ROWS(UNIQUE(FILTER(TripSummary!$H$2:$H$2501,TripSummary!$B$2:$B$2501=A63))),0))</f>
        <v/>
      </c>
      <c r="H63">
        <f>IF(OR(A63="",E63=0),"" ,D63/E63)</f>
        <v/>
      </c>
      <c r="I63">
        <f>IF(OR(A63="",B63=0),"",D63/B63)</f>
        <v/>
      </c>
      <c r="J63">
        <f>IF(OR(A63="",B63=0),"",C63/B63)</f>
        <v/>
      </c>
      <c r="K63">
        <f>IF(OR(A63="",G63=0),"",F63/G63)</f>
        <v/>
      </c>
      <c r="L63">
        <f>IF(A63="","",IFERROR(C63/SUMIF(TripSummary!$B$2:$B$2501,A63,TripSummary!$I$2:$I$2501),0))</f>
        <v/>
      </c>
      <c r="M63">
        <f>IF(OR(A63="",G63=0),"",C63/G63)</f>
        <v/>
      </c>
      <c r="N63">
        <f>IF(OR(A63="",F63=0),"",(MAXIFS(TripSummary!$L$2:$L$2501,TripSummary!$B$2:$B$2501,A63)-MINIFS(TripSummary!$L$2:$L$2501,TripSummary!$B$2:$B$2501,A63))*1440/F63)</f>
        <v/>
      </c>
    </row>
    <row r="64">
      <c r="B64">
        <f>IF(A64="","",SUMIF(TripSummary!$B$2:$B$2501,A64,TripSummary!$E$2:$E$2501))</f>
        <v/>
      </c>
      <c r="C64">
        <f>IF(A64="","",SUMIF(TripSummary!$B$2:$B$2501,A64,TripSummary!$F$2:$F$2501))</f>
        <v/>
      </c>
      <c r="D64">
        <f>IF(A64="","",SUMIF(TripSummary!$B$2:$B$2501,A64,TripSummary!$G$2:$G$2501))</f>
        <v/>
      </c>
      <c r="E64">
        <f>IF(A64="","",SUMIF(TripSummary!$B$2:$B$2501,A64,TripSummary!$K$2:$K$2501))</f>
        <v/>
      </c>
      <c r="F64">
        <f>IF(A64="","",COUNTIF(TripSummary!$B$2:$B$2501,A64))</f>
        <v/>
      </c>
      <c r="G64">
        <f>IF(A64="","",IFERROR(ROWS(UNIQUE(FILTER(TripSummary!$H$2:$H$2501,TripSummary!$B$2:$B$2501=A64))),0))</f>
        <v/>
      </c>
      <c r="H64">
        <f>IF(OR(A64="",E64=0),"" ,D64/E64)</f>
        <v/>
      </c>
      <c r="I64">
        <f>IF(OR(A64="",B64=0),"",D64/B64)</f>
        <v/>
      </c>
      <c r="J64">
        <f>IF(OR(A64="",B64=0),"",C64/B64)</f>
        <v/>
      </c>
      <c r="K64">
        <f>IF(OR(A64="",G64=0),"",F64/G64)</f>
        <v/>
      </c>
      <c r="L64">
        <f>IF(A64="","",IFERROR(C64/SUMIF(TripSummary!$B$2:$B$2501,A64,TripSummary!$I$2:$I$2501),0))</f>
        <v/>
      </c>
      <c r="M64">
        <f>IF(OR(A64="",G64=0),"",C64/G64)</f>
        <v/>
      </c>
      <c r="N64">
        <f>IF(OR(A64="",F64=0),"",(MAXIFS(TripSummary!$L$2:$L$2501,TripSummary!$B$2:$B$2501,A64)-MINIFS(TripSummary!$L$2:$L$2501,TripSummary!$B$2:$B$2501,A64))*1440/F64)</f>
        <v/>
      </c>
    </row>
    <row r="65">
      <c r="B65">
        <f>IF(A65="","",SUMIF(TripSummary!$B$2:$B$2501,A65,TripSummary!$E$2:$E$2501))</f>
        <v/>
      </c>
      <c r="C65">
        <f>IF(A65="","",SUMIF(TripSummary!$B$2:$B$2501,A65,TripSummary!$F$2:$F$2501))</f>
        <v/>
      </c>
      <c r="D65">
        <f>IF(A65="","",SUMIF(TripSummary!$B$2:$B$2501,A65,TripSummary!$G$2:$G$2501))</f>
        <v/>
      </c>
      <c r="E65">
        <f>IF(A65="","",SUMIF(TripSummary!$B$2:$B$2501,A65,TripSummary!$K$2:$K$2501))</f>
        <v/>
      </c>
      <c r="F65">
        <f>IF(A65="","",COUNTIF(TripSummary!$B$2:$B$2501,A65))</f>
        <v/>
      </c>
      <c r="G65">
        <f>IF(A65="","",IFERROR(ROWS(UNIQUE(FILTER(TripSummary!$H$2:$H$2501,TripSummary!$B$2:$B$2501=A65))),0))</f>
        <v/>
      </c>
      <c r="H65">
        <f>IF(OR(A65="",E65=0),"" ,D65/E65)</f>
        <v/>
      </c>
      <c r="I65">
        <f>IF(OR(A65="",B65=0),"",D65/B65)</f>
        <v/>
      </c>
      <c r="J65">
        <f>IF(OR(A65="",B65=0),"",C65/B65)</f>
        <v/>
      </c>
      <c r="K65">
        <f>IF(OR(A65="",G65=0),"",F65/G65)</f>
        <v/>
      </c>
      <c r="L65">
        <f>IF(A65="","",IFERROR(C65/SUMIF(TripSummary!$B$2:$B$2501,A65,TripSummary!$I$2:$I$2501),0))</f>
        <v/>
      </c>
      <c r="M65">
        <f>IF(OR(A65="",G65=0),"",C65/G65)</f>
        <v/>
      </c>
      <c r="N65">
        <f>IF(OR(A65="",F65=0),"",(MAXIFS(TripSummary!$L$2:$L$2501,TripSummary!$B$2:$B$2501,A65)-MINIFS(TripSummary!$L$2:$L$2501,TripSummary!$B$2:$B$2501,A65))*1440/F65)</f>
        <v/>
      </c>
    </row>
    <row r="66">
      <c r="B66">
        <f>IF(A66="","",SUMIF(TripSummary!$B$2:$B$2501,A66,TripSummary!$E$2:$E$2501))</f>
        <v/>
      </c>
      <c r="C66">
        <f>IF(A66="","",SUMIF(TripSummary!$B$2:$B$2501,A66,TripSummary!$F$2:$F$2501))</f>
        <v/>
      </c>
      <c r="D66">
        <f>IF(A66="","",SUMIF(TripSummary!$B$2:$B$2501,A66,TripSummary!$G$2:$G$2501))</f>
        <v/>
      </c>
      <c r="E66">
        <f>IF(A66="","",SUMIF(TripSummary!$B$2:$B$2501,A66,TripSummary!$K$2:$K$2501))</f>
        <v/>
      </c>
      <c r="F66">
        <f>IF(A66="","",COUNTIF(TripSummary!$B$2:$B$2501,A66))</f>
        <v/>
      </c>
      <c r="G66">
        <f>IF(A66="","",IFERROR(ROWS(UNIQUE(FILTER(TripSummary!$H$2:$H$2501,TripSummary!$B$2:$B$2501=A66))),0))</f>
        <v/>
      </c>
      <c r="H66">
        <f>IF(OR(A66="",E66=0),"" ,D66/E66)</f>
        <v/>
      </c>
      <c r="I66">
        <f>IF(OR(A66="",B66=0),"",D66/B66)</f>
        <v/>
      </c>
      <c r="J66">
        <f>IF(OR(A66="",B66=0),"",C66/B66)</f>
        <v/>
      </c>
      <c r="K66">
        <f>IF(OR(A66="",G66=0),"",F66/G66)</f>
        <v/>
      </c>
      <c r="L66">
        <f>IF(A66="","",IFERROR(C66/SUMIF(TripSummary!$B$2:$B$2501,A66,TripSummary!$I$2:$I$2501),0))</f>
        <v/>
      </c>
      <c r="M66">
        <f>IF(OR(A66="",G66=0),"",C66/G66)</f>
        <v/>
      </c>
      <c r="N66">
        <f>IF(OR(A66="",F66=0),"",(MAXIFS(TripSummary!$L$2:$L$2501,TripSummary!$B$2:$B$2501,A66)-MINIFS(TripSummary!$L$2:$L$2501,TripSummary!$B$2:$B$2501,A66))*1440/F66)</f>
        <v/>
      </c>
    </row>
    <row r="67">
      <c r="B67">
        <f>IF(A67="","",SUMIF(TripSummary!$B$2:$B$2501,A67,TripSummary!$E$2:$E$2501))</f>
        <v/>
      </c>
      <c r="C67">
        <f>IF(A67="","",SUMIF(TripSummary!$B$2:$B$2501,A67,TripSummary!$F$2:$F$2501))</f>
        <v/>
      </c>
      <c r="D67">
        <f>IF(A67="","",SUMIF(TripSummary!$B$2:$B$2501,A67,TripSummary!$G$2:$G$2501))</f>
        <v/>
      </c>
      <c r="E67">
        <f>IF(A67="","",SUMIF(TripSummary!$B$2:$B$2501,A67,TripSummary!$K$2:$K$2501))</f>
        <v/>
      </c>
      <c r="F67">
        <f>IF(A67="","",COUNTIF(TripSummary!$B$2:$B$2501,A67))</f>
        <v/>
      </c>
      <c r="G67">
        <f>IF(A67="","",IFERROR(ROWS(UNIQUE(FILTER(TripSummary!$H$2:$H$2501,TripSummary!$B$2:$B$2501=A67))),0))</f>
        <v/>
      </c>
      <c r="H67">
        <f>IF(OR(A67="",E67=0),"" ,D67/E67)</f>
        <v/>
      </c>
      <c r="I67">
        <f>IF(OR(A67="",B67=0),"",D67/B67)</f>
        <v/>
      </c>
      <c r="J67">
        <f>IF(OR(A67="",B67=0),"",C67/B67)</f>
        <v/>
      </c>
      <c r="K67">
        <f>IF(OR(A67="",G67=0),"",F67/G67)</f>
        <v/>
      </c>
      <c r="L67">
        <f>IF(A67="","",IFERROR(C67/SUMIF(TripSummary!$B$2:$B$2501,A67,TripSummary!$I$2:$I$2501),0))</f>
        <v/>
      </c>
      <c r="M67">
        <f>IF(OR(A67="",G67=0),"",C67/G67)</f>
        <v/>
      </c>
      <c r="N67">
        <f>IF(OR(A67="",F67=0),"",(MAXIFS(TripSummary!$L$2:$L$2501,TripSummary!$B$2:$B$2501,A67)-MINIFS(TripSummary!$L$2:$L$2501,TripSummary!$B$2:$B$2501,A67))*1440/F67)</f>
        <v/>
      </c>
    </row>
    <row r="68">
      <c r="B68">
        <f>IF(A68="","",SUMIF(TripSummary!$B$2:$B$2501,A68,TripSummary!$E$2:$E$2501))</f>
        <v/>
      </c>
      <c r="C68">
        <f>IF(A68="","",SUMIF(TripSummary!$B$2:$B$2501,A68,TripSummary!$F$2:$F$2501))</f>
        <v/>
      </c>
      <c r="D68">
        <f>IF(A68="","",SUMIF(TripSummary!$B$2:$B$2501,A68,TripSummary!$G$2:$G$2501))</f>
        <v/>
      </c>
      <c r="E68">
        <f>IF(A68="","",SUMIF(TripSummary!$B$2:$B$2501,A68,TripSummary!$K$2:$K$2501))</f>
        <v/>
      </c>
      <c r="F68">
        <f>IF(A68="","",COUNTIF(TripSummary!$B$2:$B$2501,A68))</f>
        <v/>
      </c>
      <c r="G68">
        <f>IF(A68="","",IFERROR(ROWS(UNIQUE(FILTER(TripSummary!$H$2:$H$2501,TripSummary!$B$2:$B$2501=A68))),0))</f>
        <v/>
      </c>
      <c r="H68">
        <f>IF(OR(A68="",E68=0),"" ,D68/E68)</f>
        <v/>
      </c>
      <c r="I68">
        <f>IF(OR(A68="",B68=0),"",D68/B68)</f>
        <v/>
      </c>
      <c r="J68">
        <f>IF(OR(A68="",B68=0),"",C68/B68)</f>
        <v/>
      </c>
      <c r="K68">
        <f>IF(OR(A68="",G68=0),"",F68/G68)</f>
        <v/>
      </c>
      <c r="L68">
        <f>IF(A68="","",IFERROR(C68/SUMIF(TripSummary!$B$2:$B$2501,A68,TripSummary!$I$2:$I$2501),0))</f>
        <v/>
      </c>
      <c r="M68">
        <f>IF(OR(A68="",G68=0),"",C68/G68)</f>
        <v/>
      </c>
      <c r="N68">
        <f>IF(OR(A68="",F68=0),"",(MAXIFS(TripSummary!$L$2:$L$2501,TripSummary!$B$2:$B$2501,A68)-MINIFS(TripSummary!$L$2:$L$2501,TripSummary!$B$2:$B$2501,A68))*1440/F68)</f>
        <v/>
      </c>
    </row>
    <row r="69">
      <c r="B69">
        <f>IF(A69="","",SUMIF(TripSummary!$B$2:$B$2501,A69,TripSummary!$E$2:$E$2501))</f>
        <v/>
      </c>
      <c r="C69">
        <f>IF(A69="","",SUMIF(TripSummary!$B$2:$B$2501,A69,TripSummary!$F$2:$F$2501))</f>
        <v/>
      </c>
      <c r="D69">
        <f>IF(A69="","",SUMIF(TripSummary!$B$2:$B$2501,A69,TripSummary!$G$2:$G$2501))</f>
        <v/>
      </c>
      <c r="E69">
        <f>IF(A69="","",SUMIF(TripSummary!$B$2:$B$2501,A69,TripSummary!$K$2:$K$2501))</f>
        <v/>
      </c>
      <c r="F69">
        <f>IF(A69="","",COUNTIF(TripSummary!$B$2:$B$2501,A69))</f>
        <v/>
      </c>
      <c r="G69">
        <f>IF(A69="","",IFERROR(ROWS(UNIQUE(FILTER(TripSummary!$H$2:$H$2501,TripSummary!$B$2:$B$2501=A69))),0))</f>
        <v/>
      </c>
      <c r="H69">
        <f>IF(OR(A69="",E69=0),"" ,D69/E69)</f>
        <v/>
      </c>
      <c r="I69">
        <f>IF(OR(A69="",B69=0),"",D69/B69)</f>
        <v/>
      </c>
      <c r="J69">
        <f>IF(OR(A69="",B69=0),"",C69/B69)</f>
        <v/>
      </c>
      <c r="K69">
        <f>IF(OR(A69="",G69=0),"",F69/G69)</f>
        <v/>
      </c>
      <c r="L69">
        <f>IF(A69="","",IFERROR(C69/SUMIF(TripSummary!$B$2:$B$2501,A69,TripSummary!$I$2:$I$2501),0))</f>
        <v/>
      </c>
      <c r="M69">
        <f>IF(OR(A69="",G69=0),"",C69/G69)</f>
        <v/>
      </c>
      <c r="N69">
        <f>IF(OR(A69="",F69=0),"",(MAXIFS(TripSummary!$L$2:$L$2501,TripSummary!$B$2:$B$2501,A69)-MINIFS(TripSummary!$L$2:$L$2501,TripSummary!$B$2:$B$2501,A69))*1440/F69)</f>
        <v/>
      </c>
    </row>
    <row r="70">
      <c r="B70">
        <f>IF(A70="","",SUMIF(TripSummary!$B$2:$B$2501,A70,TripSummary!$E$2:$E$2501))</f>
        <v/>
      </c>
      <c r="C70">
        <f>IF(A70="","",SUMIF(TripSummary!$B$2:$B$2501,A70,TripSummary!$F$2:$F$2501))</f>
        <v/>
      </c>
      <c r="D70">
        <f>IF(A70="","",SUMIF(TripSummary!$B$2:$B$2501,A70,TripSummary!$G$2:$G$2501))</f>
        <v/>
      </c>
      <c r="E70">
        <f>IF(A70="","",SUMIF(TripSummary!$B$2:$B$2501,A70,TripSummary!$K$2:$K$2501))</f>
        <v/>
      </c>
      <c r="F70">
        <f>IF(A70="","",COUNTIF(TripSummary!$B$2:$B$2501,A70))</f>
        <v/>
      </c>
      <c r="G70">
        <f>IF(A70="","",IFERROR(ROWS(UNIQUE(FILTER(TripSummary!$H$2:$H$2501,TripSummary!$B$2:$B$2501=A70))),0))</f>
        <v/>
      </c>
      <c r="H70">
        <f>IF(OR(A70="",E70=0),"" ,D70/E70)</f>
        <v/>
      </c>
      <c r="I70">
        <f>IF(OR(A70="",B70=0),"",D70/B70)</f>
        <v/>
      </c>
      <c r="J70">
        <f>IF(OR(A70="",B70=0),"",C70/B70)</f>
        <v/>
      </c>
      <c r="K70">
        <f>IF(OR(A70="",G70=0),"",F70/G70)</f>
        <v/>
      </c>
      <c r="L70">
        <f>IF(A70="","",IFERROR(C70/SUMIF(TripSummary!$B$2:$B$2501,A70,TripSummary!$I$2:$I$2501),0))</f>
        <v/>
      </c>
      <c r="M70">
        <f>IF(OR(A70="",G70=0),"",C70/G70)</f>
        <v/>
      </c>
      <c r="N70">
        <f>IF(OR(A70="",F70=0),"",(MAXIFS(TripSummary!$L$2:$L$2501,TripSummary!$B$2:$B$2501,A70)-MINIFS(TripSummary!$L$2:$L$2501,TripSummary!$B$2:$B$2501,A70))*1440/F70)</f>
        <v/>
      </c>
    </row>
    <row r="71">
      <c r="B71">
        <f>IF(A71="","",SUMIF(TripSummary!$B$2:$B$2501,A71,TripSummary!$E$2:$E$2501))</f>
        <v/>
      </c>
      <c r="C71">
        <f>IF(A71="","",SUMIF(TripSummary!$B$2:$B$2501,A71,TripSummary!$F$2:$F$2501))</f>
        <v/>
      </c>
      <c r="D71">
        <f>IF(A71="","",SUMIF(TripSummary!$B$2:$B$2501,A71,TripSummary!$G$2:$G$2501))</f>
        <v/>
      </c>
      <c r="E71">
        <f>IF(A71="","",SUMIF(TripSummary!$B$2:$B$2501,A71,TripSummary!$K$2:$K$2501))</f>
        <v/>
      </c>
      <c r="F71">
        <f>IF(A71="","",COUNTIF(TripSummary!$B$2:$B$2501,A71))</f>
        <v/>
      </c>
      <c r="G71">
        <f>IF(A71="","",IFERROR(ROWS(UNIQUE(FILTER(TripSummary!$H$2:$H$2501,TripSummary!$B$2:$B$2501=A71))),0))</f>
        <v/>
      </c>
      <c r="H71">
        <f>IF(OR(A71="",E71=0),"" ,D71/E71)</f>
        <v/>
      </c>
      <c r="I71">
        <f>IF(OR(A71="",B71=0),"",D71/B71)</f>
        <v/>
      </c>
      <c r="J71">
        <f>IF(OR(A71="",B71=0),"",C71/B71)</f>
        <v/>
      </c>
      <c r="K71">
        <f>IF(OR(A71="",G71=0),"",F71/G71)</f>
        <v/>
      </c>
      <c r="L71">
        <f>IF(A71="","",IFERROR(C71/SUMIF(TripSummary!$B$2:$B$2501,A71,TripSummary!$I$2:$I$2501),0))</f>
        <v/>
      </c>
      <c r="M71">
        <f>IF(OR(A71="",G71=0),"",C71/G71)</f>
        <v/>
      </c>
      <c r="N71">
        <f>IF(OR(A71="",F71=0),"",(MAXIFS(TripSummary!$L$2:$L$2501,TripSummary!$B$2:$B$2501,A71)-MINIFS(TripSummary!$L$2:$L$2501,TripSummary!$B$2:$B$2501,A71))*1440/F71)</f>
        <v/>
      </c>
    </row>
    <row r="72">
      <c r="B72">
        <f>IF(A72="","",SUMIF(TripSummary!$B$2:$B$2501,A72,TripSummary!$E$2:$E$2501))</f>
        <v/>
      </c>
      <c r="C72">
        <f>IF(A72="","",SUMIF(TripSummary!$B$2:$B$2501,A72,TripSummary!$F$2:$F$2501))</f>
        <v/>
      </c>
      <c r="D72">
        <f>IF(A72="","",SUMIF(TripSummary!$B$2:$B$2501,A72,TripSummary!$G$2:$G$2501))</f>
        <v/>
      </c>
      <c r="E72">
        <f>IF(A72="","",SUMIF(TripSummary!$B$2:$B$2501,A72,TripSummary!$K$2:$K$2501))</f>
        <v/>
      </c>
      <c r="F72">
        <f>IF(A72="","",COUNTIF(TripSummary!$B$2:$B$2501,A72))</f>
        <v/>
      </c>
      <c r="G72">
        <f>IF(A72="","",IFERROR(ROWS(UNIQUE(FILTER(TripSummary!$H$2:$H$2501,TripSummary!$B$2:$B$2501=A72))),0))</f>
        <v/>
      </c>
      <c r="H72">
        <f>IF(OR(A72="",E72=0),"" ,D72/E72)</f>
        <v/>
      </c>
      <c r="I72">
        <f>IF(OR(A72="",B72=0),"",D72/B72)</f>
        <v/>
      </c>
      <c r="J72">
        <f>IF(OR(A72="",B72=0),"",C72/B72)</f>
        <v/>
      </c>
      <c r="K72">
        <f>IF(OR(A72="",G72=0),"",F72/G72)</f>
        <v/>
      </c>
      <c r="L72">
        <f>IF(A72="","",IFERROR(C72/SUMIF(TripSummary!$B$2:$B$2501,A72,TripSummary!$I$2:$I$2501),0))</f>
        <v/>
      </c>
      <c r="M72">
        <f>IF(OR(A72="",G72=0),"",C72/G72)</f>
        <v/>
      </c>
      <c r="N72">
        <f>IF(OR(A72="",F72=0),"",(MAXIFS(TripSummary!$L$2:$L$2501,TripSummary!$B$2:$B$2501,A72)-MINIFS(TripSummary!$L$2:$L$2501,TripSummary!$B$2:$B$2501,A72))*1440/F72)</f>
        <v/>
      </c>
    </row>
    <row r="73">
      <c r="B73">
        <f>IF(A73="","",SUMIF(TripSummary!$B$2:$B$2501,A73,TripSummary!$E$2:$E$2501))</f>
        <v/>
      </c>
      <c r="C73">
        <f>IF(A73="","",SUMIF(TripSummary!$B$2:$B$2501,A73,TripSummary!$F$2:$F$2501))</f>
        <v/>
      </c>
      <c r="D73">
        <f>IF(A73="","",SUMIF(TripSummary!$B$2:$B$2501,A73,TripSummary!$G$2:$G$2501))</f>
        <v/>
      </c>
      <c r="E73">
        <f>IF(A73="","",SUMIF(TripSummary!$B$2:$B$2501,A73,TripSummary!$K$2:$K$2501))</f>
        <v/>
      </c>
      <c r="F73">
        <f>IF(A73="","",COUNTIF(TripSummary!$B$2:$B$2501,A73))</f>
        <v/>
      </c>
      <c r="G73">
        <f>IF(A73="","",IFERROR(ROWS(UNIQUE(FILTER(TripSummary!$H$2:$H$2501,TripSummary!$B$2:$B$2501=A73))),0))</f>
        <v/>
      </c>
      <c r="H73">
        <f>IF(OR(A73="",E73=0),"" ,D73/E73)</f>
        <v/>
      </c>
      <c r="I73">
        <f>IF(OR(A73="",B73=0),"",D73/B73)</f>
        <v/>
      </c>
      <c r="J73">
        <f>IF(OR(A73="",B73=0),"",C73/B73)</f>
        <v/>
      </c>
      <c r="K73">
        <f>IF(OR(A73="",G73=0),"",F73/G73)</f>
        <v/>
      </c>
      <c r="L73">
        <f>IF(A73="","",IFERROR(C73/SUMIF(TripSummary!$B$2:$B$2501,A73,TripSummary!$I$2:$I$2501),0))</f>
        <v/>
      </c>
      <c r="M73">
        <f>IF(OR(A73="",G73=0),"",C73/G73)</f>
        <v/>
      </c>
      <c r="N73">
        <f>IF(OR(A73="",F73=0),"",(MAXIFS(TripSummary!$L$2:$L$2501,TripSummary!$B$2:$B$2501,A73)-MINIFS(TripSummary!$L$2:$L$2501,TripSummary!$B$2:$B$2501,A73))*1440/F73)</f>
        <v/>
      </c>
    </row>
    <row r="74">
      <c r="B74">
        <f>IF(A74="","",SUMIF(TripSummary!$B$2:$B$2501,A74,TripSummary!$E$2:$E$2501))</f>
        <v/>
      </c>
      <c r="C74">
        <f>IF(A74="","",SUMIF(TripSummary!$B$2:$B$2501,A74,TripSummary!$F$2:$F$2501))</f>
        <v/>
      </c>
      <c r="D74">
        <f>IF(A74="","",SUMIF(TripSummary!$B$2:$B$2501,A74,TripSummary!$G$2:$G$2501))</f>
        <v/>
      </c>
      <c r="E74">
        <f>IF(A74="","",SUMIF(TripSummary!$B$2:$B$2501,A74,TripSummary!$K$2:$K$2501))</f>
        <v/>
      </c>
      <c r="F74">
        <f>IF(A74="","",COUNTIF(TripSummary!$B$2:$B$2501,A74))</f>
        <v/>
      </c>
      <c r="G74">
        <f>IF(A74="","",IFERROR(ROWS(UNIQUE(FILTER(TripSummary!$H$2:$H$2501,TripSummary!$B$2:$B$2501=A74))),0))</f>
        <v/>
      </c>
      <c r="H74">
        <f>IF(OR(A74="",E74=0),"" ,D74/E74)</f>
        <v/>
      </c>
      <c r="I74">
        <f>IF(OR(A74="",B74=0),"",D74/B74)</f>
        <v/>
      </c>
      <c r="J74">
        <f>IF(OR(A74="",B74=0),"",C74/B74)</f>
        <v/>
      </c>
      <c r="K74">
        <f>IF(OR(A74="",G74=0),"",F74/G74)</f>
        <v/>
      </c>
      <c r="L74">
        <f>IF(A74="","",IFERROR(C74/SUMIF(TripSummary!$B$2:$B$2501,A74,TripSummary!$I$2:$I$2501),0))</f>
        <v/>
      </c>
      <c r="M74">
        <f>IF(OR(A74="",G74=0),"",C74/G74)</f>
        <v/>
      </c>
      <c r="N74">
        <f>IF(OR(A74="",F74=0),"",(MAXIFS(TripSummary!$L$2:$L$2501,TripSummary!$B$2:$B$2501,A74)-MINIFS(TripSummary!$L$2:$L$2501,TripSummary!$B$2:$B$2501,A74))*1440/F74)</f>
        <v/>
      </c>
    </row>
    <row r="75">
      <c r="B75">
        <f>IF(A75="","",SUMIF(TripSummary!$B$2:$B$2501,A75,TripSummary!$E$2:$E$2501))</f>
        <v/>
      </c>
      <c r="C75">
        <f>IF(A75="","",SUMIF(TripSummary!$B$2:$B$2501,A75,TripSummary!$F$2:$F$2501))</f>
        <v/>
      </c>
      <c r="D75">
        <f>IF(A75="","",SUMIF(TripSummary!$B$2:$B$2501,A75,TripSummary!$G$2:$G$2501))</f>
        <v/>
      </c>
      <c r="E75">
        <f>IF(A75="","",SUMIF(TripSummary!$B$2:$B$2501,A75,TripSummary!$K$2:$K$2501))</f>
        <v/>
      </c>
      <c r="F75">
        <f>IF(A75="","",COUNTIF(TripSummary!$B$2:$B$2501,A75))</f>
        <v/>
      </c>
      <c r="G75">
        <f>IF(A75="","",IFERROR(ROWS(UNIQUE(FILTER(TripSummary!$H$2:$H$2501,TripSummary!$B$2:$B$2501=A75))),0))</f>
        <v/>
      </c>
      <c r="H75">
        <f>IF(OR(A75="",E75=0),"" ,D75/E75)</f>
        <v/>
      </c>
      <c r="I75">
        <f>IF(OR(A75="",B75=0),"",D75/B75)</f>
        <v/>
      </c>
      <c r="J75">
        <f>IF(OR(A75="",B75=0),"",C75/B75)</f>
        <v/>
      </c>
      <c r="K75">
        <f>IF(OR(A75="",G75=0),"",F75/G75)</f>
        <v/>
      </c>
      <c r="L75">
        <f>IF(A75="","",IFERROR(C75/SUMIF(TripSummary!$B$2:$B$2501,A75,TripSummary!$I$2:$I$2501),0))</f>
        <v/>
      </c>
      <c r="M75">
        <f>IF(OR(A75="",G75=0),"",C75/G75)</f>
        <v/>
      </c>
      <c r="N75">
        <f>IF(OR(A75="",F75=0),"",(MAXIFS(TripSummary!$L$2:$L$2501,TripSummary!$B$2:$B$2501,A75)-MINIFS(TripSummary!$L$2:$L$2501,TripSummary!$B$2:$B$2501,A75))*1440/F75)</f>
        <v/>
      </c>
    </row>
    <row r="76">
      <c r="B76">
        <f>IF(A76="","",SUMIF(TripSummary!$B$2:$B$2501,A76,TripSummary!$E$2:$E$2501))</f>
        <v/>
      </c>
      <c r="C76">
        <f>IF(A76="","",SUMIF(TripSummary!$B$2:$B$2501,A76,TripSummary!$F$2:$F$2501))</f>
        <v/>
      </c>
      <c r="D76">
        <f>IF(A76="","",SUMIF(TripSummary!$B$2:$B$2501,A76,TripSummary!$G$2:$G$2501))</f>
        <v/>
      </c>
      <c r="E76">
        <f>IF(A76="","",SUMIF(TripSummary!$B$2:$B$2501,A76,TripSummary!$K$2:$K$2501))</f>
        <v/>
      </c>
      <c r="F76">
        <f>IF(A76="","",COUNTIF(TripSummary!$B$2:$B$2501,A76))</f>
        <v/>
      </c>
      <c r="G76">
        <f>IF(A76="","",IFERROR(ROWS(UNIQUE(FILTER(TripSummary!$H$2:$H$2501,TripSummary!$B$2:$B$2501=A76))),0))</f>
        <v/>
      </c>
      <c r="H76">
        <f>IF(OR(A76="",E76=0),"" ,D76/E76)</f>
        <v/>
      </c>
      <c r="I76">
        <f>IF(OR(A76="",B76=0),"",D76/B76)</f>
        <v/>
      </c>
      <c r="J76">
        <f>IF(OR(A76="",B76=0),"",C76/B76)</f>
        <v/>
      </c>
      <c r="K76">
        <f>IF(OR(A76="",G76=0),"",F76/G76)</f>
        <v/>
      </c>
      <c r="L76">
        <f>IF(A76="","",IFERROR(C76/SUMIF(TripSummary!$B$2:$B$2501,A76,TripSummary!$I$2:$I$2501),0))</f>
        <v/>
      </c>
      <c r="M76">
        <f>IF(OR(A76="",G76=0),"",C76/G76)</f>
        <v/>
      </c>
      <c r="N76">
        <f>IF(OR(A76="",F76=0),"",(MAXIFS(TripSummary!$L$2:$L$2501,TripSummary!$B$2:$B$2501,A76)-MINIFS(TripSummary!$L$2:$L$2501,TripSummary!$B$2:$B$2501,A76))*1440/F76)</f>
        <v/>
      </c>
    </row>
    <row r="77">
      <c r="B77">
        <f>IF(A77="","",SUMIF(TripSummary!$B$2:$B$2501,A77,TripSummary!$E$2:$E$2501))</f>
        <v/>
      </c>
      <c r="C77">
        <f>IF(A77="","",SUMIF(TripSummary!$B$2:$B$2501,A77,TripSummary!$F$2:$F$2501))</f>
        <v/>
      </c>
      <c r="D77">
        <f>IF(A77="","",SUMIF(TripSummary!$B$2:$B$2501,A77,TripSummary!$G$2:$G$2501))</f>
        <v/>
      </c>
      <c r="E77">
        <f>IF(A77="","",SUMIF(TripSummary!$B$2:$B$2501,A77,TripSummary!$K$2:$K$2501))</f>
        <v/>
      </c>
      <c r="F77">
        <f>IF(A77="","",COUNTIF(TripSummary!$B$2:$B$2501,A77))</f>
        <v/>
      </c>
      <c r="G77">
        <f>IF(A77="","",IFERROR(ROWS(UNIQUE(FILTER(TripSummary!$H$2:$H$2501,TripSummary!$B$2:$B$2501=A77))),0))</f>
        <v/>
      </c>
      <c r="H77">
        <f>IF(OR(A77="",E77=0),"" ,D77/E77)</f>
        <v/>
      </c>
      <c r="I77">
        <f>IF(OR(A77="",B77=0),"",D77/B77)</f>
        <v/>
      </c>
      <c r="J77">
        <f>IF(OR(A77="",B77=0),"",C77/B77)</f>
        <v/>
      </c>
      <c r="K77">
        <f>IF(OR(A77="",G77=0),"",F77/G77)</f>
        <v/>
      </c>
      <c r="L77">
        <f>IF(A77="","",IFERROR(C77/SUMIF(TripSummary!$B$2:$B$2501,A77,TripSummary!$I$2:$I$2501),0))</f>
        <v/>
      </c>
      <c r="M77">
        <f>IF(OR(A77="",G77=0),"",C77/G77)</f>
        <v/>
      </c>
      <c r="N77">
        <f>IF(OR(A77="",F77=0),"",(MAXIFS(TripSummary!$L$2:$L$2501,TripSummary!$B$2:$B$2501,A77)-MINIFS(TripSummary!$L$2:$L$2501,TripSummary!$B$2:$B$2501,A77))*1440/F77)</f>
        <v/>
      </c>
    </row>
    <row r="78">
      <c r="B78">
        <f>IF(A78="","",SUMIF(TripSummary!$B$2:$B$2501,A78,TripSummary!$E$2:$E$2501))</f>
        <v/>
      </c>
      <c r="C78">
        <f>IF(A78="","",SUMIF(TripSummary!$B$2:$B$2501,A78,TripSummary!$F$2:$F$2501))</f>
        <v/>
      </c>
      <c r="D78">
        <f>IF(A78="","",SUMIF(TripSummary!$B$2:$B$2501,A78,TripSummary!$G$2:$G$2501))</f>
        <v/>
      </c>
      <c r="E78">
        <f>IF(A78="","",SUMIF(TripSummary!$B$2:$B$2501,A78,TripSummary!$K$2:$K$2501))</f>
        <v/>
      </c>
      <c r="F78">
        <f>IF(A78="","",COUNTIF(TripSummary!$B$2:$B$2501,A78))</f>
        <v/>
      </c>
      <c r="G78">
        <f>IF(A78="","",IFERROR(ROWS(UNIQUE(FILTER(TripSummary!$H$2:$H$2501,TripSummary!$B$2:$B$2501=A78))),0))</f>
        <v/>
      </c>
      <c r="H78">
        <f>IF(OR(A78="",E78=0),"" ,D78/E78)</f>
        <v/>
      </c>
      <c r="I78">
        <f>IF(OR(A78="",B78=0),"",D78/B78)</f>
        <v/>
      </c>
      <c r="J78">
        <f>IF(OR(A78="",B78=0),"",C78/B78)</f>
        <v/>
      </c>
      <c r="K78">
        <f>IF(OR(A78="",G78=0),"",F78/G78)</f>
        <v/>
      </c>
      <c r="L78">
        <f>IF(A78="","",IFERROR(C78/SUMIF(TripSummary!$B$2:$B$2501,A78,TripSummary!$I$2:$I$2501),0))</f>
        <v/>
      </c>
      <c r="M78">
        <f>IF(OR(A78="",G78=0),"",C78/G78)</f>
        <v/>
      </c>
      <c r="N78">
        <f>IF(OR(A78="",F78=0),"",(MAXIFS(TripSummary!$L$2:$L$2501,TripSummary!$B$2:$B$2501,A78)-MINIFS(TripSummary!$L$2:$L$2501,TripSummary!$B$2:$B$2501,A78))*1440/F78)</f>
        <v/>
      </c>
    </row>
    <row r="79">
      <c r="B79">
        <f>IF(A79="","",SUMIF(TripSummary!$B$2:$B$2501,A79,TripSummary!$E$2:$E$2501))</f>
        <v/>
      </c>
      <c r="C79">
        <f>IF(A79="","",SUMIF(TripSummary!$B$2:$B$2501,A79,TripSummary!$F$2:$F$2501))</f>
        <v/>
      </c>
      <c r="D79">
        <f>IF(A79="","",SUMIF(TripSummary!$B$2:$B$2501,A79,TripSummary!$G$2:$G$2501))</f>
        <v/>
      </c>
      <c r="E79">
        <f>IF(A79="","",SUMIF(TripSummary!$B$2:$B$2501,A79,TripSummary!$K$2:$K$2501))</f>
        <v/>
      </c>
      <c r="F79">
        <f>IF(A79="","",COUNTIF(TripSummary!$B$2:$B$2501,A79))</f>
        <v/>
      </c>
      <c r="G79">
        <f>IF(A79="","",IFERROR(ROWS(UNIQUE(FILTER(TripSummary!$H$2:$H$2501,TripSummary!$B$2:$B$2501=A79))),0))</f>
        <v/>
      </c>
      <c r="H79">
        <f>IF(OR(A79="",E79=0),"" ,D79/E79)</f>
        <v/>
      </c>
      <c r="I79">
        <f>IF(OR(A79="",B79=0),"",D79/B79)</f>
        <v/>
      </c>
      <c r="J79">
        <f>IF(OR(A79="",B79=0),"",C79/B79)</f>
        <v/>
      </c>
      <c r="K79">
        <f>IF(OR(A79="",G79=0),"",F79/G79)</f>
        <v/>
      </c>
      <c r="L79">
        <f>IF(A79="","",IFERROR(C79/SUMIF(TripSummary!$B$2:$B$2501,A79,TripSummary!$I$2:$I$2501),0))</f>
        <v/>
      </c>
      <c r="M79">
        <f>IF(OR(A79="",G79=0),"",C79/G79)</f>
        <v/>
      </c>
      <c r="N79">
        <f>IF(OR(A79="",F79=0),"",(MAXIFS(TripSummary!$L$2:$L$2501,TripSummary!$B$2:$B$2501,A79)-MINIFS(TripSummary!$L$2:$L$2501,TripSummary!$B$2:$B$2501,A79))*1440/F79)</f>
        <v/>
      </c>
    </row>
    <row r="80">
      <c r="B80">
        <f>IF(A80="","",SUMIF(TripSummary!$B$2:$B$2501,A80,TripSummary!$E$2:$E$2501))</f>
        <v/>
      </c>
      <c r="C80">
        <f>IF(A80="","",SUMIF(TripSummary!$B$2:$B$2501,A80,TripSummary!$F$2:$F$2501))</f>
        <v/>
      </c>
      <c r="D80">
        <f>IF(A80="","",SUMIF(TripSummary!$B$2:$B$2501,A80,TripSummary!$G$2:$G$2501))</f>
        <v/>
      </c>
      <c r="E80">
        <f>IF(A80="","",SUMIF(TripSummary!$B$2:$B$2501,A80,TripSummary!$K$2:$K$2501))</f>
        <v/>
      </c>
      <c r="F80">
        <f>IF(A80="","",COUNTIF(TripSummary!$B$2:$B$2501,A80))</f>
        <v/>
      </c>
      <c r="G80">
        <f>IF(A80="","",IFERROR(ROWS(UNIQUE(FILTER(TripSummary!$H$2:$H$2501,TripSummary!$B$2:$B$2501=A80))),0))</f>
        <v/>
      </c>
      <c r="H80">
        <f>IF(OR(A80="",E80=0),"" ,D80/E80)</f>
        <v/>
      </c>
      <c r="I80">
        <f>IF(OR(A80="",B80=0),"",D80/B80)</f>
        <v/>
      </c>
      <c r="J80">
        <f>IF(OR(A80="",B80=0),"",C80/B80)</f>
        <v/>
      </c>
      <c r="K80">
        <f>IF(OR(A80="",G80=0),"",F80/G80)</f>
        <v/>
      </c>
      <c r="L80">
        <f>IF(A80="","",IFERROR(C80/SUMIF(TripSummary!$B$2:$B$2501,A80,TripSummary!$I$2:$I$2501),0))</f>
        <v/>
      </c>
      <c r="M80">
        <f>IF(OR(A80="",G80=0),"",C80/G80)</f>
        <v/>
      </c>
      <c r="N80">
        <f>IF(OR(A80="",F80=0),"",(MAXIFS(TripSummary!$L$2:$L$2501,TripSummary!$B$2:$B$2501,A80)-MINIFS(TripSummary!$L$2:$L$2501,TripSummary!$B$2:$B$2501,A80))*1440/F80)</f>
        <v/>
      </c>
    </row>
    <row r="81">
      <c r="B81">
        <f>IF(A81="","",SUMIF(TripSummary!$B$2:$B$2501,A81,TripSummary!$E$2:$E$2501))</f>
        <v/>
      </c>
      <c r="C81">
        <f>IF(A81="","",SUMIF(TripSummary!$B$2:$B$2501,A81,TripSummary!$F$2:$F$2501))</f>
        <v/>
      </c>
      <c r="D81">
        <f>IF(A81="","",SUMIF(TripSummary!$B$2:$B$2501,A81,TripSummary!$G$2:$G$2501))</f>
        <v/>
      </c>
      <c r="E81">
        <f>IF(A81="","",SUMIF(TripSummary!$B$2:$B$2501,A81,TripSummary!$K$2:$K$2501))</f>
        <v/>
      </c>
      <c r="F81">
        <f>IF(A81="","",COUNTIF(TripSummary!$B$2:$B$2501,A81))</f>
        <v/>
      </c>
      <c r="G81">
        <f>IF(A81="","",IFERROR(ROWS(UNIQUE(FILTER(TripSummary!$H$2:$H$2501,TripSummary!$B$2:$B$2501=A81))),0))</f>
        <v/>
      </c>
      <c r="H81">
        <f>IF(OR(A81="",E81=0),"" ,D81/E81)</f>
        <v/>
      </c>
      <c r="I81">
        <f>IF(OR(A81="",B81=0),"",D81/B81)</f>
        <v/>
      </c>
      <c r="J81">
        <f>IF(OR(A81="",B81=0),"",C81/B81)</f>
        <v/>
      </c>
      <c r="K81">
        <f>IF(OR(A81="",G81=0),"",F81/G81)</f>
        <v/>
      </c>
      <c r="L81">
        <f>IF(A81="","",IFERROR(C81/SUMIF(TripSummary!$B$2:$B$2501,A81,TripSummary!$I$2:$I$2501),0))</f>
        <v/>
      </c>
      <c r="M81">
        <f>IF(OR(A81="",G81=0),"",C81/G81)</f>
        <v/>
      </c>
      <c r="N81">
        <f>IF(OR(A81="",F81=0),"",(MAXIFS(TripSummary!$L$2:$L$2501,TripSummary!$B$2:$B$2501,A81)-MINIFS(TripSummary!$L$2:$L$2501,TripSummary!$B$2:$B$2501,A81))*1440/F81)</f>
        <v/>
      </c>
    </row>
    <row r="82">
      <c r="B82">
        <f>IF(A82="","",SUMIF(TripSummary!$B$2:$B$2501,A82,TripSummary!$E$2:$E$2501))</f>
        <v/>
      </c>
      <c r="C82">
        <f>IF(A82="","",SUMIF(TripSummary!$B$2:$B$2501,A82,TripSummary!$F$2:$F$2501))</f>
        <v/>
      </c>
      <c r="D82">
        <f>IF(A82="","",SUMIF(TripSummary!$B$2:$B$2501,A82,TripSummary!$G$2:$G$2501))</f>
        <v/>
      </c>
      <c r="E82">
        <f>IF(A82="","",SUMIF(TripSummary!$B$2:$B$2501,A82,TripSummary!$K$2:$K$2501))</f>
        <v/>
      </c>
      <c r="F82">
        <f>IF(A82="","",COUNTIF(TripSummary!$B$2:$B$2501,A82))</f>
        <v/>
      </c>
      <c r="G82">
        <f>IF(A82="","",IFERROR(ROWS(UNIQUE(FILTER(TripSummary!$H$2:$H$2501,TripSummary!$B$2:$B$2501=A82))),0))</f>
        <v/>
      </c>
      <c r="H82">
        <f>IF(OR(A82="",E82=0),"" ,D82/E82)</f>
        <v/>
      </c>
      <c r="I82">
        <f>IF(OR(A82="",B82=0),"",D82/B82)</f>
        <v/>
      </c>
      <c r="J82">
        <f>IF(OR(A82="",B82=0),"",C82/B82)</f>
        <v/>
      </c>
      <c r="K82">
        <f>IF(OR(A82="",G82=0),"",F82/G82)</f>
        <v/>
      </c>
      <c r="L82">
        <f>IF(A82="","",IFERROR(C82/SUMIF(TripSummary!$B$2:$B$2501,A82,TripSummary!$I$2:$I$2501),0))</f>
        <v/>
      </c>
      <c r="M82">
        <f>IF(OR(A82="",G82=0),"",C82/G82)</f>
        <v/>
      </c>
      <c r="N82">
        <f>IF(OR(A82="",F82=0),"",(MAXIFS(TripSummary!$L$2:$L$2501,TripSummary!$B$2:$B$2501,A82)-MINIFS(TripSummary!$L$2:$L$2501,TripSummary!$B$2:$B$2501,A82))*1440/F82)</f>
        <v/>
      </c>
    </row>
    <row r="83">
      <c r="B83">
        <f>IF(A83="","",SUMIF(TripSummary!$B$2:$B$2501,A83,TripSummary!$E$2:$E$2501))</f>
        <v/>
      </c>
      <c r="C83">
        <f>IF(A83="","",SUMIF(TripSummary!$B$2:$B$2501,A83,TripSummary!$F$2:$F$2501))</f>
        <v/>
      </c>
      <c r="D83">
        <f>IF(A83="","",SUMIF(TripSummary!$B$2:$B$2501,A83,TripSummary!$G$2:$G$2501))</f>
        <v/>
      </c>
      <c r="E83">
        <f>IF(A83="","",SUMIF(TripSummary!$B$2:$B$2501,A83,TripSummary!$K$2:$K$2501))</f>
        <v/>
      </c>
      <c r="F83">
        <f>IF(A83="","",COUNTIF(TripSummary!$B$2:$B$2501,A83))</f>
        <v/>
      </c>
      <c r="G83">
        <f>IF(A83="","",IFERROR(ROWS(UNIQUE(FILTER(TripSummary!$H$2:$H$2501,TripSummary!$B$2:$B$2501=A83))),0))</f>
        <v/>
      </c>
      <c r="H83">
        <f>IF(OR(A83="",E83=0),"" ,D83/E83)</f>
        <v/>
      </c>
      <c r="I83">
        <f>IF(OR(A83="",B83=0),"",D83/B83)</f>
        <v/>
      </c>
      <c r="J83">
        <f>IF(OR(A83="",B83=0),"",C83/B83)</f>
        <v/>
      </c>
      <c r="K83">
        <f>IF(OR(A83="",G83=0),"",F83/G83)</f>
        <v/>
      </c>
      <c r="L83">
        <f>IF(A83="","",IFERROR(C83/SUMIF(TripSummary!$B$2:$B$2501,A83,TripSummary!$I$2:$I$2501),0))</f>
        <v/>
      </c>
      <c r="M83">
        <f>IF(OR(A83="",G83=0),"",C83/G83)</f>
        <v/>
      </c>
      <c r="N83">
        <f>IF(OR(A83="",F83=0),"",(MAXIFS(TripSummary!$L$2:$L$2501,TripSummary!$B$2:$B$2501,A83)-MINIFS(TripSummary!$L$2:$L$2501,TripSummary!$B$2:$B$2501,A83))*1440/F83)</f>
        <v/>
      </c>
    </row>
    <row r="84">
      <c r="B84">
        <f>IF(A84="","",SUMIF(TripSummary!$B$2:$B$2501,A84,TripSummary!$E$2:$E$2501))</f>
        <v/>
      </c>
      <c r="C84">
        <f>IF(A84="","",SUMIF(TripSummary!$B$2:$B$2501,A84,TripSummary!$F$2:$F$2501))</f>
        <v/>
      </c>
      <c r="D84">
        <f>IF(A84="","",SUMIF(TripSummary!$B$2:$B$2501,A84,TripSummary!$G$2:$G$2501))</f>
        <v/>
      </c>
      <c r="E84">
        <f>IF(A84="","",SUMIF(TripSummary!$B$2:$B$2501,A84,TripSummary!$K$2:$K$2501))</f>
        <v/>
      </c>
      <c r="F84">
        <f>IF(A84="","",COUNTIF(TripSummary!$B$2:$B$2501,A84))</f>
        <v/>
      </c>
      <c r="G84">
        <f>IF(A84="","",IFERROR(ROWS(UNIQUE(FILTER(TripSummary!$H$2:$H$2501,TripSummary!$B$2:$B$2501=A84))),0))</f>
        <v/>
      </c>
      <c r="H84">
        <f>IF(OR(A84="",E84=0),"" ,D84/E84)</f>
        <v/>
      </c>
      <c r="I84">
        <f>IF(OR(A84="",B84=0),"",D84/B84)</f>
        <v/>
      </c>
      <c r="J84">
        <f>IF(OR(A84="",B84=0),"",C84/B84)</f>
        <v/>
      </c>
      <c r="K84">
        <f>IF(OR(A84="",G84=0),"",F84/G84)</f>
        <v/>
      </c>
      <c r="L84">
        <f>IF(A84="","",IFERROR(C84/SUMIF(TripSummary!$B$2:$B$2501,A84,TripSummary!$I$2:$I$2501),0))</f>
        <v/>
      </c>
      <c r="M84">
        <f>IF(OR(A84="",G84=0),"",C84/G84)</f>
        <v/>
      </c>
      <c r="N84">
        <f>IF(OR(A84="",F84=0),"",(MAXIFS(TripSummary!$L$2:$L$2501,TripSummary!$B$2:$B$2501,A84)-MINIFS(TripSummary!$L$2:$L$2501,TripSummary!$B$2:$B$2501,A84))*1440/F84)</f>
        <v/>
      </c>
    </row>
    <row r="85">
      <c r="B85">
        <f>IF(A85="","",SUMIF(TripSummary!$B$2:$B$2501,A85,TripSummary!$E$2:$E$2501))</f>
        <v/>
      </c>
      <c r="C85">
        <f>IF(A85="","",SUMIF(TripSummary!$B$2:$B$2501,A85,TripSummary!$F$2:$F$2501))</f>
        <v/>
      </c>
      <c r="D85">
        <f>IF(A85="","",SUMIF(TripSummary!$B$2:$B$2501,A85,TripSummary!$G$2:$G$2501))</f>
        <v/>
      </c>
      <c r="E85">
        <f>IF(A85="","",SUMIF(TripSummary!$B$2:$B$2501,A85,TripSummary!$K$2:$K$2501))</f>
        <v/>
      </c>
      <c r="F85">
        <f>IF(A85="","",COUNTIF(TripSummary!$B$2:$B$2501,A85))</f>
        <v/>
      </c>
      <c r="G85">
        <f>IF(A85="","",IFERROR(ROWS(UNIQUE(FILTER(TripSummary!$H$2:$H$2501,TripSummary!$B$2:$B$2501=A85))),0))</f>
        <v/>
      </c>
      <c r="H85">
        <f>IF(OR(A85="",E85=0),"" ,D85/E85)</f>
        <v/>
      </c>
      <c r="I85">
        <f>IF(OR(A85="",B85=0),"",D85/B85)</f>
        <v/>
      </c>
      <c r="J85">
        <f>IF(OR(A85="",B85=0),"",C85/B85)</f>
        <v/>
      </c>
      <c r="K85">
        <f>IF(OR(A85="",G85=0),"",F85/G85)</f>
        <v/>
      </c>
      <c r="L85">
        <f>IF(A85="","",IFERROR(C85/SUMIF(TripSummary!$B$2:$B$2501,A85,TripSummary!$I$2:$I$2501),0))</f>
        <v/>
      </c>
      <c r="M85">
        <f>IF(OR(A85="",G85=0),"",C85/G85)</f>
        <v/>
      </c>
      <c r="N85">
        <f>IF(OR(A85="",F85=0),"",(MAXIFS(TripSummary!$L$2:$L$2501,TripSummary!$B$2:$B$2501,A85)-MINIFS(TripSummary!$L$2:$L$2501,TripSummary!$B$2:$B$2501,A85))*1440/F85)</f>
        <v/>
      </c>
    </row>
    <row r="86">
      <c r="B86">
        <f>IF(A86="","",SUMIF(TripSummary!$B$2:$B$2501,A86,TripSummary!$E$2:$E$2501))</f>
        <v/>
      </c>
      <c r="C86">
        <f>IF(A86="","",SUMIF(TripSummary!$B$2:$B$2501,A86,TripSummary!$F$2:$F$2501))</f>
        <v/>
      </c>
      <c r="D86">
        <f>IF(A86="","",SUMIF(TripSummary!$B$2:$B$2501,A86,TripSummary!$G$2:$G$2501))</f>
        <v/>
      </c>
      <c r="E86">
        <f>IF(A86="","",SUMIF(TripSummary!$B$2:$B$2501,A86,TripSummary!$K$2:$K$2501))</f>
        <v/>
      </c>
      <c r="F86">
        <f>IF(A86="","",COUNTIF(TripSummary!$B$2:$B$2501,A86))</f>
        <v/>
      </c>
      <c r="G86">
        <f>IF(A86="","",IFERROR(ROWS(UNIQUE(FILTER(TripSummary!$H$2:$H$2501,TripSummary!$B$2:$B$2501=A86))),0))</f>
        <v/>
      </c>
      <c r="H86">
        <f>IF(OR(A86="",E86=0),"" ,D86/E86)</f>
        <v/>
      </c>
      <c r="I86">
        <f>IF(OR(A86="",B86=0),"",D86/B86)</f>
        <v/>
      </c>
      <c r="J86">
        <f>IF(OR(A86="",B86=0),"",C86/B86)</f>
        <v/>
      </c>
      <c r="K86">
        <f>IF(OR(A86="",G86=0),"",F86/G86)</f>
        <v/>
      </c>
      <c r="L86">
        <f>IF(A86="","",IFERROR(C86/SUMIF(TripSummary!$B$2:$B$2501,A86,TripSummary!$I$2:$I$2501),0))</f>
        <v/>
      </c>
      <c r="M86">
        <f>IF(OR(A86="",G86=0),"",C86/G86)</f>
        <v/>
      </c>
      <c r="N86">
        <f>IF(OR(A86="",F86=0),"",(MAXIFS(TripSummary!$L$2:$L$2501,TripSummary!$B$2:$B$2501,A86)-MINIFS(TripSummary!$L$2:$L$2501,TripSummary!$B$2:$B$2501,A86))*1440/F86)</f>
        <v/>
      </c>
    </row>
    <row r="87">
      <c r="B87">
        <f>IF(A87="","",SUMIF(TripSummary!$B$2:$B$2501,A87,TripSummary!$E$2:$E$2501))</f>
        <v/>
      </c>
      <c r="C87">
        <f>IF(A87="","",SUMIF(TripSummary!$B$2:$B$2501,A87,TripSummary!$F$2:$F$2501))</f>
        <v/>
      </c>
      <c r="D87">
        <f>IF(A87="","",SUMIF(TripSummary!$B$2:$B$2501,A87,TripSummary!$G$2:$G$2501))</f>
        <v/>
      </c>
      <c r="E87">
        <f>IF(A87="","",SUMIF(TripSummary!$B$2:$B$2501,A87,TripSummary!$K$2:$K$2501))</f>
        <v/>
      </c>
      <c r="F87">
        <f>IF(A87="","",COUNTIF(TripSummary!$B$2:$B$2501,A87))</f>
        <v/>
      </c>
      <c r="G87">
        <f>IF(A87="","",IFERROR(ROWS(UNIQUE(FILTER(TripSummary!$H$2:$H$2501,TripSummary!$B$2:$B$2501=A87))),0))</f>
        <v/>
      </c>
      <c r="H87">
        <f>IF(OR(A87="",E87=0),"" ,D87/E87)</f>
        <v/>
      </c>
      <c r="I87">
        <f>IF(OR(A87="",B87=0),"",D87/B87)</f>
        <v/>
      </c>
      <c r="J87">
        <f>IF(OR(A87="",B87=0),"",C87/B87)</f>
        <v/>
      </c>
      <c r="K87">
        <f>IF(OR(A87="",G87=0),"",F87/G87)</f>
        <v/>
      </c>
      <c r="L87">
        <f>IF(A87="","",IFERROR(C87/SUMIF(TripSummary!$B$2:$B$2501,A87,TripSummary!$I$2:$I$2501),0))</f>
        <v/>
      </c>
      <c r="M87">
        <f>IF(OR(A87="",G87=0),"",C87/G87)</f>
        <v/>
      </c>
      <c r="N87">
        <f>IF(OR(A87="",F87=0),"",(MAXIFS(TripSummary!$L$2:$L$2501,TripSummary!$B$2:$B$2501,A87)-MINIFS(TripSummary!$L$2:$L$2501,TripSummary!$B$2:$B$2501,A87))*1440/F87)</f>
        <v/>
      </c>
    </row>
    <row r="88">
      <c r="B88">
        <f>IF(A88="","",SUMIF(TripSummary!$B$2:$B$2501,A88,TripSummary!$E$2:$E$2501))</f>
        <v/>
      </c>
      <c r="C88">
        <f>IF(A88="","",SUMIF(TripSummary!$B$2:$B$2501,A88,TripSummary!$F$2:$F$2501))</f>
        <v/>
      </c>
      <c r="D88">
        <f>IF(A88="","",SUMIF(TripSummary!$B$2:$B$2501,A88,TripSummary!$G$2:$G$2501))</f>
        <v/>
      </c>
      <c r="E88">
        <f>IF(A88="","",SUMIF(TripSummary!$B$2:$B$2501,A88,TripSummary!$K$2:$K$2501))</f>
        <v/>
      </c>
      <c r="F88">
        <f>IF(A88="","",COUNTIF(TripSummary!$B$2:$B$2501,A88))</f>
        <v/>
      </c>
      <c r="G88">
        <f>IF(A88="","",IFERROR(ROWS(UNIQUE(FILTER(TripSummary!$H$2:$H$2501,TripSummary!$B$2:$B$2501=A88))),0))</f>
        <v/>
      </c>
      <c r="H88">
        <f>IF(OR(A88="",E88=0),"" ,D88/E88)</f>
        <v/>
      </c>
      <c r="I88">
        <f>IF(OR(A88="",B88=0),"",D88/B88)</f>
        <v/>
      </c>
      <c r="J88">
        <f>IF(OR(A88="",B88=0),"",C88/B88)</f>
        <v/>
      </c>
      <c r="K88">
        <f>IF(OR(A88="",G88=0),"",F88/G88)</f>
        <v/>
      </c>
      <c r="L88">
        <f>IF(A88="","",IFERROR(C88/SUMIF(TripSummary!$B$2:$B$2501,A88,TripSummary!$I$2:$I$2501),0))</f>
        <v/>
      </c>
      <c r="M88">
        <f>IF(OR(A88="",G88=0),"",C88/G88)</f>
        <v/>
      </c>
      <c r="N88">
        <f>IF(OR(A88="",F88=0),"",(MAXIFS(TripSummary!$L$2:$L$2501,TripSummary!$B$2:$B$2501,A88)-MINIFS(TripSummary!$L$2:$L$2501,TripSummary!$B$2:$B$2501,A88))*1440/F88)</f>
        <v/>
      </c>
    </row>
    <row r="89">
      <c r="B89">
        <f>IF(A89="","",SUMIF(TripSummary!$B$2:$B$2501,A89,TripSummary!$E$2:$E$2501))</f>
        <v/>
      </c>
      <c r="C89">
        <f>IF(A89="","",SUMIF(TripSummary!$B$2:$B$2501,A89,TripSummary!$F$2:$F$2501))</f>
        <v/>
      </c>
      <c r="D89">
        <f>IF(A89="","",SUMIF(TripSummary!$B$2:$B$2501,A89,TripSummary!$G$2:$G$2501))</f>
        <v/>
      </c>
      <c r="E89">
        <f>IF(A89="","",SUMIF(TripSummary!$B$2:$B$2501,A89,TripSummary!$K$2:$K$2501))</f>
        <v/>
      </c>
      <c r="F89">
        <f>IF(A89="","",COUNTIF(TripSummary!$B$2:$B$2501,A89))</f>
        <v/>
      </c>
      <c r="G89">
        <f>IF(A89="","",IFERROR(ROWS(UNIQUE(FILTER(TripSummary!$H$2:$H$2501,TripSummary!$B$2:$B$2501=A89))),0))</f>
        <v/>
      </c>
      <c r="H89">
        <f>IF(OR(A89="",E89=0),"" ,D89/E89)</f>
        <v/>
      </c>
      <c r="I89">
        <f>IF(OR(A89="",B89=0),"",D89/B89)</f>
        <v/>
      </c>
      <c r="J89">
        <f>IF(OR(A89="",B89=0),"",C89/B89)</f>
        <v/>
      </c>
      <c r="K89">
        <f>IF(OR(A89="",G89=0),"",F89/G89)</f>
        <v/>
      </c>
      <c r="L89">
        <f>IF(A89="","",IFERROR(C89/SUMIF(TripSummary!$B$2:$B$2501,A89,TripSummary!$I$2:$I$2501),0))</f>
        <v/>
      </c>
      <c r="M89">
        <f>IF(OR(A89="",G89=0),"",C89/G89)</f>
        <v/>
      </c>
      <c r="N89">
        <f>IF(OR(A89="",F89=0),"",(MAXIFS(TripSummary!$L$2:$L$2501,TripSummary!$B$2:$B$2501,A89)-MINIFS(TripSummary!$L$2:$L$2501,TripSummary!$B$2:$B$2501,A89))*1440/F89)</f>
        <v/>
      </c>
    </row>
    <row r="90">
      <c r="B90">
        <f>IF(A90="","",SUMIF(TripSummary!$B$2:$B$2501,A90,TripSummary!$E$2:$E$2501))</f>
        <v/>
      </c>
      <c r="C90">
        <f>IF(A90="","",SUMIF(TripSummary!$B$2:$B$2501,A90,TripSummary!$F$2:$F$2501))</f>
        <v/>
      </c>
      <c r="D90">
        <f>IF(A90="","",SUMIF(TripSummary!$B$2:$B$2501,A90,TripSummary!$G$2:$G$2501))</f>
        <v/>
      </c>
      <c r="E90">
        <f>IF(A90="","",SUMIF(TripSummary!$B$2:$B$2501,A90,TripSummary!$K$2:$K$2501))</f>
        <v/>
      </c>
      <c r="F90">
        <f>IF(A90="","",COUNTIF(TripSummary!$B$2:$B$2501,A90))</f>
        <v/>
      </c>
      <c r="G90">
        <f>IF(A90="","",IFERROR(ROWS(UNIQUE(FILTER(TripSummary!$H$2:$H$2501,TripSummary!$B$2:$B$2501=A90))),0))</f>
        <v/>
      </c>
      <c r="H90">
        <f>IF(OR(A90="",E90=0),"" ,D90/E90)</f>
        <v/>
      </c>
      <c r="I90">
        <f>IF(OR(A90="",B90=0),"",D90/B90)</f>
        <v/>
      </c>
      <c r="J90">
        <f>IF(OR(A90="",B90=0),"",C90/B90)</f>
        <v/>
      </c>
      <c r="K90">
        <f>IF(OR(A90="",G90=0),"",F90/G90)</f>
        <v/>
      </c>
      <c r="L90">
        <f>IF(A90="","",IFERROR(C90/SUMIF(TripSummary!$B$2:$B$2501,A90,TripSummary!$I$2:$I$2501),0))</f>
        <v/>
      </c>
      <c r="M90">
        <f>IF(OR(A90="",G90=0),"",C90/G90)</f>
        <v/>
      </c>
      <c r="N90">
        <f>IF(OR(A90="",F90=0),"",(MAXIFS(TripSummary!$L$2:$L$2501,TripSummary!$B$2:$B$2501,A90)-MINIFS(TripSummary!$L$2:$L$2501,TripSummary!$B$2:$B$2501,A90))*1440/F90)</f>
        <v/>
      </c>
    </row>
    <row r="91">
      <c r="B91">
        <f>IF(A91="","",SUMIF(TripSummary!$B$2:$B$2501,A91,TripSummary!$E$2:$E$2501))</f>
        <v/>
      </c>
      <c r="C91">
        <f>IF(A91="","",SUMIF(TripSummary!$B$2:$B$2501,A91,TripSummary!$F$2:$F$2501))</f>
        <v/>
      </c>
      <c r="D91">
        <f>IF(A91="","",SUMIF(TripSummary!$B$2:$B$2501,A91,TripSummary!$G$2:$G$2501))</f>
        <v/>
      </c>
      <c r="E91">
        <f>IF(A91="","",SUMIF(TripSummary!$B$2:$B$2501,A91,TripSummary!$K$2:$K$2501))</f>
        <v/>
      </c>
      <c r="F91">
        <f>IF(A91="","",COUNTIF(TripSummary!$B$2:$B$2501,A91))</f>
        <v/>
      </c>
      <c r="G91">
        <f>IF(A91="","",IFERROR(ROWS(UNIQUE(FILTER(TripSummary!$H$2:$H$2501,TripSummary!$B$2:$B$2501=A91))),0))</f>
        <v/>
      </c>
      <c r="H91">
        <f>IF(OR(A91="",E91=0),"" ,D91/E91)</f>
        <v/>
      </c>
      <c r="I91">
        <f>IF(OR(A91="",B91=0),"",D91/B91)</f>
        <v/>
      </c>
      <c r="J91">
        <f>IF(OR(A91="",B91=0),"",C91/B91)</f>
        <v/>
      </c>
      <c r="K91">
        <f>IF(OR(A91="",G91=0),"",F91/G91)</f>
        <v/>
      </c>
      <c r="L91">
        <f>IF(A91="","",IFERROR(C91/SUMIF(TripSummary!$B$2:$B$2501,A91,TripSummary!$I$2:$I$2501),0))</f>
        <v/>
      </c>
      <c r="M91">
        <f>IF(OR(A91="",G91=0),"",C91/G91)</f>
        <v/>
      </c>
      <c r="N91">
        <f>IF(OR(A91="",F91=0),"",(MAXIFS(TripSummary!$L$2:$L$2501,TripSummary!$B$2:$B$2501,A91)-MINIFS(TripSummary!$L$2:$L$2501,TripSummary!$B$2:$B$2501,A91))*1440/F91)</f>
        <v/>
      </c>
    </row>
    <row r="92">
      <c r="B92">
        <f>IF(A92="","",SUMIF(TripSummary!$B$2:$B$2501,A92,TripSummary!$E$2:$E$2501))</f>
        <v/>
      </c>
      <c r="C92">
        <f>IF(A92="","",SUMIF(TripSummary!$B$2:$B$2501,A92,TripSummary!$F$2:$F$2501))</f>
        <v/>
      </c>
      <c r="D92">
        <f>IF(A92="","",SUMIF(TripSummary!$B$2:$B$2501,A92,TripSummary!$G$2:$G$2501))</f>
        <v/>
      </c>
      <c r="E92">
        <f>IF(A92="","",SUMIF(TripSummary!$B$2:$B$2501,A92,TripSummary!$K$2:$K$2501))</f>
        <v/>
      </c>
      <c r="F92">
        <f>IF(A92="","",COUNTIF(TripSummary!$B$2:$B$2501,A92))</f>
        <v/>
      </c>
      <c r="G92">
        <f>IF(A92="","",IFERROR(ROWS(UNIQUE(FILTER(TripSummary!$H$2:$H$2501,TripSummary!$B$2:$B$2501=A92))),0))</f>
        <v/>
      </c>
      <c r="H92">
        <f>IF(OR(A92="",E92=0),"" ,D92/E92)</f>
        <v/>
      </c>
      <c r="I92">
        <f>IF(OR(A92="",B92=0),"",D92/B92)</f>
        <v/>
      </c>
      <c r="J92">
        <f>IF(OR(A92="",B92=0),"",C92/B92)</f>
        <v/>
      </c>
      <c r="K92">
        <f>IF(OR(A92="",G92=0),"",F92/G92)</f>
        <v/>
      </c>
      <c r="L92">
        <f>IF(A92="","",IFERROR(C92/SUMIF(TripSummary!$B$2:$B$2501,A92,TripSummary!$I$2:$I$2501),0))</f>
        <v/>
      </c>
      <c r="M92">
        <f>IF(OR(A92="",G92=0),"",C92/G92)</f>
        <v/>
      </c>
      <c r="N92">
        <f>IF(OR(A92="",F92=0),"",(MAXIFS(TripSummary!$L$2:$L$2501,TripSummary!$B$2:$B$2501,A92)-MINIFS(TripSummary!$L$2:$L$2501,TripSummary!$B$2:$B$2501,A92))*1440/F92)</f>
        <v/>
      </c>
    </row>
    <row r="93">
      <c r="B93">
        <f>IF(A93="","",SUMIF(TripSummary!$B$2:$B$2501,A93,TripSummary!$E$2:$E$2501))</f>
        <v/>
      </c>
      <c r="C93">
        <f>IF(A93="","",SUMIF(TripSummary!$B$2:$B$2501,A93,TripSummary!$F$2:$F$2501))</f>
        <v/>
      </c>
      <c r="D93">
        <f>IF(A93="","",SUMIF(TripSummary!$B$2:$B$2501,A93,TripSummary!$G$2:$G$2501))</f>
        <v/>
      </c>
      <c r="E93">
        <f>IF(A93="","",SUMIF(TripSummary!$B$2:$B$2501,A93,TripSummary!$K$2:$K$2501))</f>
        <v/>
      </c>
      <c r="F93">
        <f>IF(A93="","",COUNTIF(TripSummary!$B$2:$B$2501,A93))</f>
        <v/>
      </c>
      <c r="G93">
        <f>IF(A93="","",IFERROR(ROWS(UNIQUE(FILTER(TripSummary!$H$2:$H$2501,TripSummary!$B$2:$B$2501=A93))),0))</f>
        <v/>
      </c>
      <c r="H93">
        <f>IF(OR(A93="",E93=0),"" ,D93/E93)</f>
        <v/>
      </c>
      <c r="I93">
        <f>IF(OR(A93="",B93=0),"",D93/B93)</f>
        <v/>
      </c>
      <c r="J93">
        <f>IF(OR(A93="",B93=0),"",C93/B93)</f>
        <v/>
      </c>
      <c r="K93">
        <f>IF(OR(A93="",G93=0),"",F93/G93)</f>
        <v/>
      </c>
      <c r="L93">
        <f>IF(A93="","",IFERROR(C93/SUMIF(TripSummary!$B$2:$B$2501,A93,TripSummary!$I$2:$I$2501),0))</f>
        <v/>
      </c>
      <c r="M93">
        <f>IF(OR(A93="",G93=0),"",C93/G93)</f>
        <v/>
      </c>
      <c r="N93">
        <f>IF(OR(A93="",F93=0),"",(MAXIFS(TripSummary!$L$2:$L$2501,TripSummary!$B$2:$B$2501,A93)-MINIFS(TripSummary!$L$2:$L$2501,TripSummary!$B$2:$B$2501,A93))*1440/F93)</f>
        <v/>
      </c>
    </row>
    <row r="94">
      <c r="B94">
        <f>IF(A94="","",SUMIF(TripSummary!$B$2:$B$2501,A94,TripSummary!$E$2:$E$2501))</f>
        <v/>
      </c>
      <c r="C94">
        <f>IF(A94="","",SUMIF(TripSummary!$B$2:$B$2501,A94,TripSummary!$F$2:$F$2501))</f>
        <v/>
      </c>
      <c r="D94">
        <f>IF(A94="","",SUMIF(TripSummary!$B$2:$B$2501,A94,TripSummary!$G$2:$G$2501))</f>
        <v/>
      </c>
      <c r="E94">
        <f>IF(A94="","",SUMIF(TripSummary!$B$2:$B$2501,A94,TripSummary!$K$2:$K$2501))</f>
        <v/>
      </c>
      <c r="F94">
        <f>IF(A94="","",COUNTIF(TripSummary!$B$2:$B$2501,A94))</f>
        <v/>
      </c>
      <c r="G94">
        <f>IF(A94="","",IFERROR(ROWS(UNIQUE(FILTER(TripSummary!$H$2:$H$2501,TripSummary!$B$2:$B$2501=A94))),0))</f>
        <v/>
      </c>
      <c r="H94">
        <f>IF(OR(A94="",E94=0),"" ,D94/E94)</f>
        <v/>
      </c>
      <c r="I94">
        <f>IF(OR(A94="",B94=0),"",D94/B94)</f>
        <v/>
      </c>
      <c r="J94">
        <f>IF(OR(A94="",B94=0),"",C94/B94)</f>
        <v/>
      </c>
      <c r="K94">
        <f>IF(OR(A94="",G94=0),"",F94/G94)</f>
        <v/>
      </c>
      <c r="L94">
        <f>IF(A94="","",IFERROR(C94/SUMIF(TripSummary!$B$2:$B$2501,A94,TripSummary!$I$2:$I$2501),0))</f>
        <v/>
      </c>
      <c r="M94">
        <f>IF(OR(A94="",G94=0),"",C94/G94)</f>
        <v/>
      </c>
      <c r="N94">
        <f>IF(OR(A94="",F94=0),"",(MAXIFS(TripSummary!$L$2:$L$2501,TripSummary!$B$2:$B$2501,A94)-MINIFS(TripSummary!$L$2:$L$2501,TripSummary!$B$2:$B$2501,A94))*1440/F94)</f>
        <v/>
      </c>
    </row>
    <row r="95">
      <c r="B95">
        <f>IF(A95="","",SUMIF(TripSummary!$B$2:$B$2501,A95,TripSummary!$E$2:$E$2501))</f>
        <v/>
      </c>
      <c r="C95">
        <f>IF(A95="","",SUMIF(TripSummary!$B$2:$B$2501,A95,TripSummary!$F$2:$F$2501))</f>
        <v/>
      </c>
      <c r="D95">
        <f>IF(A95="","",SUMIF(TripSummary!$B$2:$B$2501,A95,TripSummary!$G$2:$G$2501))</f>
        <v/>
      </c>
      <c r="E95">
        <f>IF(A95="","",SUMIF(TripSummary!$B$2:$B$2501,A95,TripSummary!$K$2:$K$2501))</f>
        <v/>
      </c>
      <c r="F95">
        <f>IF(A95="","",COUNTIF(TripSummary!$B$2:$B$2501,A95))</f>
        <v/>
      </c>
      <c r="G95">
        <f>IF(A95="","",IFERROR(ROWS(UNIQUE(FILTER(TripSummary!$H$2:$H$2501,TripSummary!$B$2:$B$2501=A95))),0))</f>
        <v/>
      </c>
      <c r="H95">
        <f>IF(OR(A95="",E95=0),"" ,D95/E95)</f>
        <v/>
      </c>
      <c r="I95">
        <f>IF(OR(A95="",B95=0),"",D95/B95)</f>
        <v/>
      </c>
      <c r="J95">
        <f>IF(OR(A95="",B95=0),"",C95/B95)</f>
        <v/>
      </c>
      <c r="K95">
        <f>IF(OR(A95="",G95=0),"",F95/G95)</f>
        <v/>
      </c>
      <c r="L95">
        <f>IF(A95="","",IFERROR(C95/SUMIF(TripSummary!$B$2:$B$2501,A95,TripSummary!$I$2:$I$2501),0))</f>
        <v/>
      </c>
      <c r="M95">
        <f>IF(OR(A95="",G95=0),"",C95/G95)</f>
        <v/>
      </c>
      <c r="N95">
        <f>IF(OR(A95="",F95=0),"",(MAXIFS(TripSummary!$L$2:$L$2501,TripSummary!$B$2:$B$2501,A95)-MINIFS(TripSummary!$L$2:$L$2501,TripSummary!$B$2:$B$2501,A95))*1440/F95)</f>
        <v/>
      </c>
    </row>
    <row r="96">
      <c r="B96">
        <f>IF(A96="","",SUMIF(TripSummary!$B$2:$B$2501,A96,TripSummary!$E$2:$E$2501))</f>
        <v/>
      </c>
      <c r="C96">
        <f>IF(A96="","",SUMIF(TripSummary!$B$2:$B$2501,A96,TripSummary!$F$2:$F$2501))</f>
        <v/>
      </c>
      <c r="D96">
        <f>IF(A96="","",SUMIF(TripSummary!$B$2:$B$2501,A96,TripSummary!$G$2:$G$2501))</f>
        <v/>
      </c>
      <c r="E96">
        <f>IF(A96="","",SUMIF(TripSummary!$B$2:$B$2501,A96,TripSummary!$K$2:$K$2501))</f>
        <v/>
      </c>
      <c r="F96">
        <f>IF(A96="","",COUNTIF(TripSummary!$B$2:$B$2501,A96))</f>
        <v/>
      </c>
      <c r="G96">
        <f>IF(A96="","",IFERROR(ROWS(UNIQUE(FILTER(TripSummary!$H$2:$H$2501,TripSummary!$B$2:$B$2501=A96))),0))</f>
        <v/>
      </c>
      <c r="H96">
        <f>IF(OR(A96="",E96=0),"" ,D96/E96)</f>
        <v/>
      </c>
      <c r="I96">
        <f>IF(OR(A96="",B96=0),"",D96/B96)</f>
        <v/>
      </c>
      <c r="J96">
        <f>IF(OR(A96="",B96=0),"",C96/B96)</f>
        <v/>
      </c>
      <c r="K96">
        <f>IF(OR(A96="",G96=0),"",F96/G96)</f>
        <v/>
      </c>
      <c r="L96">
        <f>IF(A96="","",IFERROR(C96/SUMIF(TripSummary!$B$2:$B$2501,A96,TripSummary!$I$2:$I$2501),0))</f>
        <v/>
      </c>
      <c r="M96">
        <f>IF(OR(A96="",G96=0),"",C96/G96)</f>
        <v/>
      </c>
      <c r="N96">
        <f>IF(OR(A96="",F96=0),"",(MAXIFS(TripSummary!$L$2:$L$2501,TripSummary!$B$2:$B$2501,A96)-MINIFS(TripSummary!$L$2:$L$2501,TripSummary!$B$2:$B$2501,A96))*1440/F96)</f>
        <v/>
      </c>
    </row>
    <row r="97">
      <c r="B97">
        <f>IF(A97="","",SUMIF(TripSummary!$B$2:$B$2501,A97,TripSummary!$E$2:$E$2501))</f>
        <v/>
      </c>
      <c r="C97">
        <f>IF(A97="","",SUMIF(TripSummary!$B$2:$B$2501,A97,TripSummary!$F$2:$F$2501))</f>
        <v/>
      </c>
      <c r="D97">
        <f>IF(A97="","",SUMIF(TripSummary!$B$2:$B$2501,A97,TripSummary!$G$2:$G$2501))</f>
        <v/>
      </c>
      <c r="E97">
        <f>IF(A97="","",SUMIF(TripSummary!$B$2:$B$2501,A97,TripSummary!$K$2:$K$2501))</f>
        <v/>
      </c>
      <c r="F97">
        <f>IF(A97="","",COUNTIF(TripSummary!$B$2:$B$2501,A97))</f>
        <v/>
      </c>
      <c r="G97">
        <f>IF(A97="","",IFERROR(ROWS(UNIQUE(FILTER(TripSummary!$H$2:$H$2501,TripSummary!$B$2:$B$2501=A97))),0))</f>
        <v/>
      </c>
      <c r="H97">
        <f>IF(OR(A97="",E97=0),"" ,D97/E97)</f>
        <v/>
      </c>
      <c r="I97">
        <f>IF(OR(A97="",B97=0),"",D97/B97)</f>
        <v/>
      </c>
      <c r="J97">
        <f>IF(OR(A97="",B97=0),"",C97/B97)</f>
        <v/>
      </c>
      <c r="K97">
        <f>IF(OR(A97="",G97=0),"",F97/G97)</f>
        <v/>
      </c>
      <c r="L97">
        <f>IF(A97="","",IFERROR(C97/SUMIF(TripSummary!$B$2:$B$2501,A97,TripSummary!$I$2:$I$2501),0))</f>
        <v/>
      </c>
      <c r="M97">
        <f>IF(OR(A97="",G97=0),"",C97/G97)</f>
        <v/>
      </c>
      <c r="N97">
        <f>IF(OR(A97="",F97=0),"",(MAXIFS(TripSummary!$L$2:$L$2501,TripSummary!$B$2:$B$2501,A97)-MINIFS(TripSummary!$L$2:$L$2501,TripSummary!$B$2:$B$2501,A97))*1440/F97)</f>
        <v/>
      </c>
    </row>
    <row r="98">
      <c r="B98">
        <f>IF(A98="","",SUMIF(TripSummary!$B$2:$B$2501,A98,TripSummary!$E$2:$E$2501))</f>
        <v/>
      </c>
      <c r="C98">
        <f>IF(A98="","",SUMIF(TripSummary!$B$2:$B$2501,A98,TripSummary!$F$2:$F$2501))</f>
        <v/>
      </c>
      <c r="D98">
        <f>IF(A98="","",SUMIF(TripSummary!$B$2:$B$2501,A98,TripSummary!$G$2:$G$2501))</f>
        <v/>
      </c>
      <c r="E98">
        <f>IF(A98="","",SUMIF(TripSummary!$B$2:$B$2501,A98,TripSummary!$K$2:$K$2501))</f>
        <v/>
      </c>
      <c r="F98">
        <f>IF(A98="","",COUNTIF(TripSummary!$B$2:$B$2501,A98))</f>
        <v/>
      </c>
      <c r="G98">
        <f>IF(A98="","",IFERROR(ROWS(UNIQUE(FILTER(TripSummary!$H$2:$H$2501,TripSummary!$B$2:$B$2501=A98))),0))</f>
        <v/>
      </c>
      <c r="H98">
        <f>IF(OR(A98="",E98=0),"" ,D98/E98)</f>
        <v/>
      </c>
      <c r="I98">
        <f>IF(OR(A98="",B98=0),"",D98/B98)</f>
        <v/>
      </c>
      <c r="J98">
        <f>IF(OR(A98="",B98=0),"",C98/B98)</f>
        <v/>
      </c>
      <c r="K98">
        <f>IF(OR(A98="",G98=0),"",F98/G98)</f>
        <v/>
      </c>
      <c r="L98">
        <f>IF(A98="","",IFERROR(C98/SUMIF(TripSummary!$B$2:$B$2501,A98,TripSummary!$I$2:$I$2501),0))</f>
        <v/>
      </c>
      <c r="M98">
        <f>IF(OR(A98="",G98=0),"",C98/G98)</f>
        <v/>
      </c>
      <c r="N98">
        <f>IF(OR(A98="",F98=0),"",(MAXIFS(TripSummary!$L$2:$L$2501,TripSummary!$B$2:$B$2501,A98)-MINIFS(TripSummary!$L$2:$L$2501,TripSummary!$B$2:$B$2501,A98))*1440/F98)</f>
        <v/>
      </c>
    </row>
    <row r="99">
      <c r="B99">
        <f>IF(A99="","",SUMIF(TripSummary!$B$2:$B$2501,A99,TripSummary!$E$2:$E$2501))</f>
        <v/>
      </c>
      <c r="C99">
        <f>IF(A99="","",SUMIF(TripSummary!$B$2:$B$2501,A99,TripSummary!$F$2:$F$2501))</f>
        <v/>
      </c>
      <c r="D99">
        <f>IF(A99="","",SUMIF(TripSummary!$B$2:$B$2501,A99,TripSummary!$G$2:$G$2501))</f>
        <v/>
      </c>
      <c r="E99">
        <f>IF(A99="","",SUMIF(TripSummary!$B$2:$B$2501,A99,TripSummary!$K$2:$K$2501))</f>
        <v/>
      </c>
      <c r="F99">
        <f>IF(A99="","",COUNTIF(TripSummary!$B$2:$B$2501,A99))</f>
        <v/>
      </c>
      <c r="G99">
        <f>IF(A99="","",IFERROR(ROWS(UNIQUE(FILTER(TripSummary!$H$2:$H$2501,TripSummary!$B$2:$B$2501=A99))),0))</f>
        <v/>
      </c>
      <c r="H99">
        <f>IF(OR(A99="",E99=0),"" ,D99/E99)</f>
        <v/>
      </c>
      <c r="I99">
        <f>IF(OR(A99="",B99=0),"",D99/B99)</f>
        <v/>
      </c>
      <c r="J99">
        <f>IF(OR(A99="",B99=0),"",C99/B99)</f>
        <v/>
      </c>
      <c r="K99">
        <f>IF(OR(A99="",G99=0),"",F99/G99)</f>
        <v/>
      </c>
      <c r="L99">
        <f>IF(A99="","",IFERROR(C99/SUMIF(TripSummary!$B$2:$B$2501,A99,TripSummary!$I$2:$I$2501),0))</f>
        <v/>
      </c>
      <c r="M99">
        <f>IF(OR(A99="",G99=0),"",C99/G99)</f>
        <v/>
      </c>
      <c r="N99">
        <f>IF(OR(A99="",F99=0),"",(MAXIFS(TripSummary!$L$2:$L$2501,TripSummary!$B$2:$B$2501,A99)-MINIFS(TripSummary!$L$2:$L$2501,TripSummary!$B$2:$B$2501,A99))*1440/F99)</f>
        <v/>
      </c>
    </row>
    <row r="100">
      <c r="B100">
        <f>IF(A100="","",SUMIF(TripSummary!$B$2:$B$2501,A100,TripSummary!$E$2:$E$2501))</f>
        <v/>
      </c>
      <c r="C100">
        <f>IF(A100="","",SUMIF(TripSummary!$B$2:$B$2501,A100,TripSummary!$F$2:$F$2501))</f>
        <v/>
      </c>
      <c r="D100">
        <f>IF(A100="","",SUMIF(TripSummary!$B$2:$B$2501,A100,TripSummary!$G$2:$G$2501))</f>
        <v/>
      </c>
      <c r="E100">
        <f>IF(A100="","",SUMIF(TripSummary!$B$2:$B$2501,A100,TripSummary!$K$2:$K$2501))</f>
        <v/>
      </c>
      <c r="F100">
        <f>IF(A100="","",COUNTIF(TripSummary!$B$2:$B$2501,A100))</f>
        <v/>
      </c>
      <c r="G100">
        <f>IF(A100="","",IFERROR(ROWS(UNIQUE(FILTER(TripSummary!$H$2:$H$2501,TripSummary!$B$2:$B$2501=A100))),0))</f>
        <v/>
      </c>
      <c r="H100">
        <f>IF(OR(A100="",E100=0),"" ,D100/E100)</f>
        <v/>
      </c>
      <c r="I100">
        <f>IF(OR(A100="",B100=0),"",D100/B100)</f>
        <v/>
      </c>
      <c r="J100">
        <f>IF(OR(A100="",B100=0),"",C100/B100)</f>
        <v/>
      </c>
      <c r="K100">
        <f>IF(OR(A100="",G100=0),"",F100/G100)</f>
        <v/>
      </c>
      <c r="L100">
        <f>IF(A100="","",IFERROR(C100/SUMIF(TripSummary!$B$2:$B$2501,A100,TripSummary!$I$2:$I$2501),0))</f>
        <v/>
      </c>
      <c r="M100">
        <f>IF(OR(A100="",G100=0),"",C100/G100)</f>
        <v/>
      </c>
      <c r="N100">
        <f>IF(OR(A100="",F100=0),"",(MAXIFS(TripSummary!$L$2:$L$2501,TripSummary!$B$2:$B$2501,A100)-MINIFS(TripSummary!$L$2:$L$2501,TripSummary!$B$2:$B$2501,A100))*1440/F100)</f>
        <v/>
      </c>
    </row>
    <row r="101">
      <c r="B101">
        <f>IF(A101="","",SUMIF(TripSummary!$B$2:$B$2501,A101,TripSummary!$E$2:$E$2501))</f>
        <v/>
      </c>
      <c r="C101">
        <f>IF(A101="","",SUMIF(TripSummary!$B$2:$B$2501,A101,TripSummary!$F$2:$F$2501))</f>
        <v/>
      </c>
      <c r="D101">
        <f>IF(A101="","",SUMIF(TripSummary!$B$2:$B$2501,A101,TripSummary!$G$2:$G$2501))</f>
        <v/>
      </c>
      <c r="E101">
        <f>IF(A101="","",SUMIF(TripSummary!$B$2:$B$2501,A101,TripSummary!$K$2:$K$2501))</f>
        <v/>
      </c>
      <c r="F101">
        <f>IF(A101="","",COUNTIF(TripSummary!$B$2:$B$2501,A101))</f>
        <v/>
      </c>
      <c r="G101">
        <f>IF(A101="","",IFERROR(ROWS(UNIQUE(FILTER(TripSummary!$H$2:$H$2501,TripSummary!$B$2:$B$2501=A101))),0))</f>
        <v/>
      </c>
      <c r="H101">
        <f>IF(OR(A101="",E101=0),"" ,D101/E101)</f>
        <v/>
      </c>
      <c r="I101">
        <f>IF(OR(A101="",B101=0),"",D101/B101)</f>
        <v/>
      </c>
      <c r="J101">
        <f>IF(OR(A101="",B101=0),"",C101/B101)</f>
        <v/>
      </c>
      <c r="K101">
        <f>IF(OR(A101="",G101=0),"",F101/G101)</f>
        <v/>
      </c>
      <c r="L101">
        <f>IF(A101="","",IFERROR(C101/SUMIF(TripSummary!$B$2:$B$2501,A101,TripSummary!$I$2:$I$2501),0))</f>
        <v/>
      </c>
      <c r="M101">
        <f>IF(OR(A101="",G101=0),"",C101/G101)</f>
        <v/>
      </c>
      <c r="N101">
        <f>IF(OR(A101="",F101=0),"",(MAXIFS(TripSummary!$L$2:$L$2501,TripSummary!$B$2:$B$2501,A101)-MINIFS(TripSummary!$L$2:$L$2501,TripSummary!$B$2:$B$2501,A101))*1440/F101)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6" t="inlineStr">
        <is>
          <t>Route</t>
        </is>
      </c>
      <c r="B1" s="6" t="inlineStr">
        <is>
          <t>Ridership</t>
        </is>
      </c>
      <c r="C1" s="6" t="inlineStr">
        <is>
          <t>Revenue</t>
        </is>
      </c>
      <c r="D1" s="6" t="inlineStr">
        <is>
          <t>Trips</t>
        </is>
      </c>
      <c r="E1" s="6" t="inlineStr">
        <is>
          <t>PaxKm</t>
        </is>
      </c>
      <c r="F1" s="6" t="inlineStr">
        <is>
          <t>CapacityKm</t>
        </is>
      </c>
      <c r="G1" s="6" t="inlineStr">
        <is>
          <t>LF</t>
        </is>
      </c>
      <c r="H1" s="6" t="inlineStr">
        <is>
          <t>SharePax</t>
        </is>
      </c>
      <c r="I1" s="6" t="inlineStr">
        <is>
          <t>ShareRev</t>
        </is>
      </c>
      <c r="J1" s="6" t="inlineStr">
        <is>
          <t>FareYield</t>
        </is>
      </c>
    </row>
    <row r="2">
      <c r="A2">
        <f>IFERROR(UNIQUE(FILTER(TripSummary!$C$2:$C$2501,TripSummary!$C$2:$C$2501&lt;&gt;"")),"")</f>
        <v/>
      </c>
      <c r="B2">
        <f>IF(A2="","",SUMIF(TripSummary!$C$2:$C$2501,A2,TripSummary!$E$2:$E$2501))</f>
        <v/>
      </c>
      <c r="C2">
        <f>IF(A2="","",SUMIF(TripSummary!$C$2:$C$2501,A2,TripSummary!$F$2:$F$2501))</f>
        <v/>
      </c>
      <c r="D2">
        <f>IF(A2="","",COUNTIF(TripSummary!$C$2:$C$2501,A2))</f>
        <v/>
      </c>
      <c r="E2">
        <f>IF(A2="","",SUMIF(TripSummary!$C$2:$C$2501,A2,TripSummary!$G$2:$G$2501))</f>
        <v/>
      </c>
      <c r="F2">
        <f>IF(A2="","",SUMIF(TripSummary!$C$2:$C$2501,A2,TripSummary!$K$2:$K$2501))</f>
        <v/>
      </c>
      <c r="G2" s="9">
        <f>IF(OR(A2="",F2=0),"",E2/F2)</f>
        <v/>
      </c>
      <c r="H2" s="9">
        <f>IF(OR(A2="",KPI!$B$5=0),"",B2/KPI!$B$5)</f>
        <v/>
      </c>
      <c r="I2" s="9">
        <f>IF(OR(A2="",KPI!$B$8=0),"",C2/KPI!$B$8)</f>
        <v/>
      </c>
      <c r="J2" s="10">
        <f>IF(OR(A2="",B2=0),"",C2/B2)</f>
        <v/>
      </c>
    </row>
    <row r="3">
      <c r="B3">
        <f>IF(A3="","",SUMIF(TripSummary!$C$2:$C$2501,A3,TripSummary!$E$2:$E$2501))</f>
        <v/>
      </c>
      <c r="C3">
        <f>IF(A3="","",SUMIF(TripSummary!$C$2:$C$2501,A3,TripSummary!$F$2:$F$2501))</f>
        <v/>
      </c>
      <c r="D3">
        <f>IF(A3="","",COUNTIF(TripSummary!$C$2:$C$2501,A3))</f>
        <v/>
      </c>
      <c r="E3">
        <f>IF(A3="","",SUMIF(TripSummary!$C$2:$C$2501,A3,TripSummary!$G$2:$G$2501))</f>
        <v/>
      </c>
      <c r="F3">
        <f>IF(A3="","",SUMIF(TripSummary!$C$2:$C$2501,A3,TripSummary!$K$2:$K$2501))</f>
        <v/>
      </c>
      <c r="G3" s="9">
        <f>IF(OR(A3="",F3=0),"",E3/F3)</f>
        <v/>
      </c>
      <c r="H3" s="9">
        <f>IF(OR(A3="",KPI!$B$5=0),"",B3/KPI!$B$5)</f>
        <v/>
      </c>
      <c r="I3" s="9">
        <f>IF(OR(A3="",KPI!$B$8=0),"",C3/KPI!$B$8)</f>
        <v/>
      </c>
      <c r="J3" s="10">
        <f>IF(OR(A3="",B3=0),"",C3/B3)</f>
        <v/>
      </c>
    </row>
    <row r="4">
      <c r="B4">
        <f>IF(A4="","",SUMIF(TripSummary!$C$2:$C$2501,A4,TripSummary!$E$2:$E$2501))</f>
        <v/>
      </c>
      <c r="C4">
        <f>IF(A4="","",SUMIF(TripSummary!$C$2:$C$2501,A4,TripSummary!$F$2:$F$2501))</f>
        <v/>
      </c>
      <c r="D4">
        <f>IF(A4="","",COUNTIF(TripSummary!$C$2:$C$2501,A4))</f>
        <v/>
      </c>
      <c r="E4">
        <f>IF(A4="","",SUMIF(TripSummary!$C$2:$C$2501,A4,TripSummary!$G$2:$G$2501))</f>
        <v/>
      </c>
      <c r="F4">
        <f>IF(A4="","",SUMIF(TripSummary!$C$2:$C$2501,A4,TripSummary!$K$2:$K$2501))</f>
        <v/>
      </c>
      <c r="G4" s="9">
        <f>IF(OR(A4="",F4=0),"",E4/F4)</f>
        <v/>
      </c>
      <c r="H4" s="9">
        <f>IF(OR(A4="",KPI!$B$5=0),"",B4/KPI!$B$5)</f>
        <v/>
      </c>
      <c r="I4" s="9">
        <f>IF(OR(A4="",KPI!$B$8=0),"",C4/KPI!$B$8)</f>
        <v/>
      </c>
      <c r="J4" s="10">
        <f>IF(OR(A4="",B4=0),"",C4/B4)</f>
        <v/>
      </c>
    </row>
    <row r="5">
      <c r="B5">
        <f>IF(A5="","",SUMIF(TripSummary!$C$2:$C$2501,A5,TripSummary!$E$2:$E$2501))</f>
        <v/>
      </c>
      <c r="C5">
        <f>IF(A5="","",SUMIF(TripSummary!$C$2:$C$2501,A5,TripSummary!$F$2:$F$2501))</f>
        <v/>
      </c>
      <c r="D5">
        <f>IF(A5="","",COUNTIF(TripSummary!$C$2:$C$2501,A5))</f>
        <v/>
      </c>
      <c r="E5">
        <f>IF(A5="","",SUMIF(TripSummary!$C$2:$C$2501,A5,TripSummary!$G$2:$G$2501))</f>
        <v/>
      </c>
      <c r="F5">
        <f>IF(A5="","",SUMIF(TripSummary!$C$2:$C$2501,A5,TripSummary!$K$2:$K$2501))</f>
        <v/>
      </c>
      <c r="G5" s="9">
        <f>IF(OR(A5="",F5=0),"",E5/F5)</f>
        <v/>
      </c>
      <c r="H5" s="9">
        <f>IF(OR(A5="",KPI!$B$5=0),"",B5/KPI!$B$5)</f>
        <v/>
      </c>
      <c r="I5" s="9">
        <f>IF(OR(A5="",KPI!$B$8=0),"",C5/KPI!$B$8)</f>
        <v/>
      </c>
      <c r="J5" s="10">
        <f>IF(OR(A5="",B5=0),"",C5/B5)</f>
        <v/>
      </c>
    </row>
    <row r="6">
      <c r="B6">
        <f>IF(A6="","",SUMIF(TripSummary!$C$2:$C$2501,A6,TripSummary!$E$2:$E$2501))</f>
        <v/>
      </c>
      <c r="C6">
        <f>IF(A6="","",SUMIF(TripSummary!$C$2:$C$2501,A6,TripSummary!$F$2:$F$2501))</f>
        <v/>
      </c>
      <c r="D6">
        <f>IF(A6="","",COUNTIF(TripSummary!$C$2:$C$2501,A6))</f>
        <v/>
      </c>
      <c r="E6">
        <f>IF(A6="","",SUMIF(TripSummary!$C$2:$C$2501,A6,TripSummary!$G$2:$G$2501))</f>
        <v/>
      </c>
      <c r="F6">
        <f>IF(A6="","",SUMIF(TripSummary!$C$2:$C$2501,A6,TripSummary!$K$2:$K$2501))</f>
        <v/>
      </c>
      <c r="G6" s="9">
        <f>IF(OR(A6="",F6=0),"",E6/F6)</f>
        <v/>
      </c>
      <c r="H6" s="9">
        <f>IF(OR(A6="",KPI!$B$5=0),"",B6/KPI!$B$5)</f>
        <v/>
      </c>
      <c r="I6" s="9">
        <f>IF(OR(A6="",KPI!$B$8=0),"",C6/KPI!$B$8)</f>
        <v/>
      </c>
      <c r="J6" s="10">
        <f>IF(OR(A6="",B6=0),"",C6/B6)</f>
        <v/>
      </c>
    </row>
    <row r="7">
      <c r="B7">
        <f>IF(A7="","",SUMIF(TripSummary!$C$2:$C$2501,A7,TripSummary!$E$2:$E$2501))</f>
        <v/>
      </c>
      <c r="C7">
        <f>IF(A7="","",SUMIF(TripSummary!$C$2:$C$2501,A7,TripSummary!$F$2:$F$2501))</f>
        <v/>
      </c>
      <c r="D7">
        <f>IF(A7="","",COUNTIF(TripSummary!$C$2:$C$2501,A7))</f>
        <v/>
      </c>
      <c r="E7">
        <f>IF(A7="","",SUMIF(TripSummary!$C$2:$C$2501,A7,TripSummary!$G$2:$G$2501))</f>
        <v/>
      </c>
      <c r="F7">
        <f>IF(A7="","",SUMIF(TripSummary!$C$2:$C$2501,A7,TripSummary!$K$2:$K$2501))</f>
        <v/>
      </c>
      <c r="G7" s="9">
        <f>IF(OR(A7="",F7=0),"",E7/F7)</f>
        <v/>
      </c>
      <c r="H7" s="9">
        <f>IF(OR(A7="",KPI!$B$5=0),"",B7/KPI!$B$5)</f>
        <v/>
      </c>
      <c r="I7" s="9">
        <f>IF(OR(A7="",KPI!$B$8=0),"",C7/KPI!$B$8)</f>
        <v/>
      </c>
      <c r="J7" s="10">
        <f>IF(OR(A7="",B7=0),"",C7/B7)</f>
        <v/>
      </c>
    </row>
    <row r="8">
      <c r="B8">
        <f>IF(A8="","",SUMIF(TripSummary!$C$2:$C$2501,A8,TripSummary!$E$2:$E$2501))</f>
        <v/>
      </c>
      <c r="C8">
        <f>IF(A8="","",SUMIF(TripSummary!$C$2:$C$2501,A8,TripSummary!$F$2:$F$2501))</f>
        <v/>
      </c>
      <c r="D8">
        <f>IF(A8="","",COUNTIF(TripSummary!$C$2:$C$2501,A8))</f>
        <v/>
      </c>
      <c r="E8">
        <f>IF(A8="","",SUMIF(TripSummary!$C$2:$C$2501,A8,TripSummary!$G$2:$G$2501))</f>
        <v/>
      </c>
      <c r="F8">
        <f>IF(A8="","",SUMIF(TripSummary!$C$2:$C$2501,A8,TripSummary!$K$2:$K$2501))</f>
        <v/>
      </c>
      <c r="G8" s="9">
        <f>IF(OR(A8="",F8=0),"",E8/F8)</f>
        <v/>
      </c>
      <c r="H8" s="9">
        <f>IF(OR(A8="",KPI!$B$5=0),"",B8/KPI!$B$5)</f>
        <v/>
      </c>
      <c r="I8" s="9">
        <f>IF(OR(A8="",KPI!$B$8=0),"",C8/KPI!$B$8)</f>
        <v/>
      </c>
      <c r="J8" s="10">
        <f>IF(OR(A8="",B8=0),"",C8/B8)</f>
        <v/>
      </c>
    </row>
    <row r="9">
      <c r="B9">
        <f>IF(A9="","",SUMIF(TripSummary!$C$2:$C$2501,A9,TripSummary!$E$2:$E$2501))</f>
        <v/>
      </c>
      <c r="C9">
        <f>IF(A9="","",SUMIF(TripSummary!$C$2:$C$2501,A9,TripSummary!$F$2:$F$2501))</f>
        <v/>
      </c>
      <c r="D9">
        <f>IF(A9="","",COUNTIF(TripSummary!$C$2:$C$2501,A9))</f>
        <v/>
      </c>
      <c r="E9">
        <f>IF(A9="","",SUMIF(TripSummary!$C$2:$C$2501,A9,TripSummary!$G$2:$G$2501))</f>
        <v/>
      </c>
      <c r="F9">
        <f>IF(A9="","",SUMIF(TripSummary!$C$2:$C$2501,A9,TripSummary!$K$2:$K$2501))</f>
        <v/>
      </c>
      <c r="G9" s="9">
        <f>IF(OR(A9="",F9=0),"",E9/F9)</f>
        <v/>
      </c>
      <c r="H9" s="9">
        <f>IF(OR(A9="",KPI!$B$5=0),"",B9/KPI!$B$5)</f>
        <v/>
      </c>
      <c r="I9" s="9">
        <f>IF(OR(A9="",KPI!$B$8=0),"",C9/KPI!$B$8)</f>
        <v/>
      </c>
      <c r="J9" s="10">
        <f>IF(OR(A9="",B9=0),"",C9/B9)</f>
        <v/>
      </c>
    </row>
    <row r="10">
      <c r="B10">
        <f>IF(A10="","",SUMIF(TripSummary!$C$2:$C$2501,A10,TripSummary!$E$2:$E$2501))</f>
        <v/>
      </c>
      <c r="C10">
        <f>IF(A10="","",SUMIF(TripSummary!$C$2:$C$2501,A10,TripSummary!$F$2:$F$2501))</f>
        <v/>
      </c>
      <c r="D10">
        <f>IF(A10="","",COUNTIF(TripSummary!$C$2:$C$2501,A10))</f>
        <v/>
      </c>
      <c r="E10">
        <f>IF(A10="","",SUMIF(TripSummary!$C$2:$C$2501,A10,TripSummary!$G$2:$G$2501))</f>
        <v/>
      </c>
      <c r="F10">
        <f>IF(A10="","",SUMIF(TripSummary!$C$2:$C$2501,A10,TripSummary!$K$2:$K$2501))</f>
        <v/>
      </c>
      <c r="G10" s="9">
        <f>IF(OR(A10="",F10=0),"",E10/F10)</f>
        <v/>
      </c>
      <c r="H10" s="9">
        <f>IF(OR(A10="",KPI!$B$5=0),"",B10/KPI!$B$5)</f>
        <v/>
      </c>
      <c r="I10" s="9">
        <f>IF(OR(A10="",KPI!$B$8=0),"",C10/KPI!$B$8)</f>
        <v/>
      </c>
      <c r="J10" s="10">
        <f>IF(OR(A10="",B10=0),"",C10/B10)</f>
        <v/>
      </c>
    </row>
    <row r="11">
      <c r="B11">
        <f>IF(A11="","",SUMIF(TripSummary!$C$2:$C$2501,A11,TripSummary!$E$2:$E$2501))</f>
        <v/>
      </c>
      <c r="C11">
        <f>IF(A11="","",SUMIF(TripSummary!$C$2:$C$2501,A11,TripSummary!$F$2:$F$2501))</f>
        <v/>
      </c>
      <c r="D11">
        <f>IF(A11="","",COUNTIF(TripSummary!$C$2:$C$2501,A11))</f>
        <v/>
      </c>
      <c r="E11">
        <f>IF(A11="","",SUMIF(TripSummary!$C$2:$C$2501,A11,TripSummary!$G$2:$G$2501))</f>
        <v/>
      </c>
      <c r="F11">
        <f>IF(A11="","",SUMIF(TripSummary!$C$2:$C$2501,A11,TripSummary!$K$2:$K$2501))</f>
        <v/>
      </c>
      <c r="G11" s="9">
        <f>IF(OR(A11="",F11=0),"",E11/F11)</f>
        <v/>
      </c>
      <c r="H11" s="9">
        <f>IF(OR(A11="",KPI!$B$5=0),"",B11/KPI!$B$5)</f>
        <v/>
      </c>
      <c r="I11" s="9">
        <f>IF(OR(A11="",KPI!$B$8=0),"",C11/KPI!$B$8)</f>
        <v/>
      </c>
      <c r="J11" s="10">
        <f>IF(OR(A11="",B11=0),"",C11/B11)</f>
        <v/>
      </c>
    </row>
    <row r="12">
      <c r="B12">
        <f>IF(A12="","",SUMIF(TripSummary!$C$2:$C$2501,A12,TripSummary!$E$2:$E$2501))</f>
        <v/>
      </c>
      <c r="C12">
        <f>IF(A12="","",SUMIF(TripSummary!$C$2:$C$2501,A12,TripSummary!$F$2:$F$2501))</f>
        <v/>
      </c>
      <c r="D12">
        <f>IF(A12="","",COUNTIF(TripSummary!$C$2:$C$2501,A12))</f>
        <v/>
      </c>
      <c r="E12">
        <f>IF(A12="","",SUMIF(TripSummary!$C$2:$C$2501,A12,TripSummary!$G$2:$G$2501))</f>
        <v/>
      </c>
      <c r="F12">
        <f>IF(A12="","",SUMIF(TripSummary!$C$2:$C$2501,A12,TripSummary!$K$2:$K$2501))</f>
        <v/>
      </c>
      <c r="G12" s="9">
        <f>IF(OR(A12="",F12=0),"",E12/F12)</f>
        <v/>
      </c>
      <c r="H12" s="9">
        <f>IF(OR(A12="",KPI!$B$5=0),"",B12/KPI!$B$5)</f>
        <v/>
      </c>
      <c r="I12" s="9">
        <f>IF(OR(A12="",KPI!$B$8=0),"",C12/KPI!$B$8)</f>
        <v/>
      </c>
      <c r="J12" s="10">
        <f>IF(OR(A12="",B12=0),"",C12/B12)</f>
        <v/>
      </c>
    </row>
    <row r="13">
      <c r="B13">
        <f>IF(A13="","",SUMIF(TripSummary!$C$2:$C$2501,A13,TripSummary!$E$2:$E$2501))</f>
        <v/>
      </c>
      <c r="C13">
        <f>IF(A13="","",SUMIF(TripSummary!$C$2:$C$2501,A13,TripSummary!$F$2:$F$2501))</f>
        <v/>
      </c>
      <c r="D13">
        <f>IF(A13="","",COUNTIF(TripSummary!$C$2:$C$2501,A13))</f>
        <v/>
      </c>
      <c r="E13">
        <f>IF(A13="","",SUMIF(TripSummary!$C$2:$C$2501,A13,TripSummary!$G$2:$G$2501))</f>
        <v/>
      </c>
      <c r="F13">
        <f>IF(A13="","",SUMIF(TripSummary!$C$2:$C$2501,A13,TripSummary!$K$2:$K$2501))</f>
        <v/>
      </c>
      <c r="G13" s="9">
        <f>IF(OR(A13="",F13=0),"",E13/F13)</f>
        <v/>
      </c>
      <c r="H13" s="9">
        <f>IF(OR(A13="",KPI!$B$5=0),"",B13/KPI!$B$5)</f>
        <v/>
      </c>
      <c r="I13" s="9">
        <f>IF(OR(A13="",KPI!$B$8=0),"",C13/KPI!$B$8)</f>
        <v/>
      </c>
      <c r="J13" s="10">
        <f>IF(OR(A13="",B13=0),"",C13/B13)</f>
        <v/>
      </c>
    </row>
    <row r="14">
      <c r="B14">
        <f>IF(A14="","",SUMIF(TripSummary!$C$2:$C$2501,A14,TripSummary!$E$2:$E$2501))</f>
        <v/>
      </c>
      <c r="C14">
        <f>IF(A14="","",SUMIF(TripSummary!$C$2:$C$2501,A14,TripSummary!$F$2:$F$2501))</f>
        <v/>
      </c>
      <c r="D14">
        <f>IF(A14="","",COUNTIF(TripSummary!$C$2:$C$2501,A14))</f>
        <v/>
      </c>
      <c r="E14">
        <f>IF(A14="","",SUMIF(TripSummary!$C$2:$C$2501,A14,TripSummary!$G$2:$G$2501))</f>
        <v/>
      </c>
      <c r="F14">
        <f>IF(A14="","",SUMIF(TripSummary!$C$2:$C$2501,A14,TripSummary!$K$2:$K$2501))</f>
        <v/>
      </c>
      <c r="G14" s="9">
        <f>IF(OR(A14="",F14=0),"",E14/F14)</f>
        <v/>
      </c>
      <c r="H14" s="9">
        <f>IF(OR(A14="",KPI!$B$5=0),"",B14/KPI!$B$5)</f>
        <v/>
      </c>
      <c r="I14" s="9">
        <f>IF(OR(A14="",KPI!$B$8=0),"",C14/KPI!$B$8)</f>
        <v/>
      </c>
      <c r="J14" s="10">
        <f>IF(OR(A14="",B14=0),"",C14/B14)</f>
        <v/>
      </c>
    </row>
    <row r="15">
      <c r="B15">
        <f>IF(A15="","",SUMIF(TripSummary!$C$2:$C$2501,A15,TripSummary!$E$2:$E$2501))</f>
        <v/>
      </c>
      <c r="C15">
        <f>IF(A15="","",SUMIF(TripSummary!$C$2:$C$2501,A15,TripSummary!$F$2:$F$2501))</f>
        <v/>
      </c>
      <c r="D15">
        <f>IF(A15="","",COUNTIF(TripSummary!$C$2:$C$2501,A15))</f>
        <v/>
      </c>
      <c r="E15">
        <f>IF(A15="","",SUMIF(TripSummary!$C$2:$C$2501,A15,TripSummary!$G$2:$G$2501))</f>
        <v/>
      </c>
      <c r="F15">
        <f>IF(A15="","",SUMIF(TripSummary!$C$2:$C$2501,A15,TripSummary!$K$2:$K$2501))</f>
        <v/>
      </c>
      <c r="G15" s="9">
        <f>IF(OR(A15="",F15=0),"",E15/F15)</f>
        <v/>
      </c>
      <c r="H15" s="9">
        <f>IF(OR(A15="",KPI!$B$5=0),"",B15/KPI!$B$5)</f>
        <v/>
      </c>
      <c r="I15" s="9">
        <f>IF(OR(A15="",KPI!$B$8=0),"",C15/KPI!$B$8)</f>
        <v/>
      </c>
      <c r="J15" s="10">
        <f>IF(OR(A15="",B15=0),"",C15/B15)</f>
        <v/>
      </c>
    </row>
    <row r="16">
      <c r="B16">
        <f>IF(A16="","",SUMIF(TripSummary!$C$2:$C$2501,A16,TripSummary!$E$2:$E$2501))</f>
        <v/>
      </c>
      <c r="C16">
        <f>IF(A16="","",SUMIF(TripSummary!$C$2:$C$2501,A16,TripSummary!$F$2:$F$2501))</f>
        <v/>
      </c>
      <c r="D16">
        <f>IF(A16="","",COUNTIF(TripSummary!$C$2:$C$2501,A16))</f>
        <v/>
      </c>
      <c r="E16">
        <f>IF(A16="","",SUMIF(TripSummary!$C$2:$C$2501,A16,TripSummary!$G$2:$G$2501))</f>
        <v/>
      </c>
      <c r="F16">
        <f>IF(A16="","",SUMIF(TripSummary!$C$2:$C$2501,A16,TripSummary!$K$2:$K$2501))</f>
        <v/>
      </c>
      <c r="G16" s="9">
        <f>IF(OR(A16="",F16=0),"",E16/F16)</f>
        <v/>
      </c>
      <c r="H16" s="9">
        <f>IF(OR(A16="",KPI!$B$5=0),"",B16/KPI!$B$5)</f>
        <v/>
      </c>
      <c r="I16" s="9">
        <f>IF(OR(A16="",KPI!$B$8=0),"",C16/KPI!$B$8)</f>
        <v/>
      </c>
      <c r="J16" s="10">
        <f>IF(OR(A16="",B16=0),"",C16/B16)</f>
        <v/>
      </c>
    </row>
    <row r="17">
      <c r="B17">
        <f>IF(A17="","",SUMIF(TripSummary!$C$2:$C$2501,A17,TripSummary!$E$2:$E$2501))</f>
        <v/>
      </c>
      <c r="C17">
        <f>IF(A17="","",SUMIF(TripSummary!$C$2:$C$2501,A17,TripSummary!$F$2:$F$2501))</f>
        <v/>
      </c>
      <c r="D17">
        <f>IF(A17="","",COUNTIF(TripSummary!$C$2:$C$2501,A17))</f>
        <v/>
      </c>
      <c r="E17">
        <f>IF(A17="","",SUMIF(TripSummary!$C$2:$C$2501,A17,TripSummary!$G$2:$G$2501))</f>
        <v/>
      </c>
      <c r="F17">
        <f>IF(A17="","",SUMIF(TripSummary!$C$2:$C$2501,A17,TripSummary!$K$2:$K$2501))</f>
        <v/>
      </c>
      <c r="G17" s="9">
        <f>IF(OR(A17="",F17=0),"",E17/F17)</f>
        <v/>
      </c>
      <c r="H17" s="9">
        <f>IF(OR(A17="",KPI!$B$5=0),"",B17/KPI!$B$5)</f>
        <v/>
      </c>
      <c r="I17" s="9">
        <f>IF(OR(A17="",KPI!$B$8=0),"",C17/KPI!$B$8)</f>
        <v/>
      </c>
      <c r="J17" s="10">
        <f>IF(OR(A17="",B17=0),"",C17/B17)</f>
        <v/>
      </c>
    </row>
    <row r="18">
      <c r="B18">
        <f>IF(A18="","",SUMIF(TripSummary!$C$2:$C$2501,A18,TripSummary!$E$2:$E$2501))</f>
        <v/>
      </c>
      <c r="C18">
        <f>IF(A18="","",SUMIF(TripSummary!$C$2:$C$2501,A18,TripSummary!$F$2:$F$2501))</f>
        <v/>
      </c>
      <c r="D18">
        <f>IF(A18="","",COUNTIF(TripSummary!$C$2:$C$2501,A18))</f>
        <v/>
      </c>
      <c r="E18">
        <f>IF(A18="","",SUMIF(TripSummary!$C$2:$C$2501,A18,TripSummary!$G$2:$G$2501))</f>
        <v/>
      </c>
      <c r="F18">
        <f>IF(A18="","",SUMIF(TripSummary!$C$2:$C$2501,A18,TripSummary!$K$2:$K$2501))</f>
        <v/>
      </c>
      <c r="G18" s="9">
        <f>IF(OR(A18="",F18=0),"",E18/F18)</f>
        <v/>
      </c>
      <c r="H18" s="9">
        <f>IF(OR(A18="",KPI!$B$5=0),"",B18/KPI!$B$5)</f>
        <v/>
      </c>
      <c r="I18" s="9">
        <f>IF(OR(A18="",KPI!$B$8=0),"",C18/KPI!$B$8)</f>
        <v/>
      </c>
      <c r="J18" s="10">
        <f>IF(OR(A18="",B18=0),"",C18/B18)</f>
        <v/>
      </c>
    </row>
    <row r="19">
      <c r="B19">
        <f>IF(A19="","",SUMIF(TripSummary!$C$2:$C$2501,A19,TripSummary!$E$2:$E$2501))</f>
        <v/>
      </c>
      <c r="C19">
        <f>IF(A19="","",SUMIF(TripSummary!$C$2:$C$2501,A19,TripSummary!$F$2:$F$2501))</f>
        <v/>
      </c>
      <c r="D19">
        <f>IF(A19="","",COUNTIF(TripSummary!$C$2:$C$2501,A19))</f>
        <v/>
      </c>
      <c r="E19">
        <f>IF(A19="","",SUMIF(TripSummary!$C$2:$C$2501,A19,TripSummary!$G$2:$G$2501))</f>
        <v/>
      </c>
      <c r="F19">
        <f>IF(A19="","",SUMIF(TripSummary!$C$2:$C$2501,A19,TripSummary!$K$2:$K$2501))</f>
        <v/>
      </c>
      <c r="G19" s="9">
        <f>IF(OR(A19="",F19=0),"",E19/F19)</f>
        <v/>
      </c>
      <c r="H19" s="9">
        <f>IF(OR(A19="",KPI!$B$5=0),"",B19/KPI!$B$5)</f>
        <v/>
      </c>
      <c r="I19" s="9">
        <f>IF(OR(A19="",KPI!$B$8=0),"",C19/KPI!$B$8)</f>
        <v/>
      </c>
      <c r="J19" s="10">
        <f>IF(OR(A19="",B19=0),"",C19/B19)</f>
        <v/>
      </c>
    </row>
    <row r="20">
      <c r="B20">
        <f>IF(A20="","",SUMIF(TripSummary!$C$2:$C$2501,A20,TripSummary!$E$2:$E$2501))</f>
        <v/>
      </c>
      <c r="C20">
        <f>IF(A20="","",SUMIF(TripSummary!$C$2:$C$2501,A20,TripSummary!$F$2:$F$2501))</f>
        <v/>
      </c>
      <c r="D20">
        <f>IF(A20="","",COUNTIF(TripSummary!$C$2:$C$2501,A20))</f>
        <v/>
      </c>
      <c r="E20">
        <f>IF(A20="","",SUMIF(TripSummary!$C$2:$C$2501,A20,TripSummary!$G$2:$G$2501))</f>
        <v/>
      </c>
      <c r="F20">
        <f>IF(A20="","",SUMIF(TripSummary!$C$2:$C$2501,A20,TripSummary!$K$2:$K$2501))</f>
        <v/>
      </c>
      <c r="G20" s="9">
        <f>IF(OR(A20="",F20=0),"",E20/F20)</f>
        <v/>
      </c>
      <c r="H20" s="9">
        <f>IF(OR(A20="",KPI!$B$5=0),"",B20/KPI!$B$5)</f>
        <v/>
      </c>
      <c r="I20" s="9">
        <f>IF(OR(A20="",KPI!$B$8=0),"",C20/KPI!$B$8)</f>
        <v/>
      </c>
      <c r="J20" s="10">
        <f>IF(OR(A20="",B20=0),"",C20/B20)</f>
        <v/>
      </c>
    </row>
    <row r="21">
      <c r="B21">
        <f>IF(A21="","",SUMIF(TripSummary!$C$2:$C$2501,A21,TripSummary!$E$2:$E$2501))</f>
        <v/>
      </c>
      <c r="C21">
        <f>IF(A21="","",SUMIF(TripSummary!$C$2:$C$2501,A21,TripSummary!$F$2:$F$2501))</f>
        <v/>
      </c>
      <c r="D21">
        <f>IF(A21="","",COUNTIF(TripSummary!$C$2:$C$2501,A21))</f>
        <v/>
      </c>
      <c r="E21">
        <f>IF(A21="","",SUMIF(TripSummary!$C$2:$C$2501,A21,TripSummary!$G$2:$G$2501))</f>
        <v/>
      </c>
      <c r="F21">
        <f>IF(A21="","",SUMIF(TripSummary!$C$2:$C$2501,A21,TripSummary!$K$2:$K$2501))</f>
        <v/>
      </c>
      <c r="G21" s="9">
        <f>IF(OR(A21="",F21=0),"",E21/F21)</f>
        <v/>
      </c>
      <c r="H21" s="9">
        <f>IF(OR(A21="",KPI!$B$5=0),"",B21/KPI!$B$5)</f>
        <v/>
      </c>
      <c r="I21" s="9">
        <f>IF(OR(A21="",KPI!$B$8=0),"",C21/KPI!$B$8)</f>
        <v/>
      </c>
      <c r="J21" s="10">
        <f>IF(OR(A21="",B21=0),"",C21/B21)</f>
        <v/>
      </c>
    </row>
    <row r="22">
      <c r="B22">
        <f>IF(A22="","",SUMIF(TripSummary!$C$2:$C$2501,A22,TripSummary!$E$2:$E$2501))</f>
        <v/>
      </c>
      <c r="C22">
        <f>IF(A22="","",SUMIF(TripSummary!$C$2:$C$2501,A22,TripSummary!$F$2:$F$2501))</f>
        <v/>
      </c>
      <c r="D22">
        <f>IF(A22="","",COUNTIF(TripSummary!$C$2:$C$2501,A22))</f>
        <v/>
      </c>
      <c r="E22">
        <f>IF(A22="","",SUMIF(TripSummary!$C$2:$C$2501,A22,TripSummary!$G$2:$G$2501))</f>
        <v/>
      </c>
      <c r="F22">
        <f>IF(A22="","",SUMIF(TripSummary!$C$2:$C$2501,A22,TripSummary!$K$2:$K$2501))</f>
        <v/>
      </c>
      <c r="G22" s="9">
        <f>IF(OR(A22="",F22=0),"",E22/F22)</f>
        <v/>
      </c>
      <c r="H22" s="9">
        <f>IF(OR(A22="",KPI!$B$5=0),"",B22/KPI!$B$5)</f>
        <v/>
      </c>
      <c r="I22" s="9">
        <f>IF(OR(A22="",KPI!$B$8=0),"",C22/KPI!$B$8)</f>
        <v/>
      </c>
      <c r="J22" s="10">
        <f>IF(OR(A22="",B22=0),"",C22/B22)</f>
        <v/>
      </c>
    </row>
    <row r="23">
      <c r="B23">
        <f>IF(A23="","",SUMIF(TripSummary!$C$2:$C$2501,A23,TripSummary!$E$2:$E$2501))</f>
        <v/>
      </c>
      <c r="C23">
        <f>IF(A23="","",SUMIF(TripSummary!$C$2:$C$2501,A23,TripSummary!$F$2:$F$2501))</f>
        <v/>
      </c>
      <c r="D23">
        <f>IF(A23="","",COUNTIF(TripSummary!$C$2:$C$2501,A23))</f>
        <v/>
      </c>
      <c r="E23">
        <f>IF(A23="","",SUMIF(TripSummary!$C$2:$C$2501,A23,TripSummary!$G$2:$G$2501))</f>
        <v/>
      </c>
      <c r="F23">
        <f>IF(A23="","",SUMIF(TripSummary!$C$2:$C$2501,A23,TripSummary!$K$2:$K$2501))</f>
        <v/>
      </c>
      <c r="G23" s="9">
        <f>IF(OR(A23="",F23=0),"",E23/F23)</f>
        <v/>
      </c>
      <c r="H23" s="9">
        <f>IF(OR(A23="",KPI!$B$5=0),"",B23/KPI!$B$5)</f>
        <v/>
      </c>
      <c r="I23" s="9">
        <f>IF(OR(A23="",KPI!$B$8=0),"",C23/KPI!$B$8)</f>
        <v/>
      </c>
      <c r="J23" s="10">
        <f>IF(OR(A23="",B23=0),"",C23/B23)</f>
        <v/>
      </c>
    </row>
    <row r="24">
      <c r="B24">
        <f>IF(A24="","",SUMIF(TripSummary!$C$2:$C$2501,A24,TripSummary!$E$2:$E$2501))</f>
        <v/>
      </c>
      <c r="C24">
        <f>IF(A24="","",SUMIF(TripSummary!$C$2:$C$2501,A24,TripSummary!$F$2:$F$2501))</f>
        <v/>
      </c>
      <c r="D24">
        <f>IF(A24="","",COUNTIF(TripSummary!$C$2:$C$2501,A24))</f>
        <v/>
      </c>
      <c r="E24">
        <f>IF(A24="","",SUMIF(TripSummary!$C$2:$C$2501,A24,TripSummary!$G$2:$G$2501))</f>
        <v/>
      </c>
      <c r="F24">
        <f>IF(A24="","",SUMIF(TripSummary!$C$2:$C$2501,A24,TripSummary!$K$2:$K$2501))</f>
        <v/>
      </c>
      <c r="G24" s="9">
        <f>IF(OR(A24="",F24=0),"",E24/F24)</f>
        <v/>
      </c>
      <c r="H24" s="9">
        <f>IF(OR(A24="",KPI!$B$5=0),"",B24/KPI!$B$5)</f>
        <v/>
      </c>
      <c r="I24" s="9">
        <f>IF(OR(A24="",KPI!$B$8=0),"",C24/KPI!$B$8)</f>
        <v/>
      </c>
      <c r="J24" s="10">
        <f>IF(OR(A24="",B24=0),"",C24/B24)</f>
        <v/>
      </c>
    </row>
    <row r="25">
      <c r="B25">
        <f>IF(A25="","",SUMIF(TripSummary!$C$2:$C$2501,A25,TripSummary!$E$2:$E$2501))</f>
        <v/>
      </c>
      <c r="C25">
        <f>IF(A25="","",SUMIF(TripSummary!$C$2:$C$2501,A25,TripSummary!$F$2:$F$2501))</f>
        <v/>
      </c>
      <c r="D25">
        <f>IF(A25="","",COUNTIF(TripSummary!$C$2:$C$2501,A25))</f>
        <v/>
      </c>
      <c r="E25">
        <f>IF(A25="","",SUMIF(TripSummary!$C$2:$C$2501,A25,TripSummary!$G$2:$G$2501))</f>
        <v/>
      </c>
      <c r="F25">
        <f>IF(A25="","",SUMIF(TripSummary!$C$2:$C$2501,A25,TripSummary!$K$2:$K$2501))</f>
        <v/>
      </c>
      <c r="G25" s="9">
        <f>IF(OR(A25="",F25=0),"",E25/F25)</f>
        <v/>
      </c>
      <c r="H25" s="9">
        <f>IF(OR(A25="",KPI!$B$5=0),"",B25/KPI!$B$5)</f>
        <v/>
      </c>
      <c r="I25" s="9">
        <f>IF(OR(A25="",KPI!$B$8=0),"",C25/KPI!$B$8)</f>
        <v/>
      </c>
      <c r="J25" s="10">
        <f>IF(OR(A25="",B25=0),"",C25/B25)</f>
        <v/>
      </c>
    </row>
    <row r="26">
      <c r="B26">
        <f>IF(A26="","",SUMIF(TripSummary!$C$2:$C$2501,A26,TripSummary!$E$2:$E$2501))</f>
        <v/>
      </c>
      <c r="C26">
        <f>IF(A26="","",SUMIF(TripSummary!$C$2:$C$2501,A26,TripSummary!$F$2:$F$2501))</f>
        <v/>
      </c>
      <c r="D26">
        <f>IF(A26="","",COUNTIF(TripSummary!$C$2:$C$2501,A26))</f>
        <v/>
      </c>
      <c r="E26">
        <f>IF(A26="","",SUMIF(TripSummary!$C$2:$C$2501,A26,TripSummary!$G$2:$G$2501))</f>
        <v/>
      </c>
      <c r="F26">
        <f>IF(A26="","",SUMIF(TripSummary!$C$2:$C$2501,A26,TripSummary!$K$2:$K$2501))</f>
        <v/>
      </c>
      <c r="G26" s="9">
        <f>IF(OR(A26="",F26=0),"",E26/F26)</f>
        <v/>
      </c>
      <c r="H26" s="9">
        <f>IF(OR(A26="",KPI!$B$5=0),"",B26/KPI!$B$5)</f>
        <v/>
      </c>
      <c r="I26" s="9">
        <f>IF(OR(A26="",KPI!$B$8=0),"",C26/KPI!$B$8)</f>
        <v/>
      </c>
      <c r="J26" s="10">
        <f>IF(OR(A26="",B26=0),"",C26/B26)</f>
        <v/>
      </c>
    </row>
    <row r="27">
      <c r="B27">
        <f>IF(A27="","",SUMIF(TripSummary!$C$2:$C$2501,A27,TripSummary!$E$2:$E$2501))</f>
        <v/>
      </c>
      <c r="C27">
        <f>IF(A27="","",SUMIF(TripSummary!$C$2:$C$2501,A27,TripSummary!$F$2:$F$2501))</f>
        <v/>
      </c>
      <c r="D27">
        <f>IF(A27="","",COUNTIF(TripSummary!$C$2:$C$2501,A27))</f>
        <v/>
      </c>
      <c r="E27">
        <f>IF(A27="","",SUMIF(TripSummary!$C$2:$C$2501,A27,TripSummary!$G$2:$G$2501))</f>
        <v/>
      </c>
      <c r="F27">
        <f>IF(A27="","",SUMIF(TripSummary!$C$2:$C$2501,A27,TripSummary!$K$2:$K$2501))</f>
        <v/>
      </c>
      <c r="G27" s="9">
        <f>IF(OR(A27="",F27=0),"",E27/F27)</f>
        <v/>
      </c>
      <c r="H27" s="9">
        <f>IF(OR(A27="",KPI!$B$5=0),"",B27/KPI!$B$5)</f>
        <v/>
      </c>
      <c r="I27" s="9">
        <f>IF(OR(A27="",KPI!$B$8=0),"",C27/KPI!$B$8)</f>
        <v/>
      </c>
      <c r="J27" s="10">
        <f>IF(OR(A27="",B27=0),"",C27/B27)</f>
        <v/>
      </c>
    </row>
    <row r="28">
      <c r="B28">
        <f>IF(A28="","",SUMIF(TripSummary!$C$2:$C$2501,A28,TripSummary!$E$2:$E$2501))</f>
        <v/>
      </c>
      <c r="C28">
        <f>IF(A28="","",SUMIF(TripSummary!$C$2:$C$2501,A28,TripSummary!$F$2:$F$2501))</f>
        <v/>
      </c>
      <c r="D28">
        <f>IF(A28="","",COUNTIF(TripSummary!$C$2:$C$2501,A28))</f>
        <v/>
      </c>
      <c r="E28">
        <f>IF(A28="","",SUMIF(TripSummary!$C$2:$C$2501,A28,TripSummary!$G$2:$G$2501))</f>
        <v/>
      </c>
      <c r="F28">
        <f>IF(A28="","",SUMIF(TripSummary!$C$2:$C$2501,A28,TripSummary!$K$2:$K$2501))</f>
        <v/>
      </c>
      <c r="G28" s="9">
        <f>IF(OR(A28="",F28=0),"",E28/F28)</f>
        <v/>
      </c>
      <c r="H28" s="9">
        <f>IF(OR(A28="",KPI!$B$5=0),"",B28/KPI!$B$5)</f>
        <v/>
      </c>
      <c r="I28" s="9">
        <f>IF(OR(A28="",KPI!$B$8=0),"",C28/KPI!$B$8)</f>
        <v/>
      </c>
      <c r="J28" s="10">
        <f>IF(OR(A28="",B28=0),"",C28/B28)</f>
        <v/>
      </c>
    </row>
    <row r="29">
      <c r="B29">
        <f>IF(A29="","",SUMIF(TripSummary!$C$2:$C$2501,A29,TripSummary!$E$2:$E$2501))</f>
        <v/>
      </c>
      <c r="C29">
        <f>IF(A29="","",SUMIF(TripSummary!$C$2:$C$2501,A29,TripSummary!$F$2:$F$2501))</f>
        <v/>
      </c>
      <c r="D29">
        <f>IF(A29="","",COUNTIF(TripSummary!$C$2:$C$2501,A29))</f>
        <v/>
      </c>
      <c r="E29">
        <f>IF(A29="","",SUMIF(TripSummary!$C$2:$C$2501,A29,TripSummary!$G$2:$G$2501))</f>
        <v/>
      </c>
      <c r="F29">
        <f>IF(A29="","",SUMIF(TripSummary!$C$2:$C$2501,A29,TripSummary!$K$2:$K$2501))</f>
        <v/>
      </c>
      <c r="G29" s="9">
        <f>IF(OR(A29="",F29=0),"",E29/F29)</f>
        <v/>
      </c>
      <c r="H29" s="9">
        <f>IF(OR(A29="",KPI!$B$5=0),"",B29/KPI!$B$5)</f>
        <v/>
      </c>
      <c r="I29" s="9">
        <f>IF(OR(A29="",KPI!$B$8=0),"",C29/KPI!$B$8)</f>
        <v/>
      </c>
      <c r="J29" s="10">
        <f>IF(OR(A29="",B29=0),"",C29/B29)</f>
        <v/>
      </c>
    </row>
    <row r="30">
      <c r="B30">
        <f>IF(A30="","",SUMIF(TripSummary!$C$2:$C$2501,A30,TripSummary!$E$2:$E$2501))</f>
        <v/>
      </c>
      <c r="C30">
        <f>IF(A30="","",SUMIF(TripSummary!$C$2:$C$2501,A30,TripSummary!$F$2:$F$2501))</f>
        <v/>
      </c>
      <c r="D30">
        <f>IF(A30="","",COUNTIF(TripSummary!$C$2:$C$2501,A30))</f>
        <v/>
      </c>
      <c r="E30">
        <f>IF(A30="","",SUMIF(TripSummary!$C$2:$C$2501,A30,TripSummary!$G$2:$G$2501))</f>
        <v/>
      </c>
      <c r="F30">
        <f>IF(A30="","",SUMIF(TripSummary!$C$2:$C$2501,A30,TripSummary!$K$2:$K$2501))</f>
        <v/>
      </c>
      <c r="G30" s="9">
        <f>IF(OR(A30="",F30=0),"",E30/F30)</f>
        <v/>
      </c>
      <c r="H30" s="9">
        <f>IF(OR(A30="",KPI!$B$5=0),"",B30/KPI!$B$5)</f>
        <v/>
      </c>
      <c r="I30" s="9">
        <f>IF(OR(A30="",KPI!$B$8=0),"",C30/KPI!$B$8)</f>
        <v/>
      </c>
      <c r="J30" s="10">
        <f>IF(OR(A30="",B30=0),"",C30/B30)</f>
        <v/>
      </c>
    </row>
    <row r="31">
      <c r="B31">
        <f>IF(A31="","",SUMIF(TripSummary!$C$2:$C$2501,A31,TripSummary!$E$2:$E$2501))</f>
        <v/>
      </c>
      <c r="C31">
        <f>IF(A31="","",SUMIF(TripSummary!$C$2:$C$2501,A31,TripSummary!$F$2:$F$2501))</f>
        <v/>
      </c>
      <c r="D31">
        <f>IF(A31="","",COUNTIF(TripSummary!$C$2:$C$2501,A31))</f>
        <v/>
      </c>
      <c r="E31">
        <f>IF(A31="","",SUMIF(TripSummary!$C$2:$C$2501,A31,TripSummary!$G$2:$G$2501))</f>
        <v/>
      </c>
      <c r="F31">
        <f>IF(A31="","",SUMIF(TripSummary!$C$2:$C$2501,A31,TripSummary!$K$2:$K$2501))</f>
        <v/>
      </c>
      <c r="G31" s="9">
        <f>IF(OR(A31="",F31=0),"",E31/F31)</f>
        <v/>
      </c>
      <c r="H31" s="9">
        <f>IF(OR(A31="",KPI!$B$5=0),"",B31/KPI!$B$5)</f>
        <v/>
      </c>
      <c r="I31" s="9">
        <f>IF(OR(A31="",KPI!$B$8=0),"",C31/KPI!$B$8)</f>
        <v/>
      </c>
      <c r="J31" s="10">
        <f>IF(OR(A31="",B31=0),"",C31/B31)</f>
        <v/>
      </c>
    </row>
    <row r="32">
      <c r="B32">
        <f>IF(A32="","",SUMIF(TripSummary!$C$2:$C$2501,A32,TripSummary!$E$2:$E$2501))</f>
        <v/>
      </c>
      <c r="C32">
        <f>IF(A32="","",SUMIF(TripSummary!$C$2:$C$2501,A32,TripSummary!$F$2:$F$2501))</f>
        <v/>
      </c>
      <c r="D32">
        <f>IF(A32="","",COUNTIF(TripSummary!$C$2:$C$2501,A32))</f>
        <v/>
      </c>
      <c r="E32">
        <f>IF(A32="","",SUMIF(TripSummary!$C$2:$C$2501,A32,TripSummary!$G$2:$G$2501))</f>
        <v/>
      </c>
      <c r="F32">
        <f>IF(A32="","",SUMIF(TripSummary!$C$2:$C$2501,A32,TripSummary!$K$2:$K$2501))</f>
        <v/>
      </c>
      <c r="G32" s="9">
        <f>IF(OR(A32="",F32=0),"",E32/F32)</f>
        <v/>
      </c>
      <c r="H32" s="9">
        <f>IF(OR(A32="",KPI!$B$5=0),"",B32/KPI!$B$5)</f>
        <v/>
      </c>
      <c r="I32" s="9">
        <f>IF(OR(A32="",KPI!$B$8=0),"",C32/KPI!$B$8)</f>
        <v/>
      </c>
      <c r="J32" s="10">
        <f>IF(OR(A32="",B32=0),"",C32/B32)</f>
        <v/>
      </c>
    </row>
    <row r="33">
      <c r="B33">
        <f>IF(A33="","",SUMIF(TripSummary!$C$2:$C$2501,A33,TripSummary!$E$2:$E$2501))</f>
        <v/>
      </c>
      <c r="C33">
        <f>IF(A33="","",SUMIF(TripSummary!$C$2:$C$2501,A33,TripSummary!$F$2:$F$2501))</f>
        <v/>
      </c>
      <c r="D33">
        <f>IF(A33="","",COUNTIF(TripSummary!$C$2:$C$2501,A33))</f>
        <v/>
      </c>
      <c r="E33">
        <f>IF(A33="","",SUMIF(TripSummary!$C$2:$C$2501,A33,TripSummary!$G$2:$G$2501))</f>
        <v/>
      </c>
      <c r="F33">
        <f>IF(A33="","",SUMIF(TripSummary!$C$2:$C$2501,A33,TripSummary!$K$2:$K$2501))</f>
        <v/>
      </c>
      <c r="G33" s="9">
        <f>IF(OR(A33="",F33=0),"",E33/F33)</f>
        <v/>
      </c>
      <c r="H33" s="9">
        <f>IF(OR(A33="",KPI!$B$5=0),"",B33/KPI!$B$5)</f>
        <v/>
      </c>
      <c r="I33" s="9">
        <f>IF(OR(A33="",KPI!$B$8=0),"",C33/KPI!$B$8)</f>
        <v/>
      </c>
      <c r="J33" s="10">
        <f>IF(OR(A33="",B33=0),"",C33/B33)</f>
        <v/>
      </c>
    </row>
    <row r="34">
      <c r="B34">
        <f>IF(A34="","",SUMIF(TripSummary!$C$2:$C$2501,A34,TripSummary!$E$2:$E$2501))</f>
        <v/>
      </c>
      <c r="C34">
        <f>IF(A34="","",SUMIF(TripSummary!$C$2:$C$2501,A34,TripSummary!$F$2:$F$2501))</f>
        <v/>
      </c>
      <c r="D34">
        <f>IF(A34="","",COUNTIF(TripSummary!$C$2:$C$2501,A34))</f>
        <v/>
      </c>
      <c r="E34">
        <f>IF(A34="","",SUMIF(TripSummary!$C$2:$C$2501,A34,TripSummary!$G$2:$G$2501))</f>
        <v/>
      </c>
      <c r="F34">
        <f>IF(A34="","",SUMIF(TripSummary!$C$2:$C$2501,A34,TripSummary!$K$2:$K$2501))</f>
        <v/>
      </c>
      <c r="G34" s="9">
        <f>IF(OR(A34="",F34=0),"",E34/F34)</f>
        <v/>
      </c>
      <c r="H34" s="9">
        <f>IF(OR(A34="",KPI!$B$5=0),"",B34/KPI!$B$5)</f>
        <v/>
      </c>
      <c r="I34" s="9">
        <f>IF(OR(A34="",KPI!$B$8=0),"",C34/KPI!$B$8)</f>
        <v/>
      </c>
      <c r="J34" s="10">
        <f>IF(OR(A34="",B34=0),"",C34/B34)</f>
        <v/>
      </c>
    </row>
    <row r="35">
      <c r="B35">
        <f>IF(A35="","",SUMIF(TripSummary!$C$2:$C$2501,A35,TripSummary!$E$2:$E$2501))</f>
        <v/>
      </c>
      <c r="C35">
        <f>IF(A35="","",SUMIF(TripSummary!$C$2:$C$2501,A35,TripSummary!$F$2:$F$2501))</f>
        <v/>
      </c>
      <c r="D35">
        <f>IF(A35="","",COUNTIF(TripSummary!$C$2:$C$2501,A35))</f>
        <v/>
      </c>
      <c r="E35">
        <f>IF(A35="","",SUMIF(TripSummary!$C$2:$C$2501,A35,TripSummary!$G$2:$G$2501))</f>
        <v/>
      </c>
      <c r="F35">
        <f>IF(A35="","",SUMIF(TripSummary!$C$2:$C$2501,A35,TripSummary!$K$2:$K$2501))</f>
        <v/>
      </c>
      <c r="G35" s="9">
        <f>IF(OR(A35="",F35=0),"",E35/F35)</f>
        <v/>
      </c>
      <c r="H35" s="9">
        <f>IF(OR(A35="",KPI!$B$5=0),"",B35/KPI!$B$5)</f>
        <v/>
      </c>
      <c r="I35" s="9">
        <f>IF(OR(A35="",KPI!$B$8=0),"",C35/KPI!$B$8)</f>
        <v/>
      </c>
      <c r="J35" s="10">
        <f>IF(OR(A35="",B35=0),"",C35/B35)</f>
        <v/>
      </c>
    </row>
    <row r="36">
      <c r="B36">
        <f>IF(A36="","",SUMIF(TripSummary!$C$2:$C$2501,A36,TripSummary!$E$2:$E$2501))</f>
        <v/>
      </c>
      <c r="C36">
        <f>IF(A36="","",SUMIF(TripSummary!$C$2:$C$2501,A36,TripSummary!$F$2:$F$2501))</f>
        <v/>
      </c>
      <c r="D36">
        <f>IF(A36="","",COUNTIF(TripSummary!$C$2:$C$2501,A36))</f>
        <v/>
      </c>
      <c r="E36">
        <f>IF(A36="","",SUMIF(TripSummary!$C$2:$C$2501,A36,TripSummary!$G$2:$G$2501))</f>
        <v/>
      </c>
      <c r="F36">
        <f>IF(A36="","",SUMIF(TripSummary!$C$2:$C$2501,A36,TripSummary!$K$2:$K$2501))</f>
        <v/>
      </c>
      <c r="G36" s="9">
        <f>IF(OR(A36="",F36=0),"",E36/F36)</f>
        <v/>
      </c>
      <c r="H36" s="9">
        <f>IF(OR(A36="",KPI!$B$5=0),"",B36/KPI!$B$5)</f>
        <v/>
      </c>
      <c r="I36" s="9">
        <f>IF(OR(A36="",KPI!$B$8=0),"",C36/KPI!$B$8)</f>
        <v/>
      </c>
      <c r="J36" s="10">
        <f>IF(OR(A36="",B36=0),"",C36/B36)</f>
        <v/>
      </c>
    </row>
    <row r="37">
      <c r="B37">
        <f>IF(A37="","",SUMIF(TripSummary!$C$2:$C$2501,A37,TripSummary!$E$2:$E$2501))</f>
        <v/>
      </c>
      <c r="C37">
        <f>IF(A37="","",SUMIF(TripSummary!$C$2:$C$2501,A37,TripSummary!$F$2:$F$2501))</f>
        <v/>
      </c>
      <c r="D37">
        <f>IF(A37="","",COUNTIF(TripSummary!$C$2:$C$2501,A37))</f>
        <v/>
      </c>
      <c r="E37">
        <f>IF(A37="","",SUMIF(TripSummary!$C$2:$C$2501,A37,TripSummary!$G$2:$G$2501))</f>
        <v/>
      </c>
      <c r="F37">
        <f>IF(A37="","",SUMIF(TripSummary!$C$2:$C$2501,A37,TripSummary!$K$2:$K$2501))</f>
        <v/>
      </c>
      <c r="G37" s="9">
        <f>IF(OR(A37="",F37=0),"",E37/F37)</f>
        <v/>
      </c>
      <c r="H37" s="9">
        <f>IF(OR(A37="",KPI!$B$5=0),"",B37/KPI!$B$5)</f>
        <v/>
      </c>
      <c r="I37" s="9">
        <f>IF(OR(A37="",KPI!$B$8=0),"",C37/KPI!$B$8)</f>
        <v/>
      </c>
      <c r="J37" s="10">
        <f>IF(OR(A37="",B37=0),"",C37/B37)</f>
        <v/>
      </c>
    </row>
    <row r="38">
      <c r="B38">
        <f>IF(A38="","",SUMIF(TripSummary!$C$2:$C$2501,A38,TripSummary!$E$2:$E$2501))</f>
        <v/>
      </c>
      <c r="C38">
        <f>IF(A38="","",SUMIF(TripSummary!$C$2:$C$2501,A38,TripSummary!$F$2:$F$2501))</f>
        <v/>
      </c>
      <c r="D38">
        <f>IF(A38="","",COUNTIF(TripSummary!$C$2:$C$2501,A38))</f>
        <v/>
      </c>
      <c r="E38">
        <f>IF(A38="","",SUMIF(TripSummary!$C$2:$C$2501,A38,TripSummary!$G$2:$G$2501))</f>
        <v/>
      </c>
      <c r="F38">
        <f>IF(A38="","",SUMIF(TripSummary!$C$2:$C$2501,A38,TripSummary!$K$2:$K$2501))</f>
        <v/>
      </c>
      <c r="G38" s="9">
        <f>IF(OR(A38="",F38=0),"",E38/F38)</f>
        <v/>
      </c>
      <c r="H38" s="9">
        <f>IF(OR(A38="",KPI!$B$5=0),"",B38/KPI!$B$5)</f>
        <v/>
      </c>
      <c r="I38" s="9">
        <f>IF(OR(A38="",KPI!$B$8=0),"",C38/KPI!$B$8)</f>
        <v/>
      </c>
      <c r="J38" s="10">
        <f>IF(OR(A38="",B38=0),"",C38/B38)</f>
        <v/>
      </c>
    </row>
    <row r="39">
      <c r="B39">
        <f>IF(A39="","",SUMIF(TripSummary!$C$2:$C$2501,A39,TripSummary!$E$2:$E$2501))</f>
        <v/>
      </c>
      <c r="C39">
        <f>IF(A39="","",SUMIF(TripSummary!$C$2:$C$2501,A39,TripSummary!$F$2:$F$2501))</f>
        <v/>
      </c>
      <c r="D39">
        <f>IF(A39="","",COUNTIF(TripSummary!$C$2:$C$2501,A39))</f>
        <v/>
      </c>
      <c r="E39">
        <f>IF(A39="","",SUMIF(TripSummary!$C$2:$C$2501,A39,TripSummary!$G$2:$G$2501))</f>
        <v/>
      </c>
      <c r="F39">
        <f>IF(A39="","",SUMIF(TripSummary!$C$2:$C$2501,A39,TripSummary!$K$2:$K$2501))</f>
        <v/>
      </c>
      <c r="G39" s="9">
        <f>IF(OR(A39="",F39=0),"",E39/F39)</f>
        <v/>
      </c>
      <c r="H39" s="9">
        <f>IF(OR(A39="",KPI!$B$5=0),"",B39/KPI!$B$5)</f>
        <v/>
      </c>
      <c r="I39" s="9">
        <f>IF(OR(A39="",KPI!$B$8=0),"",C39/KPI!$B$8)</f>
        <v/>
      </c>
      <c r="J39" s="10">
        <f>IF(OR(A39="",B39=0),"",C39/B39)</f>
        <v/>
      </c>
    </row>
    <row r="40">
      <c r="B40">
        <f>IF(A40="","",SUMIF(TripSummary!$C$2:$C$2501,A40,TripSummary!$E$2:$E$2501))</f>
        <v/>
      </c>
      <c r="C40">
        <f>IF(A40="","",SUMIF(TripSummary!$C$2:$C$2501,A40,TripSummary!$F$2:$F$2501))</f>
        <v/>
      </c>
      <c r="D40">
        <f>IF(A40="","",COUNTIF(TripSummary!$C$2:$C$2501,A40))</f>
        <v/>
      </c>
      <c r="E40">
        <f>IF(A40="","",SUMIF(TripSummary!$C$2:$C$2501,A40,TripSummary!$G$2:$G$2501))</f>
        <v/>
      </c>
      <c r="F40">
        <f>IF(A40="","",SUMIF(TripSummary!$C$2:$C$2501,A40,TripSummary!$K$2:$K$2501))</f>
        <v/>
      </c>
      <c r="G40" s="9">
        <f>IF(OR(A40="",F40=0),"",E40/F40)</f>
        <v/>
      </c>
      <c r="H40" s="9">
        <f>IF(OR(A40="",KPI!$B$5=0),"",B40/KPI!$B$5)</f>
        <v/>
      </c>
      <c r="I40" s="9">
        <f>IF(OR(A40="",KPI!$B$8=0),"",C40/KPI!$B$8)</f>
        <v/>
      </c>
      <c r="J40" s="10">
        <f>IF(OR(A40="",B40=0),"",C40/B40)</f>
        <v/>
      </c>
    </row>
    <row r="41">
      <c r="B41">
        <f>IF(A41="","",SUMIF(TripSummary!$C$2:$C$2501,A41,TripSummary!$E$2:$E$2501))</f>
        <v/>
      </c>
      <c r="C41">
        <f>IF(A41="","",SUMIF(TripSummary!$C$2:$C$2501,A41,TripSummary!$F$2:$F$2501))</f>
        <v/>
      </c>
      <c r="D41">
        <f>IF(A41="","",COUNTIF(TripSummary!$C$2:$C$2501,A41))</f>
        <v/>
      </c>
      <c r="E41">
        <f>IF(A41="","",SUMIF(TripSummary!$C$2:$C$2501,A41,TripSummary!$G$2:$G$2501))</f>
        <v/>
      </c>
      <c r="F41">
        <f>IF(A41="","",SUMIF(TripSummary!$C$2:$C$2501,A41,TripSummary!$K$2:$K$2501))</f>
        <v/>
      </c>
      <c r="G41" s="9">
        <f>IF(OR(A41="",F41=0),"",E41/F41)</f>
        <v/>
      </c>
      <c r="H41" s="9">
        <f>IF(OR(A41="",KPI!$B$5=0),"",B41/KPI!$B$5)</f>
        <v/>
      </c>
      <c r="I41" s="9">
        <f>IF(OR(A41="",KPI!$B$8=0),"",C41/KPI!$B$8)</f>
        <v/>
      </c>
      <c r="J41" s="10">
        <f>IF(OR(A41="",B41=0),"",C41/B41)</f>
        <v/>
      </c>
    </row>
    <row r="42">
      <c r="B42">
        <f>IF(A42="","",SUMIF(TripSummary!$C$2:$C$2501,A42,TripSummary!$E$2:$E$2501))</f>
        <v/>
      </c>
      <c r="C42">
        <f>IF(A42="","",SUMIF(TripSummary!$C$2:$C$2501,A42,TripSummary!$F$2:$F$2501))</f>
        <v/>
      </c>
      <c r="D42">
        <f>IF(A42="","",COUNTIF(TripSummary!$C$2:$C$2501,A42))</f>
        <v/>
      </c>
      <c r="E42">
        <f>IF(A42="","",SUMIF(TripSummary!$C$2:$C$2501,A42,TripSummary!$G$2:$G$2501))</f>
        <v/>
      </c>
      <c r="F42">
        <f>IF(A42="","",SUMIF(TripSummary!$C$2:$C$2501,A42,TripSummary!$K$2:$K$2501))</f>
        <v/>
      </c>
      <c r="G42" s="9">
        <f>IF(OR(A42="",F42=0),"",E42/F42)</f>
        <v/>
      </c>
      <c r="H42" s="9">
        <f>IF(OR(A42="",KPI!$B$5=0),"",B42/KPI!$B$5)</f>
        <v/>
      </c>
      <c r="I42" s="9">
        <f>IF(OR(A42="",KPI!$B$8=0),"",C42/KPI!$B$8)</f>
        <v/>
      </c>
      <c r="J42" s="10">
        <f>IF(OR(A42="",B42=0),"",C42/B42)</f>
        <v/>
      </c>
    </row>
    <row r="43">
      <c r="B43">
        <f>IF(A43="","",SUMIF(TripSummary!$C$2:$C$2501,A43,TripSummary!$E$2:$E$2501))</f>
        <v/>
      </c>
      <c r="C43">
        <f>IF(A43="","",SUMIF(TripSummary!$C$2:$C$2501,A43,TripSummary!$F$2:$F$2501))</f>
        <v/>
      </c>
      <c r="D43">
        <f>IF(A43="","",COUNTIF(TripSummary!$C$2:$C$2501,A43))</f>
        <v/>
      </c>
      <c r="E43">
        <f>IF(A43="","",SUMIF(TripSummary!$C$2:$C$2501,A43,TripSummary!$G$2:$G$2501))</f>
        <v/>
      </c>
      <c r="F43">
        <f>IF(A43="","",SUMIF(TripSummary!$C$2:$C$2501,A43,TripSummary!$K$2:$K$2501))</f>
        <v/>
      </c>
      <c r="G43" s="9">
        <f>IF(OR(A43="",F43=0),"",E43/F43)</f>
        <v/>
      </c>
      <c r="H43" s="9">
        <f>IF(OR(A43="",KPI!$B$5=0),"",B43/KPI!$B$5)</f>
        <v/>
      </c>
      <c r="I43" s="9">
        <f>IF(OR(A43="",KPI!$B$8=0),"",C43/KPI!$B$8)</f>
        <v/>
      </c>
      <c r="J43" s="10">
        <f>IF(OR(A43="",B43=0),"",C43/B43)</f>
        <v/>
      </c>
    </row>
    <row r="44">
      <c r="B44">
        <f>IF(A44="","",SUMIF(TripSummary!$C$2:$C$2501,A44,TripSummary!$E$2:$E$2501))</f>
        <v/>
      </c>
      <c r="C44">
        <f>IF(A44="","",SUMIF(TripSummary!$C$2:$C$2501,A44,TripSummary!$F$2:$F$2501))</f>
        <v/>
      </c>
      <c r="D44">
        <f>IF(A44="","",COUNTIF(TripSummary!$C$2:$C$2501,A44))</f>
        <v/>
      </c>
      <c r="E44">
        <f>IF(A44="","",SUMIF(TripSummary!$C$2:$C$2501,A44,TripSummary!$G$2:$G$2501))</f>
        <v/>
      </c>
      <c r="F44">
        <f>IF(A44="","",SUMIF(TripSummary!$C$2:$C$2501,A44,TripSummary!$K$2:$K$2501))</f>
        <v/>
      </c>
      <c r="G44" s="9">
        <f>IF(OR(A44="",F44=0),"",E44/F44)</f>
        <v/>
      </c>
      <c r="H44" s="9">
        <f>IF(OR(A44="",KPI!$B$5=0),"",B44/KPI!$B$5)</f>
        <v/>
      </c>
      <c r="I44" s="9">
        <f>IF(OR(A44="",KPI!$B$8=0),"",C44/KPI!$B$8)</f>
        <v/>
      </c>
      <c r="J44" s="10">
        <f>IF(OR(A44="",B44=0),"",C44/B44)</f>
        <v/>
      </c>
    </row>
    <row r="45">
      <c r="B45">
        <f>IF(A45="","",SUMIF(TripSummary!$C$2:$C$2501,A45,TripSummary!$E$2:$E$2501))</f>
        <v/>
      </c>
      <c r="C45">
        <f>IF(A45="","",SUMIF(TripSummary!$C$2:$C$2501,A45,TripSummary!$F$2:$F$2501))</f>
        <v/>
      </c>
      <c r="D45">
        <f>IF(A45="","",COUNTIF(TripSummary!$C$2:$C$2501,A45))</f>
        <v/>
      </c>
      <c r="E45">
        <f>IF(A45="","",SUMIF(TripSummary!$C$2:$C$2501,A45,TripSummary!$G$2:$G$2501))</f>
        <v/>
      </c>
      <c r="F45">
        <f>IF(A45="","",SUMIF(TripSummary!$C$2:$C$2501,A45,TripSummary!$K$2:$K$2501))</f>
        <v/>
      </c>
      <c r="G45" s="9">
        <f>IF(OR(A45="",F45=0),"",E45/F45)</f>
        <v/>
      </c>
      <c r="H45" s="9">
        <f>IF(OR(A45="",KPI!$B$5=0),"",B45/KPI!$B$5)</f>
        <v/>
      </c>
      <c r="I45" s="9">
        <f>IF(OR(A45="",KPI!$B$8=0),"",C45/KPI!$B$8)</f>
        <v/>
      </c>
      <c r="J45" s="10">
        <f>IF(OR(A45="",B45=0),"",C45/B45)</f>
        <v/>
      </c>
    </row>
    <row r="46">
      <c r="B46">
        <f>IF(A46="","",SUMIF(TripSummary!$C$2:$C$2501,A46,TripSummary!$E$2:$E$2501))</f>
        <v/>
      </c>
      <c r="C46">
        <f>IF(A46="","",SUMIF(TripSummary!$C$2:$C$2501,A46,TripSummary!$F$2:$F$2501))</f>
        <v/>
      </c>
      <c r="D46">
        <f>IF(A46="","",COUNTIF(TripSummary!$C$2:$C$2501,A46))</f>
        <v/>
      </c>
      <c r="E46">
        <f>IF(A46="","",SUMIF(TripSummary!$C$2:$C$2501,A46,TripSummary!$G$2:$G$2501))</f>
        <v/>
      </c>
      <c r="F46">
        <f>IF(A46="","",SUMIF(TripSummary!$C$2:$C$2501,A46,TripSummary!$K$2:$K$2501))</f>
        <v/>
      </c>
      <c r="G46" s="9">
        <f>IF(OR(A46="",F46=0),"",E46/F46)</f>
        <v/>
      </c>
      <c r="H46" s="9">
        <f>IF(OR(A46="",KPI!$B$5=0),"",B46/KPI!$B$5)</f>
        <v/>
      </c>
      <c r="I46" s="9">
        <f>IF(OR(A46="",KPI!$B$8=0),"",C46/KPI!$B$8)</f>
        <v/>
      </c>
      <c r="J46" s="10">
        <f>IF(OR(A46="",B46=0),"",C46/B46)</f>
        <v/>
      </c>
    </row>
    <row r="47">
      <c r="B47">
        <f>IF(A47="","",SUMIF(TripSummary!$C$2:$C$2501,A47,TripSummary!$E$2:$E$2501))</f>
        <v/>
      </c>
      <c r="C47">
        <f>IF(A47="","",SUMIF(TripSummary!$C$2:$C$2501,A47,TripSummary!$F$2:$F$2501))</f>
        <v/>
      </c>
      <c r="D47">
        <f>IF(A47="","",COUNTIF(TripSummary!$C$2:$C$2501,A47))</f>
        <v/>
      </c>
      <c r="E47">
        <f>IF(A47="","",SUMIF(TripSummary!$C$2:$C$2501,A47,TripSummary!$G$2:$G$2501))</f>
        <v/>
      </c>
      <c r="F47">
        <f>IF(A47="","",SUMIF(TripSummary!$C$2:$C$2501,A47,TripSummary!$K$2:$K$2501))</f>
        <v/>
      </c>
      <c r="G47" s="9">
        <f>IF(OR(A47="",F47=0),"",E47/F47)</f>
        <v/>
      </c>
      <c r="H47" s="9">
        <f>IF(OR(A47="",KPI!$B$5=0),"",B47/KPI!$B$5)</f>
        <v/>
      </c>
      <c r="I47" s="9">
        <f>IF(OR(A47="",KPI!$B$8=0),"",C47/KPI!$B$8)</f>
        <v/>
      </c>
      <c r="J47" s="10">
        <f>IF(OR(A47="",B47=0),"",C47/B47)</f>
        <v/>
      </c>
    </row>
    <row r="48">
      <c r="B48">
        <f>IF(A48="","",SUMIF(TripSummary!$C$2:$C$2501,A48,TripSummary!$E$2:$E$2501))</f>
        <v/>
      </c>
      <c r="C48">
        <f>IF(A48="","",SUMIF(TripSummary!$C$2:$C$2501,A48,TripSummary!$F$2:$F$2501))</f>
        <v/>
      </c>
      <c r="D48">
        <f>IF(A48="","",COUNTIF(TripSummary!$C$2:$C$2501,A48))</f>
        <v/>
      </c>
      <c r="E48">
        <f>IF(A48="","",SUMIF(TripSummary!$C$2:$C$2501,A48,TripSummary!$G$2:$G$2501))</f>
        <v/>
      </c>
      <c r="F48">
        <f>IF(A48="","",SUMIF(TripSummary!$C$2:$C$2501,A48,TripSummary!$K$2:$K$2501))</f>
        <v/>
      </c>
      <c r="G48" s="9">
        <f>IF(OR(A48="",F48=0),"",E48/F48)</f>
        <v/>
      </c>
      <c r="H48" s="9">
        <f>IF(OR(A48="",KPI!$B$5=0),"",B48/KPI!$B$5)</f>
        <v/>
      </c>
      <c r="I48" s="9">
        <f>IF(OR(A48="",KPI!$B$8=0),"",C48/KPI!$B$8)</f>
        <v/>
      </c>
      <c r="J48" s="10">
        <f>IF(OR(A48="",B48=0),"",C48/B48)</f>
        <v/>
      </c>
    </row>
    <row r="49">
      <c r="B49">
        <f>IF(A49="","",SUMIF(TripSummary!$C$2:$C$2501,A49,TripSummary!$E$2:$E$2501))</f>
        <v/>
      </c>
      <c r="C49">
        <f>IF(A49="","",SUMIF(TripSummary!$C$2:$C$2501,A49,TripSummary!$F$2:$F$2501))</f>
        <v/>
      </c>
      <c r="D49">
        <f>IF(A49="","",COUNTIF(TripSummary!$C$2:$C$2501,A49))</f>
        <v/>
      </c>
      <c r="E49">
        <f>IF(A49="","",SUMIF(TripSummary!$C$2:$C$2501,A49,TripSummary!$G$2:$G$2501))</f>
        <v/>
      </c>
      <c r="F49">
        <f>IF(A49="","",SUMIF(TripSummary!$C$2:$C$2501,A49,TripSummary!$K$2:$K$2501))</f>
        <v/>
      </c>
      <c r="G49" s="9">
        <f>IF(OR(A49="",F49=0),"",E49/F49)</f>
        <v/>
      </c>
      <c r="H49" s="9">
        <f>IF(OR(A49="",KPI!$B$5=0),"",B49/KPI!$B$5)</f>
        <v/>
      </c>
      <c r="I49" s="9">
        <f>IF(OR(A49="",KPI!$B$8=0),"",C49/KPI!$B$8)</f>
        <v/>
      </c>
      <c r="J49" s="10">
        <f>IF(OR(A49="",B49=0),"",C49/B49)</f>
        <v/>
      </c>
    </row>
    <row r="50">
      <c r="B50">
        <f>IF(A50="","",SUMIF(TripSummary!$C$2:$C$2501,A50,TripSummary!$E$2:$E$2501))</f>
        <v/>
      </c>
      <c r="C50">
        <f>IF(A50="","",SUMIF(TripSummary!$C$2:$C$2501,A50,TripSummary!$F$2:$F$2501))</f>
        <v/>
      </c>
      <c r="D50">
        <f>IF(A50="","",COUNTIF(TripSummary!$C$2:$C$2501,A50))</f>
        <v/>
      </c>
      <c r="E50">
        <f>IF(A50="","",SUMIF(TripSummary!$C$2:$C$2501,A50,TripSummary!$G$2:$G$2501))</f>
        <v/>
      </c>
      <c r="F50">
        <f>IF(A50="","",SUMIF(TripSummary!$C$2:$C$2501,A50,TripSummary!$K$2:$K$2501))</f>
        <v/>
      </c>
      <c r="G50" s="9">
        <f>IF(OR(A50="",F50=0),"",E50/F50)</f>
        <v/>
      </c>
      <c r="H50" s="9">
        <f>IF(OR(A50="",KPI!$B$5=0),"",B50/KPI!$B$5)</f>
        <v/>
      </c>
      <c r="I50" s="9">
        <f>IF(OR(A50="",KPI!$B$8=0),"",C50/KPI!$B$8)</f>
        <v/>
      </c>
      <c r="J50" s="10">
        <f>IF(OR(A50="",B50=0),"",C50/B50)</f>
        <v/>
      </c>
    </row>
    <row r="51">
      <c r="B51">
        <f>IF(A51="","",SUMIF(TripSummary!$C$2:$C$2501,A51,TripSummary!$E$2:$E$2501))</f>
        <v/>
      </c>
      <c r="C51">
        <f>IF(A51="","",SUMIF(TripSummary!$C$2:$C$2501,A51,TripSummary!$F$2:$F$2501))</f>
        <v/>
      </c>
      <c r="D51">
        <f>IF(A51="","",COUNTIF(TripSummary!$C$2:$C$2501,A51))</f>
        <v/>
      </c>
      <c r="E51">
        <f>IF(A51="","",SUMIF(TripSummary!$C$2:$C$2501,A51,TripSummary!$G$2:$G$2501))</f>
        <v/>
      </c>
      <c r="F51">
        <f>IF(A51="","",SUMIF(TripSummary!$C$2:$C$2501,A51,TripSummary!$K$2:$K$2501))</f>
        <v/>
      </c>
      <c r="G51" s="9">
        <f>IF(OR(A51="",F51=0),"",E51/F51)</f>
        <v/>
      </c>
      <c r="H51" s="9">
        <f>IF(OR(A51="",KPI!$B$5=0),"",B51/KPI!$B$5)</f>
        <v/>
      </c>
      <c r="I51" s="9">
        <f>IF(OR(A51="",KPI!$B$8=0),"",C51/KPI!$B$8)</f>
        <v/>
      </c>
      <c r="J51" s="10">
        <f>IF(OR(A51="",B51=0),"",C51/B51)</f>
        <v/>
      </c>
    </row>
    <row r="52">
      <c r="B52">
        <f>IF(A52="","",SUMIF(TripSummary!$C$2:$C$2501,A52,TripSummary!$E$2:$E$2501))</f>
        <v/>
      </c>
      <c r="C52">
        <f>IF(A52="","",SUMIF(TripSummary!$C$2:$C$2501,A52,TripSummary!$F$2:$F$2501))</f>
        <v/>
      </c>
      <c r="D52">
        <f>IF(A52="","",COUNTIF(TripSummary!$C$2:$C$2501,A52))</f>
        <v/>
      </c>
      <c r="E52">
        <f>IF(A52="","",SUMIF(TripSummary!$C$2:$C$2501,A52,TripSummary!$G$2:$G$2501))</f>
        <v/>
      </c>
      <c r="F52">
        <f>IF(A52="","",SUMIF(TripSummary!$C$2:$C$2501,A52,TripSummary!$K$2:$K$2501))</f>
        <v/>
      </c>
      <c r="G52" s="9">
        <f>IF(OR(A52="",F52=0),"",E52/F52)</f>
        <v/>
      </c>
      <c r="H52" s="9">
        <f>IF(OR(A52="",KPI!$B$5=0),"",B52/KPI!$B$5)</f>
        <v/>
      </c>
      <c r="I52" s="9">
        <f>IF(OR(A52="",KPI!$B$8=0),"",C52/KPI!$B$8)</f>
        <v/>
      </c>
      <c r="J52" s="10">
        <f>IF(OR(A52="",B52=0),"",C52/B52)</f>
        <v/>
      </c>
    </row>
    <row r="53">
      <c r="B53">
        <f>IF(A53="","",SUMIF(TripSummary!$C$2:$C$2501,A53,TripSummary!$E$2:$E$2501))</f>
        <v/>
      </c>
      <c r="C53">
        <f>IF(A53="","",SUMIF(TripSummary!$C$2:$C$2501,A53,TripSummary!$F$2:$F$2501))</f>
        <v/>
      </c>
      <c r="D53">
        <f>IF(A53="","",COUNTIF(TripSummary!$C$2:$C$2501,A53))</f>
        <v/>
      </c>
      <c r="E53">
        <f>IF(A53="","",SUMIF(TripSummary!$C$2:$C$2501,A53,TripSummary!$G$2:$G$2501))</f>
        <v/>
      </c>
      <c r="F53">
        <f>IF(A53="","",SUMIF(TripSummary!$C$2:$C$2501,A53,TripSummary!$K$2:$K$2501))</f>
        <v/>
      </c>
      <c r="G53" s="9">
        <f>IF(OR(A53="",F53=0),"",E53/F53)</f>
        <v/>
      </c>
      <c r="H53" s="9">
        <f>IF(OR(A53="",KPI!$B$5=0),"",B53/KPI!$B$5)</f>
        <v/>
      </c>
      <c r="I53" s="9">
        <f>IF(OR(A53="",KPI!$B$8=0),"",C53/KPI!$B$8)</f>
        <v/>
      </c>
      <c r="J53" s="10">
        <f>IF(OR(A53="",B53=0),"",C53/B53)</f>
        <v/>
      </c>
    </row>
    <row r="54">
      <c r="B54">
        <f>IF(A54="","",SUMIF(TripSummary!$C$2:$C$2501,A54,TripSummary!$E$2:$E$2501))</f>
        <v/>
      </c>
      <c r="C54">
        <f>IF(A54="","",SUMIF(TripSummary!$C$2:$C$2501,A54,TripSummary!$F$2:$F$2501))</f>
        <v/>
      </c>
      <c r="D54">
        <f>IF(A54="","",COUNTIF(TripSummary!$C$2:$C$2501,A54))</f>
        <v/>
      </c>
      <c r="E54">
        <f>IF(A54="","",SUMIF(TripSummary!$C$2:$C$2501,A54,TripSummary!$G$2:$G$2501))</f>
        <v/>
      </c>
      <c r="F54">
        <f>IF(A54="","",SUMIF(TripSummary!$C$2:$C$2501,A54,TripSummary!$K$2:$K$2501))</f>
        <v/>
      </c>
      <c r="G54" s="9">
        <f>IF(OR(A54="",F54=0),"",E54/F54)</f>
        <v/>
      </c>
      <c r="H54" s="9">
        <f>IF(OR(A54="",KPI!$B$5=0),"",B54/KPI!$B$5)</f>
        <v/>
      </c>
      <c r="I54" s="9">
        <f>IF(OR(A54="",KPI!$B$8=0),"",C54/KPI!$B$8)</f>
        <v/>
      </c>
      <c r="J54" s="10">
        <f>IF(OR(A54="",B54=0),"",C54/B54)</f>
        <v/>
      </c>
    </row>
    <row r="55">
      <c r="B55">
        <f>IF(A55="","",SUMIF(TripSummary!$C$2:$C$2501,A55,TripSummary!$E$2:$E$2501))</f>
        <v/>
      </c>
      <c r="C55">
        <f>IF(A55="","",SUMIF(TripSummary!$C$2:$C$2501,A55,TripSummary!$F$2:$F$2501))</f>
        <v/>
      </c>
      <c r="D55">
        <f>IF(A55="","",COUNTIF(TripSummary!$C$2:$C$2501,A55))</f>
        <v/>
      </c>
      <c r="E55">
        <f>IF(A55="","",SUMIF(TripSummary!$C$2:$C$2501,A55,TripSummary!$G$2:$G$2501))</f>
        <v/>
      </c>
      <c r="F55">
        <f>IF(A55="","",SUMIF(TripSummary!$C$2:$C$2501,A55,TripSummary!$K$2:$K$2501))</f>
        <v/>
      </c>
      <c r="G55" s="9">
        <f>IF(OR(A55="",F55=0),"",E55/F55)</f>
        <v/>
      </c>
      <c r="H55" s="9">
        <f>IF(OR(A55="",KPI!$B$5=0),"",B55/KPI!$B$5)</f>
        <v/>
      </c>
      <c r="I55" s="9">
        <f>IF(OR(A55="",KPI!$B$8=0),"",C55/KPI!$B$8)</f>
        <v/>
      </c>
      <c r="J55" s="10">
        <f>IF(OR(A55="",B55=0),"",C55/B55)</f>
        <v/>
      </c>
    </row>
    <row r="56">
      <c r="B56">
        <f>IF(A56="","",SUMIF(TripSummary!$C$2:$C$2501,A56,TripSummary!$E$2:$E$2501))</f>
        <v/>
      </c>
      <c r="C56">
        <f>IF(A56="","",SUMIF(TripSummary!$C$2:$C$2501,A56,TripSummary!$F$2:$F$2501))</f>
        <v/>
      </c>
      <c r="D56">
        <f>IF(A56="","",COUNTIF(TripSummary!$C$2:$C$2501,A56))</f>
        <v/>
      </c>
      <c r="E56">
        <f>IF(A56="","",SUMIF(TripSummary!$C$2:$C$2501,A56,TripSummary!$G$2:$G$2501))</f>
        <v/>
      </c>
      <c r="F56">
        <f>IF(A56="","",SUMIF(TripSummary!$C$2:$C$2501,A56,TripSummary!$K$2:$K$2501))</f>
        <v/>
      </c>
      <c r="G56" s="9">
        <f>IF(OR(A56="",F56=0),"",E56/F56)</f>
        <v/>
      </c>
      <c r="H56" s="9">
        <f>IF(OR(A56="",KPI!$B$5=0),"",B56/KPI!$B$5)</f>
        <v/>
      </c>
      <c r="I56" s="9">
        <f>IF(OR(A56="",KPI!$B$8=0),"",C56/KPI!$B$8)</f>
        <v/>
      </c>
      <c r="J56" s="10">
        <f>IF(OR(A56="",B56=0),"",C56/B56)</f>
        <v/>
      </c>
    </row>
    <row r="57">
      <c r="B57">
        <f>IF(A57="","",SUMIF(TripSummary!$C$2:$C$2501,A57,TripSummary!$E$2:$E$2501))</f>
        <v/>
      </c>
      <c r="C57">
        <f>IF(A57="","",SUMIF(TripSummary!$C$2:$C$2501,A57,TripSummary!$F$2:$F$2501))</f>
        <v/>
      </c>
      <c r="D57">
        <f>IF(A57="","",COUNTIF(TripSummary!$C$2:$C$2501,A57))</f>
        <v/>
      </c>
      <c r="E57">
        <f>IF(A57="","",SUMIF(TripSummary!$C$2:$C$2501,A57,TripSummary!$G$2:$G$2501))</f>
        <v/>
      </c>
      <c r="F57">
        <f>IF(A57="","",SUMIF(TripSummary!$C$2:$C$2501,A57,TripSummary!$K$2:$K$2501))</f>
        <v/>
      </c>
      <c r="G57" s="9">
        <f>IF(OR(A57="",F57=0),"",E57/F57)</f>
        <v/>
      </c>
      <c r="H57" s="9">
        <f>IF(OR(A57="",KPI!$B$5=0),"",B57/KPI!$B$5)</f>
        <v/>
      </c>
      <c r="I57" s="9">
        <f>IF(OR(A57="",KPI!$B$8=0),"",C57/KPI!$B$8)</f>
        <v/>
      </c>
      <c r="J57" s="10">
        <f>IF(OR(A57="",B57=0),"",C57/B57)</f>
        <v/>
      </c>
    </row>
    <row r="58">
      <c r="B58">
        <f>IF(A58="","",SUMIF(TripSummary!$C$2:$C$2501,A58,TripSummary!$E$2:$E$2501))</f>
        <v/>
      </c>
      <c r="C58">
        <f>IF(A58="","",SUMIF(TripSummary!$C$2:$C$2501,A58,TripSummary!$F$2:$F$2501))</f>
        <v/>
      </c>
      <c r="D58">
        <f>IF(A58="","",COUNTIF(TripSummary!$C$2:$C$2501,A58))</f>
        <v/>
      </c>
      <c r="E58">
        <f>IF(A58="","",SUMIF(TripSummary!$C$2:$C$2501,A58,TripSummary!$G$2:$G$2501))</f>
        <v/>
      </c>
      <c r="F58">
        <f>IF(A58="","",SUMIF(TripSummary!$C$2:$C$2501,A58,TripSummary!$K$2:$K$2501))</f>
        <v/>
      </c>
      <c r="G58" s="9">
        <f>IF(OR(A58="",F58=0),"",E58/F58)</f>
        <v/>
      </c>
      <c r="H58" s="9">
        <f>IF(OR(A58="",KPI!$B$5=0),"",B58/KPI!$B$5)</f>
        <v/>
      </c>
      <c r="I58" s="9">
        <f>IF(OR(A58="",KPI!$B$8=0),"",C58/KPI!$B$8)</f>
        <v/>
      </c>
      <c r="J58" s="10">
        <f>IF(OR(A58="",B58=0),"",C58/B58)</f>
        <v/>
      </c>
    </row>
    <row r="59">
      <c r="B59">
        <f>IF(A59="","",SUMIF(TripSummary!$C$2:$C$2501,A59,TripSummary!$E$2:$E$2501))</f>
        <v/>
      </c>
      <c r="C59">
        <f>IF(A59="","",SUMIF(TripSummary!$C$2:$C$2501,A59,TripSummary!$F$2:$F$2501))</f>
        <v/>
      </c>
      <c r="D59">
        <f>IF(A59="","",COUNTIF(TripSummary!$C$2:$C$2501,A59))</f>
        <v/>
      </c>
      <c r="E59">
        <f>IF(A59="","",SUMIF(TripSummary!$C$2:$C$2501,A59,TripSummary!$G$2:$G$2501))</f>
        <v/>
      </c>
      <c r="F59">
        <f>IF(A59="","",SUMIF(TripSummary!$C$2:$C$2501,A59,TripSummary!$K$2:$K$2501))</f>
        <v/>
      </c>
      <c r="G59" s="9">
        <f>IF(OR(A59="",F59=0),"",E59/F59)</f>
        <v/>
      </c>
      <c r="H59" s="9">
        <f>IF(OR(A59="",KPI!$B$5=0),"",B59/KPI!$B$5)</f>
        <v/>
      </c>
      <c r="I59" s="9">
        <f>IF(OR(A59="",KPI!$B$8=0),"",C59/KPI!$B$8)</f>
        <v/>
      </c>
      <c r="J59" s="10">
        <f>IF(OR(A59="",B59=0),"",C59/B59)</f>
        <v/>
      </c>
    </row>
    <row r="60">
      <c r="B60">
        <f>IF(A60="","",SUMIF(TripSummary!$C$2:$C$2501,A60,TripSummary!$E$2:$E$2501))</f>
        <v/>
      </c>
      <c r="C60">
        <f>IF(A60="","",SUMIF(TripSummary!$C$2:$C$2501,A60,TripSummary!$F$2:$F$2501))</f>
        <v/>
      </c>
      <c r="D60">
        <f>IF(A60="","",COUNTIF(TripSummary!$C$2:$C$2501,A60))</f>
        <v/>
      </c>
      <c r="E60">
        <f>IF(A60="","",SUMIF(TripSummary!$C$2:$C$2501,A60,TripSummary!$G$2:$G$2501))</f>
        <v/>
      </c>
      <c r="F60">
        <f>IF(A60="","",SUMIF(TripSummary!$C$2:$C$2501,A60,TripSummary!$K$2:$K$2501))</f>
        <v/>
      </c>
      <c r="G60" s="9">
        <f>IF(OR(A60="",F60=0),"",E60/F60)</f>
        <v/>
      </c>
      <c r="H60" s="9">
        <f>IF(OR(A60="",KPI!$B$5=0),"",B60/KPI!$B$5)</f>
        <v/>
      </c>
      <c r="I60" s="9">
        <f>IF(OR(A60="",KPI!$B$8=0),"",C60/KPI!$B$8)</f>
        <v/>
      </c>
      <c r="J60" s="10">
        <f>IF(OR(A60="",B60=0),"",C60/B60)</f>
        <v/>
      </c>
    </row>
    <row r="61">
      <c r="B61">
        <f>IF(A61="","",SUMIF(TripSummary!$C$2:$C$2501,A61,TripSummary!$E$2:$E$2501))</f>
        <v/>
      </c>
      <c r="C61">
        <f>IF(A61="","",SUMIF(TripSummary!$C$2:$C$2501,A61,TripSummary!$F$2:$F$2501))</f>
        <v/>
      </c>
      <c r="D61">
        <f>IF(A61="","",COUNTIF(TripSummary!$C$2:$C$2501,A61))</f>
        <v/>
      </c>
      <c r="E61">
        <f>IF(A61="","",SUMIF(TripSummary!$C$2:$C$2501,A61,TripSummary!$G$2:$G$2501))</f>
        <v/>
      </c>
      <c r="F61">
        <f>IF(A61="","",SUMIF(TripSummary!$C$2:$C$2501,A61,TripSummary!$K$2:$K$2501))</f>
        <v/>
      </c>
      <c r="G61" s="9">
        <f>IF(OR(A61="",F61=0),"",E61/F61)</f>
        <v/>
      </c>
      <c r="H61" s="9">
        <f>IF(OR(A61="",KPI!$B$5=0),"",B61/KPI!$B$5)</f>
        <v/>
      </c>
      <c r="I61" s="9">
        <f>IF(OR(A61="",KPI!$B$8=0),"",C61/KPI!$B$8)</f>
        <v/>
      </c>
      <c r="J61" s="10">
        <f>IF(OR(A61="",B61=0),"",C61/B61)</f>
        <v/>
      </c>
    </row>
    <row r="62">
      <c r="B62">
        <f>IF(A62="","",SUMIF(TripSummary!$C$2:$C$2501,A62,TripSummary!$E$2:$E$2501))</f>
        <v/>
      </c>
      <c r="C62">
        <f>IF(A62="","",SUMIF(TripSummary!$C$2:$C$2501,A62,TripSummary!$F$2:$F$2501))</f>
        <v/>
      </c>
      <c r="D62">
        <f>IF(A62="","",COUNTIF(TripSummary!$C$2:$C$2501,A62))</f>
        <v/>
      </c>
      <c r="E62">
        <f>IF(A62="","",SUMIF(TripSummary!$C$2:$C$2501,A62,TripSummary!$G$2:$G$2501))</f>
        <v/>
      </c>
      <c r="F62">
        <f>IF(A62="","",SUMIF(TripSummary!$C$2:$C$2501,A62,TripSummary!$K$2:$K$2501))</f>
        <v/>
      </c>
      <c r="G62" s="9">
        <f>IF(OR(A62="",F62=0),"",E62/F62)</f>
        <v/>
      </c>
      <c r="H62" s="9">
        <f>IF(OR(A62="",KPI!$B$5=0),"",B62/KPI!$B$5)</f>
        <v/>
      </c>
      <c r="I62" s="9">
        <f>IF(OR(A62="",KPI!$B$8=0),"",C62/KPI!$B$8)</f>
        <v/>
      </c>
      <c r="J62" s="10">
        <f>IF(OR(A62="",B62=0),"",C62/B62)</f>
        <v/>
      </c>
    </row>
    <row r="63">
      <c r="B63">
        <f>IF(A63="","",SUMIF(TripSummary!$C$2:$C$2501,A63,TripSummary!$E$2:$E$2501))</f>
        <v/>
      </c>
      <c r="C63">
        <f>IF(A63="","",SUMIF(TripSummary!$C$2:$C$2501,A63,TripSummary!$F$2:$F$2501))</f>
        <v/>
      </c>
      <c r="D63">
        <f>IF(A63="","",COUNTIF(TripSummary!$C$2:$C$2501,A63))</f>
        <v/>
      </c>
      <c r="E63">
        <f>IF(A63="","",SUMIF(TripSummary!$C$2:$C$2501,A63,TripSummary!$G$2:$G$2501))</f>
        <v/>
      </c>
      <c r="F63">
        <f>IF(A63="","",SUMIF(TripSummary!$C$2:$C$2501,A63,TripSummary!$K$2:$K$2501))</f>
        <v/>
      </c>
      <c r="G63" s="9">
        <f>IF(OR(A63="",F63=0),"",E63/F63)</f>
        <v/>
      </c>
      <c r="H63" s="9">
        <f>IF(OR(A63="",KPI!$B$5=0),"",B63/KPI!$B$5)</f>
        <v/>
      </c>
      <c r="I63" s="9">
        <f>IF(OR(A63="",KPI!$B$8=0),"",C63/KPI!$B$8)</f>
        <v/>
      </c>
      <c r="J63" s="10">
        <f>IF(OR(A63="",B63=0),"",C63/B63)</f>
        <v/>
      </c>
    </row>
    <row r="64">
      <c r="B64">
        <f>IF(A64="","",SUMIF(TripSummary!$C$2:$C$2501,A64,TripSummary!$E$2:$E$2501))</f>
        <v/>
      </c>
      <c r="C64">
        <f>IF(A64="","",SUMIF(TripSummary!$C$2:$C$2501,A64,TripSummary!$F$2:$F$2501))</f>
        <v/>
      </c>
      <c r="D64">
        <f>IF(A64="","",COUNTIF(TripSummary!$C$2:$C$2501,A64))</f>
        <v/>
      </c>
      <c r="E64">
        <f>IF(A64="","",SUMIF(TripSummary!$C$2:$C$2501,A64,TripSummary!$G$2:$G$2501))</f>
        <v/>
      </c>
      <c r="F64">
        <f>IF(A64="","",SUMIF(TripSummary!$C$2:$C$2501,A64,TripSummary!$K$2:$K$2501))</f>
        <v/>
      </c>
      <c r="G64" s="9">
        <f>IF(OR(A64="",F64=0),"",E64/F64)</f>
        <v/>
      </c>
      <c r="H64" s="9">
        <f>IF(OR(A64="",KPI!$B$5=0),"",B64/KPI!$B$5)</f>
        <v/>
      </c>
      <c r="I64" s="9">
        <f>IF(OR(A64="",KPI!$B$8=0),"",C64/KPI!$B$8)</f>
        <v/>
      </c>
      <c r="J64" s="10">
        <f>IF(OR(A64="",B64=0),"",C64/B64)</f>
        <v/>
      </c>
    </row>
    <row r="65">
      <c r="B65">
        <f>IF(A65="","",SUMIF(TripSummary!$C$2:$C$2501,A65,TripSummary!$E$2:$E$2501))</f>
        <v/>
      </c>
      <c r="C65">
        <f>IF(A65="","",SUMIF(TripSummary!$C$2:$C$2501,A65,TripSummary!$F$2:$F$2501))</f>
        <v/>
      </c>
      <c r="D65">
        <f>IF(A65="","",COUNTIF(TripSummary!$C$2:$C$2501,A65))</f>
        <v/>
      </c>
      <c r="E65">
        <f>IF(A65="","",SUMIF(TripSummary!$C$2:$C$2501,A65,TripSummary!$G$2:$G$2501))</f>
        <v/>
      </c>
      <c r="F65">
        <f>IF(A65="","",SUMIF(TripSummary!$C$2:$C$2501,A65,TripSummary!$K$2:$K$2501))</f>
        <v/>
      </c>
      <c r="G65" s="9">
        <f>IF(OR(A65="",F65=0),"",E65/F65)</f>
        <v/>
      </c>
      <c r="H65" s="9">
        <f>IF(OR(A65="",KPI!$B$5=0),"",B65/KPI!$B$5)</f>
        <v/>
      </c>
      <c r="I65" s="9">
        <f>IF(OR(A65="",KPI!$B$8=0),"",C65/KPI!$B$8)</f>
        <v/>
      </c>
      <c r="J65" s="10">
        <f>IF(OR(A65="",B65=0),"",C65/B65)</f>
        <v/>
      </c>
    </row>
    <row r="66">
      <c r="B66">
        <f>IF(A66="","",SUMIF(TripSummary!$C$2:$C$2501,A66,TripSummary!$E$2:$E$2501))</f>
        <v/>
      </c>
      <c r="C66">
        <f>IF(A66="","",SUMIF(TripSummary!$C$2:$C$2501,A66,TripSummary!$F$2:$F$2501))</f>
        <v/>
      </c>
      <c r="D66">
        <f>IF(A66="","",COUNTIF(TripSummary!$C$2:$C$2501,A66))</f>
        <v/>
      </c>
      <c r="E66">
        <f>IF(A66="","",SUMIF(TripSummary!$C$2:$C$2501,A66,TripSummary!$G$2:$G$2501))</f>
        <v/>
      </c>
      <c r="F66">
        <f>IF(A66="","",SUMIF(TripSummary!$C$2:$C$2501,A66,TripSummary!$K$2:$K$2501))</f>
        <v/>
      </c>
      <c r="G66" s="9">
        <f>IF(OR(A66="",F66=0),"",E66/F66)</f>
        <v/>
      </c>
      <c r="H66" s="9">
        <f>IF(OR(A66="",KPI!$B$5=0),"",B66/KPI!$B$5)</f>
        <v/>
      </c>
      <c r="I66" s="9">
        <f>IF(OR(A66="",KPI!$B$8=0),"",C66/KPI!$B$8)</f>
        <v/>
      </c>
      <c r="J66" s="10">
        <f>IF(OR(A66="",B66=0),"",C66/B66)</f>
        <v/>
      </c>
    </row>
    <row r="67">
      <c r="B67">
        <f>IF(A67="","",SUMIF(TripSummary!$C$2:$C$2501,A67,TripSummary!$E$2:$E$2501))</f>
        <v/>
      </c>
      <c r="C67">
        <f>IF(A67="","",SUMIF(TripSummary!$C$2:$C$2501,A67,TripSummary!$F$2:$F$2501))</f>
        <v/>
      </c>
      <c r="D67">
        <f>IF(A67="","",COUNTIF(TripSummary!$C$2:$C$2501,A67))</f>
        <v/>
      </c>
      <c r="E67">
        <f>IF(A67="","",SUMIF(TripSummary!$C$2:$C$2501,A67,TripSummary!$G$2:$G$2501))</f>
        <v/>
      </c>
      <c r="F67">
        <f>IF(A67="","",SUMIF(TripSummary!$C$2:$C$2501,A67,TripSummary!$K$2:$K$2501))</f>
        <v/>
      </c>
      <c r="G67" s="9">
        <f>IF(OR(A67="",F67=0),"",E67/F67)</f>
        <v/>
      </c>
      <c r="H67" s="9">
        <f>IF(OR(A67="",KPI!$B$5=0),"",B67/KPI!$B$5)</f>
        <v/>
      </c>
      <c r="I67" s="9">
        <f>IF(OR(A67="",KPI!$B$8=0),"",C67/KPI!$B$8)</f>
        <v/>
      </c>
      <c r="J67" s="10">
        <f>IF(OR(A67="",B67=0),"",C67/B67)</f>
        <v/>
      </c>
    </row>
    <row r="68">
      <c r="B68">
        <f>IF(A68="","",SUMIF(TripSummary!$C$2:$C$2501,A68,TripSummary!$E$2:$E$2501))</f>
        <v/>
      </c>
      <c r="C68">
        <f>IF(A68="","",SUMIF(TripSummary!$C$2:$C$2501,A68,TripSummary!$F$2:$F$2501))</f>
        <v/>
      </c>
      <c r="D68">
        <f>IF(A68="","",COUNTIF(TripSummary!$C$2:$C$2501,A68))</f>
        <v/>
      </c>
      <c r="E68">
        <f>IF(A68="","",SUMIF(TripSummary!$C$2:$C$2501,A68,TripSummary!$G$2:$G$2501))</f>
        <v/>
      </c>
      <c r="F68">
        <f>IF(A68="","",SUMIF(TripSummary!$C$2:$C$2501,A68,TripSummary!$K$2:$K$2501))</f>
        <v/>
      </c>
      <c r="G68" s="9">
        <f>IF(OR(A68="",F68=0),"",E68/F68)</f>
        <v/>
      </c>
      <c r="H68" s="9">
        <f>IF(OR(A68="",KPI!$B$5=0),"",B68/KPI!$B$5)</f>
        <v/>
      </c>
      <c r="I68" s="9">
        <f>IF(OR(A68="",KPI!$B$8=0),"",C68/KPI!$B$8)</f>
        <v/>
      </c>
      <c r="J68" s="10">
        <f>IF(OR(A68="",B68=0),"",C68/B68)</f>
        <v/>
      </c>
    </row>
    <row r="69">
      <c r="B69">
        <f>IF(A69="","",SUMIF(TripSummary!$C$2:$C$2501,A69,TripSummary!$E$2:$E$2501))</f>
        <v/>
      </c>
      <c r="C69">
        <f>IF(A69="","",SUMIF(TripSummary!$C$2:$C$2501,A69,TripSummary!$F$2:$F$2501))</f>
        <v/>
      </c>
      <c r="D69">
        <f>IF(A69="","",COUNTIF(TripSummary!$C$2:$C$2501,A69))</f>
        <v/>
      </c>
      <c r="E69">
        <f>IF(A69="","",SUMIF(TripSummary!$C$2:$C$2501,A69,TripSummary!$G$2:$G$2501))</f>
        <v/>
      </c>
      <c r="F69">
        <f>IF(A69="","",SUMIF(TripSummary!$C$2:$C$2501,A69,TripSummary!$K$2:$K$2501))</f>
        <v/>
      </c>
      <c r="G69" s="9">
        <f>IF(OR(A69="",F69=0),"",E69/F69)</f>
        <v/>
      </c>
      <c r="H69" s="9">
        <f>IF(OR(A69="",KPI!$B$5=0),"",B69/KPI!$B$5)</f>
        <v/>
      </c>
      <c r="I69" s="9">
        <f>IF(OR(A69="",KPI!$B$8=0),"",C69/KPI!$B$8)</f>
        <v/>
      </c>
      <c r="J69" s="10">
        <f>IF(OR(A69="",B69=0),"",C69/B69)</f>
        <v/>
      </c>
    </row>
    <row r="70">
      <c r="B70">
        <f>IF(A70="","",SUMIF(TripSummary!$C$2:$C$2501,A70,TripSummary!$E$2:$E$2501))</f>
        <v/>
      </c>
      <c r="C70">
        <f>IF(A70="","",SUMIF(TripSummary!$C$2:$C$2501,A70,TripSummary!$F$2:$F$2501))</f>
        <v/>
      </c>
      <c r="D70">
        <f>IF(A70="","",COUNTIF(TripSummary!$C$2:$C$2501,A70))</f>
        <v/>
      </c>
      <c r="E70">
        <f>IF(A70="","",SUMIF(TripSummary!$C$2:$C$2501,A70,TripSummary!$G$2:$G$2501))</f>
        <v/>
      </c>
      <c r="F70">
        <f>IF(A70="","",SUMIF(TripSummary!$C$2:$C$2501,A70,TripSummary!$K$2:$K$2501))</f>
        <v/>
      </c>
      <c r="G70" s="9">
        <f>IF(OR(A70="",F70=0),"",E70/F70)</f>
        <v/>
      </c>
      <c r="H70" s="9">
        <f>IF(OR(A70="",KPI!$B$5=0),"",B70/KPI!$B$5)</f>
        <v/>
      </c>
      <c r="I70" s="9">
        <f>IF(OR(A70="",KPI!$B$8=0),"",C70/KPI!$B$8)</f>
        <v/>
      </c>
      <c r="J70" s="10">
        <f>IF(OR(A70="",B70=0),"",C70/B70)</f>
        <v/>
      </c>
    </row>
    <row r="71">
      <c r="B71">
        <f>IF(A71="","",SUMIF(TripSummary!$C$2:$C$2501,A71,TripSummary!$E$2:$E$2501))</f>
        <v/>
      </c>
      <c r="C71">
        <f>IF(A71="","",SUMIF(TripSummary!$C$2:$C$2501,A71,TripSummary!$F$2:$F$2501))</f>
        <v/>
      </c>
      <c r="D71">
        <f>IF(A71="","",COUNTIF(TripSummary!$C$2:$C$2501,A71))</f>
        <v/>
      </c>
      <c r="E71">
        <f>IF(A71="","",SUMIF(TripSummary!$C$2:$C$2501,A71,TripSummary!$G$2:$G$2501))</f>
        <v/>
      </c>
      <c r="F71">
        <f>IF(A71="","",SUMIF(TripSummary!$C$2:$C$2501,A71,TripSummary!$K$2:$K$2501))</f>
        <v/>
      </c>
      <c r="G71" s="9">
        <f>IF(OR(A71="",F71=0),"",E71/F71)</f>
        <v/>
      </c>
      <c r="H71" s="9">
        <f>IF(OR(A71="",KPI!$B$5=0),"",B71/KPI!$B$5)</f>
        <v/>
      </c>
      <c r="I71" s="9">
        <f>IF(OR(A71="",KPI!$B$8=0),"",C71/KPI!$B$8)</f>
        <v/>
      </c>
      <c r="J71" s="10">
        <f>IF(OR(A71="",B71=0),"",C71/B71)</f>
        <v/>
      </c>
    </row>
    <row r="72">
      <c r="B72">
        <f>IF(A72="","",SUMIF(TripSummary!$C$2:$C$2501,A72,TripSummary!$E$2:$E$2501))</f>
        <v/>
      </c>
      <c r="C72">
        <f>IF(A72="","",SUMIF(TripSummary!$C$2:$C$2501,A72,TripSummary!$F$2:$F$2501))</f>
        <v/>
      </c>
      <c r="D72">
        <f>IF(A72="","",COUNTIF(TripSummary!$C$2:$C$2501,A72))</f>
        <v/>
      </c>
      <c r="E72">
        <f>IF(A72="","",SUMIF(TripSummary!$C$2:$C$2501,A72,TripSummary!$G$2:$G$2501))</f>
        <v/>
      </c>
      <c r="F72">
        <f>IF(A72="","",SUMIF(TripSummary!$C$2:$C$2501,A72,TripSummary!$K$2:$K$2501))</f>
        <v/>
      </c>
      <c r="G72" s="9">
        <f>IF(OR(A72="",F72=0),"",E72/F72)</f>
        <v/>
      </c>
      <c r="H72" s="9">
        <f>IF(OR(A72="",KPI!$B$5=0),"",B72/KPI!$B$5)</f>
        <v/>
      </c>
      <c r="I72" s="9">
        <f>IF(OR(A72="",KPI!$B$8=0),"",C72/KPI!$B$8)</f>
        <v/>
      </c>
      <c r="J72" s="10">
        <f>IF(OR(A72="",B72=0),"",C72/B72)</f>
        <v/>
      </c>
    </row>
    <row r="73">
      <c r="B73">
        <f>IF(A73="","",SUMIF(TripSummary!$C$2:$C$2501,A73,TripSummary!$E$2:$E$2501))</f>
        <v/>
      </c>
      <c r="C73">
        <f>IF(A73="","",SUMIF(TripSummary!$C$2:$C$2501,A73,TripSummary!$F$2:$F$2501))</f>
        <v/>
      </c>
      <c r="D73">
        <f>IF(A73="","",COUNTIF(TripSummary!$C$2:$C$2501,A73))</f>
        <v/>
      </c>
      <c r="E73">
        <f>IF(A73="","",SUMIF(TripSummary!$C$2:$C$2501,A73,TripSummary!$G$2:$G$2501))</f>
        <v/>
      </c>
      <c r="F73">
        <f>IF(A73="","",SUMIF(TripSummary!$C$2:$C$2501,A73,TripSummary!$K$2:$K$2501))</f>
        <v/>
      </c>
      <c r="G73" s="9">
        <f>IF(OR(A73="",F73=0),"",E73/F73)</f>
        <v/>
      </c>
      <c r="H73" s="9">
        <f>IF(OR(A73="",KPI!$B$5=0),"",B73/KPI!$B$5)</f>
        <v/>
      </c>
      <c r="I73" s="9">
        <f>IF(OR(A73="",KPI!$B$8=0),"",C73/KPI!$B$8)</f>
        <v/>
      </c>
      <c r="J73" s="10">
        <f>IF(OR(A73="",B73=0),"",C73/B73)</f>
        <v/>
      </c>
    </row>
    <row r="74">
      <c r="B74">
        <f>IF(A74="","",SUMIF(TripSummary!$C$2:$C$2501,A74,TripSummary!$E$2:$E$2501))</f>
        <v/>
      </c>
      <c r="C74">
        <f>IF(A74="","",SUMIF(TripSummary!$C$2:$C$2501,A74,TripSummary!$F$2:$F$2501))</f>
        <v/>
      </c>
      <c r="D74">
        <f>IF(A74="","",COUNTIF(TripSummary!$C$2:$C$2501,A74))</f>
        <v/>
      </c>
      <c r="E74">
        <f>IF(A74="","",SUMIF(TripSummary!$C$2:$C$2501,A74,TripSummary!$G$2:$G$2501))</f>
        <v/>
      </c>
      <c r="F74">
        <f>IF(A74="","",SUMIF(TripSummary!$C$2:$C$2501,A74,TripSummary!$K$2:$K$2501))</f>
        <v/>
      </c>
      <c r="G74" s="9">
        <f>IF(OR(A74="",F74=0),"",E74/F74)</f>
        <v/>
      </c>
      <c r="H74" s="9">
        <f>IF(OR(A74="",KPI!$B$5=0),"",B74/KPI!$B$5)</f>
        <v/>
      </c>
      <c r="I74" s="9">
        <f>IF(OR(A74="",KPI!$B$8=0),"",C74/KPI!$B$8)</f>
        <v/>
      </c>
      <c r="J74" s="10">
        <f>IF(OR(A74="",B74=0),"",C74/B74)</f>
        <v/>
      </c>
    </row>
    <row r="75">
      <c r="B75">
        <f>IF(A75="","",SUMIF(TripSummary!$C$2:$C$2501,A75,TripSummary!$E$2:$E$2501))</f>
        <v/>
      </c>
      <c r="C75">
        <f>IF(A75="","",SUMIF(TripSummary!$C$2:$C$2501,A75,TripSummary!$F$2:$F$2501))</f>
        <v/>
      </c>
      <c r="D75">
        <f>IF(A75="","",COUNTIF(TripSummary!$C$2:$C$2501,A75))</f>
        <v/>
      </c>
      <c r="E75">
        <f>IF(A75="","",SUMIF(TripSummary!$C$2:$C$2501,A75,TripSummary!$G$2:$G$2501))</f>
        <v/>
      </c>
      <c r="F75">
        <f>IF(A75="","",SUMIF(TripSummary!$C$2:$C$2501,A75,TripSummary!$K$2:$K$2501))</f>
        <v/>
      </c>
      <c r="G75" s="9">
        <f>IF(OR(A75="",F75=0),"",E75/F75)</f>
        <v/>
      </c>
      <c r="H75" s="9">
        <f>IF(OR(A75="",KPI!$B$5=0),"",B75/KPI!$B$5)</f>
        <v/>
      </c>
      <c r="I75" s="9">
        <f>IF(OR(A75="",KPI!$B$8=0),"",C75/KPI!$B$8)</f>
        <v/>
      </c>
      <c r="J75" s="10">
        <f>IF(OR(A75="",B75=0),"",C75/B75)</f>
        <v/>
      </c>
    </row>
    <row r="76">
      <c r="B76">
        <f>IF(A76="","",SUMIF(TripSummary!$C$2:$C$2501,A76,TripSummary!$E$2:$E$2501))</f>
        <v/>
      </c>
      <c r="C76">
        <f>IF(A76="","",SUMIF(TripSummary!$C$2:$C$2501,A76,TripSummary!$F$2:$F$2501))</f>
        <v/>
      </c>
      <c r="D76">
        <f>IF(A76="","",COUNTIF(TripSummary!$C$2:$C$2501,A76))</f>
        <v/>
      </c>
      <c r="E76">
        <f>IF(A76="","",SUMIF(TripSummary!$C$2:$C$2501,A76,TripSummary!$G$2:$G$2501))</f>
        <v/>
      </c>
      <c r="F76">
        <f>IF(A76="","",SUMIF(TripSummary!$C$2:$C$2501,A76,TripSummary!$K$2:$K$2501))</f>
        <v/>
      </c>
      <c r="G76" s="9">
        <f>IF(OR(A76="",F76=0),"",E76/F76)</f>
        <v/>
      </c>
      <c r="H76" s="9">
        <f>IF(OR(A76="",KPI!$B$5=0),"",B76/KPI!$B$5)</f>
        <v/>
      </c>
      <c r="I76" s="9">
        <f>IF(OR(A76="",KPI!$B$8=0),"",C76/KPI!$B$8)</f>
        <v/>
      </c>
      <c r="J76" s="10">
        <f>IF(OR(A76="",B76=0),"",C76/B76)</f>
        <v/>
      </c>
    </row>
    <row r="77">
      <c r="B77">
        <f>IF(A77="","",SUMIF(TripSummary!$C$2:$C$2501,A77,TripSummary!$E$2:$E$2501))</f>
        <v/>
      </c>
      <c r="C77">
        <f>IF(A77="","",SUMIF(TripSummary!$C$2:$C$2501,A77,TripSummary!$F$2:$F$2501))</f>
        <v/>
      </c>
      <c r="D77">
        <f>IF(A77="","",COUNTIF(TripSummary!$C$2:$C$2501,A77))</f>
        <v/>
      </c>
      <c r="E77">
        <f>IF(A77="","",SUMIF(TripSummary!$C$2:$C$2501,A77,TripSummary!$G$2:$G$2501))</f>
        <v/>
      </c>
      <c r="F77">
        <f>IF(A77="","",SUMIF(TripSummary!$C$2:$C$2501,A77,TripSummary!$K$2:$K$2501))</f>
        <v/>
      </c>
      <c r="G77" s="9">
        <f>IF(OR(A77="",F77=0),"",E77/F77)</f>
        <v/>
      </c>
      <c r="H77" s="9">
        <f>IF(OR(A77="",KPI!$B$5=0),"",B77/KPI!$B$5)</f>
        <v/>
      </c>
      <c r="I77" s="9">
        <f>IF(OR(A77="",KPI!$B$8=0),"",C77/KPI!$B$8)</f>
        <v/>
      </c>
      <c r="J77" s="10">
        <f>IF(OR(A77="",B77=0),"",C77/B77)</f>
        <v/>
      </c>
    </row>
    <row r="78">
      <c r="B78">
        <f>IF(A78="","",SUMIF(TripSummary!$C$2:$C$2501,A78,TripSummary!$E$2:$E$2501))</f>
        <v/>
      </c>
      <c r="C78">
        <f>IF(A78="","",SUMIF(TripSummary!$C$2:$C$2501,A78,TripSummary!$F$2:$F$2501))</f>
        <v/>
      </c>
      <c r="D78">
        <f>IF(A78="","",COUNTIF(TripSummary!$C$2:$C$2501,A78))</f>
        <v/>
      </c>
      <c r="E78">
        <f>IF(A78="","",SUMIF(TripSummary!$C$2:$C$2501,A78,TripSummary!$G$2:$G$2501))</f>
        <v/>
      </c>
      <c r="F78">
        <f>IF(A78="","",SUMIF(TripSummary!$C$2:$C$2501,A78,TripSummary!$K$2:$K$2501))</f>
        <v/>
      </c>
      <c r="G78" s="9">
        <f>IF(OR(A78="",F78=0),"",E78/F78)</f>
        <v/>
      </c>
      <c r="H78" s="9">
        <f>IF(OR(A78="",KPI!$B$5=0),"",B78/KPI!$B$5)</f>
        <v/>
      </c>
      <c r="I78" s="9">
        <f>IF(OR(A78="",KPI!$B$8=0),"",C78/KPI!$B$8)</f>
        <v/>
      </c>
      <c r="J78" s="10">
        <f>IF(OR(A78="",B78=0),"",C78/B78)</f>
        <v/>
      </c>
    </row>
    <row r="79">
      <c r="B79">
        <f>IF(A79="","",SUMIF(TripSummary!$C$2:$C$2501,A79,TripSummary!$E$2:$E$2501))</f>
        <v/>
      </c>
      <c r="C79">
        <f>IF(A79="","",SUMIF(TripSummary!$C$2:$C$2501,A79,TripSummary!$F$2:$F$2501))</f>
        <v/>
      </c>
      <c r="D79">
        <f>IF(A79="","",COUNTIF(TripSummary!$C$2:$C$2501,A79))</f>
        <v/>
      </c>
      <c r="E79">
        <f>IF(A79="","",SUMIF(TripSummary!$C$2:$C$2501,A79,TripSummary!$G$2:$G$2501))</f>
        <v/>
      </c>
      <c r="F79">
        <f>IF(A79="","",SUMIF(TripSummary!$C$2:$C$2501,A79,TripSummary!$K$2:$K$2501))</f>
        <v/>
      </c>
      <c r="G79" s="9">
        <f>IF(OR(A79="",F79=0),"",E79/F79)</f>
        <v/>
      </c>
      <c r="H79" s="9">
        <f>IF(OR(A79="",KPI!$B$5=0),"",B79/KPI!$B$5)</f>
        <v/>
      </c>
      <c r="I79" s="9">
        <f>IF(OR(A79="",KPI!$B$8=0),"",C79/KPI!$B$8)</f>
        <v/>
      </c>
      <c r="J79" s="10">
        <f>IF(OR(A79="",B79=0),"",C79/B79)</f>
        <v/>
      </c>
    </row>
    <row r="80">
      <c r="B80">
        <f>IF(A80="","",SUMIF(TripSummary!$C$2:$C$2501,A80,TripSummary!$E$2:$E$2501))</f>
        <v/>
      </c>
      <c r="C80">
        <f>IF(A80="","",SUMIF(TripSummary!$C$2:$C$2501,A80,TripSummary!$F$2:$F$2501))</f>
        <v/>
      </c>
      <c r="D80">
        <f>IF(A80="","",COUNTIF(TripSummary!$C$2:$C$2501,A80))</f>
        <v/>
      </c>
      <c r="E80">
        <f>IF(A80="","",SUMIF(TripSummary!$C$2:$C$2501,A80,TripSummary!$G$2:$G$2501))</f>
        <v/>
      </c>
      <c r="F80">
        <f>IF(A80="","",SUMIF(TripSummary!$C$2:$C$2501,A80,TripSummary!$K$2:$K$2501))</f>
        <v/>
      </c>
      <c r="G80" s="9">
        <f>IF(OR(A80="",F80=0),"",E80/F80)</f>
        <v/>
      </c>
      <c r="H80" s="9">
        <f>IF(OR(A80="",KPI!$B$5=0),"",B80/KPI!$B$5)</f>
        <v/>
      </c>
      <c r="I80" s="9">
        <f>IF(OR(A80="",KPI!$B$8=0),"",C80/KPI!$B$8)</f>
        <v/>
      </c>
      <c r="J80" s="10">
        <f>IF(OR(A80="",B80=0),"",C80/B80)</f>
        <v/>
      </c>
    </row>
    <row r="81">
      <c r="B81">
        <f>IF(A81="","",SUMIF(TripSummary!$C$2:$C$2501,A81,TripSummary!$E$2:$E$2501))</f>
        <v/>
      </c>
      <c r="C81">
        <f>IF(A81="","",SUMIF(TripSummary!$C$2:$C$2501,A81,TripSummary!$F$2:$F$2501))</f>
        <v/>
      </c>
      <c r="D81">
        <f>IF(A81="","",COUNTIF(TripSummary!$C$2:$C$2501,A81))</f>
        <v/>
      </c>
      <c r="E81">
        <f>IF(A81="","",SUMIF(TripSummary!$C$2:$C$2501,A81,TripSummary!$G$2:$G$2501))</f>
        <v/>
      </c>
      <c r="F81">
        <f>IF(A81="","",SUMIF(TripSummary!$C$2:$C$2501,A81,TripSummary!$K$2:$K$2501))</f>
        <v/>
      </c>
      <c r="G81" s="9">
        <f>IF(OR(A81="",F81=0),"",E81/F81)</f>
        <v/>
      </c>
      <c r="H81" s="9">
        <f>IF(OR(A81="",KPI!$B$5=0),"",B81/KPI!$B$5)</f>
        <v/>
      </c>
      <c r="I81" s="9">
        <f>IF(OR(A81="",KPI!$B$8=0),"",C81/KPI!$B$8)</f>
        <v/>
      </c>
      <c r="J81" s="10">
        <f>IF(OR(A81="",B81=0),"",C81/B81)</f>
        <v/>
      </c>
    </row>
    <row r="82">
      <c r="B82">
        <f>IF(A82="","",SUMIF(TripSummary!$C$2:$C$2501,A82,TripSummary!$E$2:$E$2501))</f>
        <v/>
      </c>
      <c r="C82">
        <f>IF(A82="","",SUMIF(TripSummary!$C$2:$C$2501,A82,TripSummary!$F$2:$F$2501))</f>
        <v/>
      </c>
      <c r="D82">
        <f>IF(A82="","",COUNTIF(TripSummary!$C$2:$C$2501,A82))</f>
        <v/>
      </c>
      <c r="E82">
        <f>IF(A82="","",SUMIF(TripSummary!$C$2:$C$2501,A82,TripSummary!$G$2:$G$2501))</f>
        <v/>
      </c>
      <c r="F82">
        <f>IF(A82="","",SUMIF(TripSummary!$C$2:$C$2501,A82,TripSummary!$K$2:$K$2501))</f>
        <v/>
      </c>
      <c r="G82" s="9">
        <f>IF(OR(A82="",F82=0),"",E82/F82)</f>
        <v/>
      </c>
      <c r="H82" s="9">
        <f>IF(OR(A82="",KPI!$B$5=0),"",B82/KPI!$B$5)</f>
        <v/>
      </c>
      <c r="I82" s="9">
        <f>IF(OR(A82="",KPI!$B$8=0),"",C82/KPI!$B$8)</f>
        <v/>
      </c>
      <c r="J82" s="10">
        <f>IF(OR(A82="",B82=0),"",C82/B82)</f>
        <v/>
      </c>
    </row>
    <row r="83">
      <c r="B83">
        <f>IF(A83="","",SUMIF(TripSummary!$C$2:$C$2501,A83,TripSummary!$E$2:$E$2501))</f>
        <v/>
      </c>
      <c r="C83">
        <f>IF(A83="","",SUMIF(TripSummary!$C$2:$C$2501,A83,TripSummary!$F$2:$F$2501))</f>
        <v/>
      </c>
      <c r="D83">
        <f>IF(A83="","",COUNTIF(TripSummary!$C$2:$C$2501,A83))</f>
        <v/>
      </c>
      <c r="E83">
        <f>IF(A83="","",SUMIF(TripSummary!$C$2:$C$2501,A83,TripSummary!$G$2:$G$2501))</f>
        <v/>
      </c>
      <c r="F83">
        <f>IF(A83="","",SUMIF(TripSummary!$C$2:$C$2501,A83,TripSummary!$K$2:$K$2501))</f>
        <v/>
      </c>
      <c r="G83" s="9">
        <f>IF(OR(A83="",F83=0),"",E83/F83)</f>
        <v/>
      </c>
      <c r="H83" s="9">
        <f>IF(OR(A83="",KPI!$B$5=0),"",B83/KPI!$B$5)</f>
        <v/>
      </c>
      <c r="I83" s="9">
        <f>IF(OR(A83="",KPI!$B$8=0),"",C83/KPI!$B$8)</f>
        <v/>
      </c>
      <c r="J83" s="10">
        <f>IF(OR(A83="",B83=0),"",C83/B83)</f>
        <v/>
      </c>
    </row>
    <row r="84">
      <c r="B84">
        <f>IF(A84="","",SUMIF(TripSummary!$C$2:$C$2501,A84,TripSummary!$E$2:$E$2501))</f>
        <v/>
      </c>
      <c r="C84">
        <f>IF(A84="","",SUMIF(TripSummary!$C$2:$C$2501,A84,TripSummary!$F$2:$F$2501))</f>
        <v/>
      </c>
      <c r="D84">
        <f>IF(A84="","",COUNTIF(TripSummary!$C$2:$C$2501,A84))</f>
        <v/>
      </c>
      <c r="E84">
        <f>IF(A84="","",SUMIF(TripSummary!$C$2:$C$2501,A84,TripSummary!$G$2:$G$2501))</f>
        <v/>
      </c>
      <c r="F84">
        <f>IF(A84="","",SUMIF(TripSummary!$C$2:$C$2501,A84,TripSummary!$K$2:$K$2501))</f>
        <v/>
      </c>
      <c r="G84" s="9">
        <f>IF(OR(A84="",F84=0),"",E84/F84)</f>
        <v/>
      </c>
      <c r="H84" s="9">
        <f>IF(OR(A84="",KPI!$B$5=0),"",B84/KPI!$B$5)</f>
        <v/>
      </c>
      <c r="I84" s="9">
        <f>IF(OR(A84="",KPI!$B$8=0),"",C84/KPI!$B$8)</f>
        <v/>
      </c>
      <c r="J84" s="10">
        <f>IF(OR(A84="",B84=0),"",C84/B84)</f>
        <v/>
      </c>
    </row>
    <row r="85">
      <c r="B85">
        <f>IF(A85="","",SUMIF(TripSummary!$C$2:$C$2501,A85,TripSummary!$E$2:$E$2501))</f>
        <v/>
      </c>
      <c r="C85">
        <f>IF(A85="","",SUMIF(TripSummary!$C$2:$C$2501,A85,TripSummary!$F$2:$F$2501))</f>
        <v/>
      </c>
      <c r="D85">
        <f>IF(A85="","",COUNTIF(TripSummary!$C$2:$C$2501,A85))</f>
        <v/>
      </c>
      <c r="E85">
        <f>IF(A85="","",SUMIF(TripSummary!$C$2:$C$2501,A85,TripSummary!$G$2:$G$2501))</f>
        <v/>
      </c>
      <c r="F85">
        <f>IF(A85="","",SUMIF(TripSummary!$C$2:$C$2501,A85,TripSummary!$K$2:$K$2501))</f>
        <v/>
      </c>
      <c r="G85" s="9">
        <f>IF(OR(A85="",F85=0),"",E85/F85)</f>
        <v/>
      </c>
      <c r="H85" s="9">
        <f>IF(OR(A85="",KPI!$B$5=0),"",B85/KPI!$B$5)</f>
        <v/>
      </c>
      <c r="I85" s="9">
        <f>IF(OR(A85="",KPI!$B$8=0),"",C85/KPI!$B$8)</f>
        <v/>
      </c>
      <c r="J85" s="10">
        <f>IF(OR(A85="",B85=0),"",C85/B85)</f>
        <v/>
      </c>
    </row>
    <row r="86">
      <c r="B86">
        <f>IF(A86="","",SUMIF(TripSummary!$C$2:$C$2501,A86,TripSummary!$E$2:$E$2501))</f>
        <v/>
      </c>
      <c r="C86">
        <f>IF(A86="","",SUMIF(TripSummary!$C$2:$C$2501,A86,TripSummary!$F$2:$F$2501))</f>
        <v/>
      </c>
      <c r="D86">
        <f>IF(A86="","",COUNTIF(TripSummary!$C$2:$C$2501,A86))</f>
        <v/>
      </c>
      <c r="E86">
        <f>IF(A86="","",SUMIF(TripSummary!$C$2:$C$2501,A86,TripSummary!$G$2:$G$2501))</f>
        <v/>
      </c>
      <c r="F86">
        <f>IF(A86="","",SUMIF(TripSummary!$C$2:$C$2501,A86,TripSummary!$K$2:$K$2501))</f>
        <v/>
      </c>
      <c r="G86" s="9">
        <f>IF(OR(A86="",F86=0),"",E86/F86)</f>
        <v/>
      </c>
      <c r="H86" s="9">
        <f>IF(OR(A86="",KPI!$B$5=0),"",B86/KPI!$B$5)</f>
        <v/>
      </c>
      <c r="I86" s="9">
        <f>IF(OR(A86="",KPI!$B$8=0),"",C86/KPI!$B$8)</f>
        <v/>
      </c>
      <c r="J86" s="10">
        <f>IF(OR(A86="",B86=0),"",C86/B86)</f>
        <v/>
      </c>
    </row>
    <row r="87">
      <c r="B87">
        <f>IF(A87="","",SUMIF(TripSummary!$C$2:$C$2501,A87,TripSummary!$E$2:$E$2501))</f>
        <v/>
      </c>
      <c r="C87">
        <f>IF(A87="","",SUMIF(TripSummary!$C$2:$C$2501,A87,TripSummary!$F$2:$F$2501))</f>
        <v/>
      </c>
      <c r="D87">
        <f>IF(A87="","",COUNTIF(TripSummary!$C$2:$C$2501,A87))</f>
        <v/>
      </c>
      <c r="E87">
        <f>IF(A87="","",SUMIF(TripSummary!$C$2:$C$2501,A87,TripSummary!$G$2:$G$2501))</f>
        <v/>
      </c>
      <c r="F87">
        <f>IF(A87="","",SUMIF(TripSummary!$C$2:$C$2501,A87,TripSummary!$K$2:$K$2501))</f>
        <v/>
      </c>
      <c r="G87" s="9">
        <f>IF(OR(A87="",F87=0),"",E87/F87)</f>
        <v/>
      </c>
      <c r="H87" s="9">
        <f>IF(OR(A87="",KPI!$B$5=0),"",B87/KPI!$B$5)</f>
        <v/>
      </c>
      <c r="I87" s="9">
        <f>IF(OR(A87="",KPI!$B$8=0),"",C87/KPI!$B$8)</f>
        <v/>
      </c>
      <c r="J87" s="10">
        <f>IF(OR(A87="",B87=0),"",C87/B87)</f>
        <v/>
      </c>
    </row>
    <row r="88">
      <c r="B88">
        <f>IF(A88="","",SUMIF(TripSummary!$C$2:$C$2501,A88,TripSummary!$E$2:$E$2501))</f>
        <v/>
      </c>
      <c r="C88">
        <f>IF(A88="","",SUMIF(TripSummary!$C$2:$C$2501,A88,TripSummary!$F$2:$F$2501))</f>
        <v/>
      </c>
      <c r="D88">
        <f>IF(A88="","",COUNTIF(TripSummary!$C$2:$C$2501,A88))</f>
        <v/>
      </c>
      <c r="E88">
        <f>IF(A88="","",SUMIF(TripSummary!$C$2:$C$2501,A88,TripSummary!$G$2:$G$2501))</f>
        <v/>
      </c>
      <c r="F88">
        <f>IF(A88="","",SUMIF(TripSummary!$C$2:$C$2501,A88,TripSummary!$K$2:$K$2501))</f>
        <v/>
      </c>
      <c r="G88" s="9">
        <f>IF(OR(A88="",F88=0),"",E88/F88)</f>
        <v/>
      </c>
      <c r="H88" s="9">
        <f>IF(OR(A88="",KPI!$B$5=0),"",B88/KPI!$B$5)</f>
        <v/>
      </c>
      <c r="I88" s="9">
        <f>IF(OR(A88="",KPI!$B$8=0),"",C88/KPI!$B$8)</f>
        <v/>
      </c>
      <c r="J88" s="10">
        <f>IF(OR(A88="",B88=0),"",C88/B88)</f>
        <v/>
      </c>
    </row>
    <row r="89">
      <c r="B89">
        <f>IF(A89="","",SUMIF(TripSummary!$C$2:$C$2501,A89,TripSummary!$E$2:$E$2501))</f>
        <v/>
      </c>
      <c r="C89">
        <f>IF(A89="","",SUMIF(TripSummary!$C$2:$C$2501,A89,TripSummary!$F$2:$F$2501))</f>
        <v/>
      </c>
      <c r="D89">
        <f>IF(A89="","",COUNTIF(TripSummary!$C$2:$C$2501,A89))</f>
        <v/>
      </c>
      <c r="E89">
        <f>IF(A89="","",SUMIF(TripSummary!$C$2:$C$2501,A89,TripSummary!$G$2:$G$2501))</f>
        <v/>
      </c>
      <c r="F89">
        <f>IF(A89="","",SUMIF(TripSummary!$C$2:$C$2501,A89,TripSummary!$K$2:$K$2501))</f>
        <v/>
      </c>
      <c r="G89" s="9">
        <f>IF(OR(A89="",F89=0),"",E89/F89)</f>
        <v/>
      </c>
      <c r="H89" s="9">
        <f>IF(OR(A89="",KPI!$B$5=0),"",B89/KPI!$B$5)</f>
        <v/>
      </c>
      <c r="I89" s="9">
        <f>IF(OR(A89="",KPI!$B$8=0),"",C89/KPI!$B$8)</f>
        <v/>
      </c>
      <c r="J89" s="10">
        <f>IF(OR(A89="",B89=0),"",C89/B89)</f>
        <v/>
      </c>
    </row>
    <row r="90">
      <c r="B90">
        <f>IF(A90="","",SUMIF(TripSummary!$C$2:$C$2501,A90,TripSummary!$E$2:$E$2501))</f>
        <v/>
      </c>
      <c r="C90">
        <f>IF(A90="","",SUMIF(TripSummary!$C$2:$C$2501,A90,TripSummary!$F$2:$F$2501))</f>
        <v/>
      </c>
      <c r="D90">
        <f>IF(A90="","",COUNTIF(TripSummary!$C$2:$C$2501,A90))</f>
        <v/>
      </c>
      <c r="E90">
        <f>IF(A90="","",SUMIF(TripSummary!$C$2:$C$2501,A90,TripSummary!$G$2:$G$2501))</f>
        <v/>
      </c>
      <c r="F90">
        <f>IF(A90="","",SUMIF(TripSummary!$C$2:$C$2501,A90,TripSummary!$K$2:$K$2501))</f>
        <v/>
      </c>
      <c r="G90" s="9">
        <f>IF(OR(A90="",F90=0),"",E90/F90)</f>
        <v/>
      </c>
      <c r="H90" s="9">
        <f>IF(OR(A90="",KPI!$B$5=0),"",B90/KPI!$B$5)</f>
        <v/>
      </c>
      <c r="I90" s="9">
        <f>IF(OR(A90="",KPI!$B$8=0),"",C90/KPI!$B$8)</f>
        <v/>
      </c>
      <c r="J90" s="10">
        <f>IF(OR(A90="",B90=0),"",C90/B90)</f>
        <v/>
      </c>
    </row>
    <row r="91">
      <c r="B91">
        <f>IF(A91="","",SUMIF(TripSummary!$C$2:$C$2501,A91,TripSummary!$E$2:$E$2501))</f>
        <v/>
      </c>
      <c r="C91">
        <f>IF(A91="","",SUMIF(TripSummary!$C$2:$C$2501,A91,TripSummary!$F$2:$F$2501))</f>
        <v/>
      </c>
      <c r="D91">
        <f>IF(A91="","",COUNTIF(TripSummary!$C$2:$C$2501,A91))</f>
        <v/>
      </c>
      <c r="E91">
        <f>IF(A91="","",SUMIF(TripSummary!$C$2:$C$2501,A91,TripSummary!$G$2:$G$2501))</f>
        <v/>
      </c>
      <c r="F91">
        <f>IF(A91="","",SUMIF(TripSummary!$C$2:$C$2501,A91,TripSummary!$K$2:$K$2501))</f>
        <v/>
      </c>
      <c r="G91" s="9">
        <f>IF(OR(A91="",F91=0),"",E91/F91)</f>
        <v/>
      </c>
      <c r="H91" s="9">
        <f>IF(OR(A91="",KPI!$B$5=0),"",B91/KPI!$B$5)</f>
        <v/>
      </c>
      <c r="I91" s="9">
        <f>IF(OR(A91="",KPI!$B$8=0),"",C91/KPI!$B$8)</f>
        <v/>
      </c>
      <c r="J91" s="10">
        <f>IF(OR(A91="",B91=0),"",C91/B91)</f>
        <v/>
      </c>
    </row>
    <row r="92">
      <c r="B92">
        <f>IF(A92="","",SUMIF(TripSummary!$C$2:$C$2501,A92,TripSummary!$E$2:$E$2501))</f>
        <v/>
      </c>
      <c r="C92">
        <f>IF(A92="","",SUMIF(TripSummary!$C$2:$C$2501,A92,TripSummary!$F$2:$F$2501))</f>
        <v/>
      </c>
      <c r="D92">
        <f>IF(A92="","",COUNTIF(TripSummary!$C$2:$C$2501,A92))</f>
        <v/>
      </c>
      <c r="E92">
        <f>IF(A92="","",SUMIF(TripSummary!$C$2:$C$2501,A92,TripSummary!$G$2:$G$2501))</f>
        <v/>
      </c>
      <c r="F92">
        <f>IF(A92="","",SUMIF(TripSummary!$C$2:$C$2501,A92,TripSummary!$K$2:$K$2501))</f>
        <v/>
      </c>
      <c r="G92" s="9">
        <f>IF(OR(A92="",F92=0),"",E92/F92)</f>
        <v/>
      </c>
      <c r="H92" s="9">
        <f>IF(OR(A92="",KPI!$B$5=0),"",B92/KPI!$B$5)</f>
        <v/>
      </c>
      <c r="I92" s="9">
        <f>IF(OR(A92="",KPI!$B$8=0),"",C92/KPI!$B$8)</f>
        <v/>
      </c>
      <c r="J92" s="10">
        <f>IF(OR(A92="",B92=0),"",C92/B92)</f>
        <v/>
      </c>
    </row>
    <row r="93">
      <c r="B93">
        <f>IF(A93="","",SUMIF(TripSummary!$C$2:$C$2501,A93,TripSummary!$E$2:$E$2501))</f>
        <v/>
      </c>
      <c r="C93">
        <f>IF(A93="","",SUMIF(TripSummary!$C$2:$C$2501,A93,TripSummary!$F$2:$F$2501))</f>
        <v/>
      </c>
      <c r="D93">
        <f>IF(A93="","",COUNTIF(TripSummary!$C$2:$C$2501,A93))</f>
        <v/>
      </c>
      <c r="E93">
        <f>IF(A93="","",SUMIF(TripSummary!$C$2:$C$2501,A93,TripSummary!$G$2:$G$2501))</f>
        <v/>
      </c>
      <c r="F93">
        <f>IF(A93="","",SUMIF(TripSummary!$C$2:$C$2501,A93,TripSummary!$K$2:$K$2501))</f>
        <v/>
      </c>
      <c r="G93" s="9">
        <f>IF(OR(A93="",F93=0),"",E93/F93)</f>
        <v/>
      </c>
      <c r="H93" s="9">
        <f>IF(OR(A93="",KPI!$B$5=0),"",B93/KPI!$B$5)</f>
        <v/>
      </c>
      <c r="I93" s="9">
        <f>IF(OR(A93="",KPI!$B$8=0),"",C93/KPI!$B$8)</f>
        <v/>
      </c>
      <c r="J93" s="10">
        <f>IF(OR(A93="",B93=0),"",C93/B93)</f>
        <v/>
      </c>
    </row>
    <row r="94">
      <c r="B94">
        <f>IF(A94="","",SUMIF(TripSummary!$C$2:$C$2501,A94,TripSummary!$E$2:$E$2501))</f>
        <v/>
      </c>
      <c r="C94">
        <f>IF(A94="","",SUMIF(TripSummary!$C$2:$C$2501,A94,TripSummary!$F$2:$F$2501))</f>
        <v/>
      </c>
      <c r="D94">
        <f>IF(A94="","",COUNTIF(TripSummary!$C$2:$C$2501,A94))</f>
        <v/>
      </c>
      <c r="E94">
        <f>IF(A94="","",SUMIF(TripSummary!$C$2:$C$2501,A94,TripSummary!$G$2:$G$2501))</f>
        <v/>
      </c>
      <c r="F94">
        <f>IF(A94="","",SUMIF(TripSummary!$C$2:$C$2501,A94,TripSummary!$K$2:$K$2501))</f>
        <v/>
      </c>
      <c r="G94" s="9">
        <f>IF(OR(A94="",F94=0),"",E94/F94)</f>
        <v/>
      </c>
      <c r="H94" s="9">
        <f>IF(OR(A94="",KPI!$B$5=0),"",B94/KPI!$B$5)</f>
        <v/>
      </c>
      <c r="I94" s="9">
        <f>IF(OR(A94="",KPI!$B$8=0),"",C94/KPI!$B$8)</f>
        <v/>
      </c>
      <c r="J94" s="10">
        <f>IF(OR(A94="",B94=0),"",C94/B94)</f>
        <v/>
      </c>
    </row>
    <row r="95">
      <c r="B95">
        <f>IF(A95="","",SUMIF(TripSummary!$C$2:$C$2501,A95,TripSummary!$E$2:$E$2501))</f>
        <v/>
      </c>
      <c r="C95">
        <f>IF(A95="","",SUMIF(TripSummary!$C$2:$C$2501,A95,TripSummary!$F$2:$F$2501))</f>
        <v/>
      </c>
      <c r="D95">
        <f>IF(A95="","",COUNTIF(TripSummary!$C$2:$C$2501,A95))</f>
        <v/>
      </c>
      <c r="E95">
        <f>IF(A95="","",SUMIF(TripSummary!$C$2:$C$2501,A95,TripSummary!$G$2:$G$2501))</f>
        <v/>
      </c>
      <c r="F95">
        <f>IF(A95="","",SUMIF(TripSummary!$C$2:$C$2501,A95,TripSummary!$K$2:$K$2501))</f>
        <v/>
      </c>
      <c r="G95" s="9">
        <f>IF(OR(A95="",F95=0),"",E95/F95)</f>
        <v/>
      </c>
      <c r="H95" s="9">
        <f>IF(OR(A95="",KPI!$B$5=0),"",B95/KPI!$B$5)</f>
        <v/>
      </c>
      <c r="I95" s="9">
        <f>IF(OR(A95="",KPI!$B$8=0),"",C95/KPI!$B$8)</f>
        <v/>
      </c>
      <c r="J95" s="10">
        <f>IF(OR(A95="",B95=0),"",C95/B95)</f>
        <v/>
      </c>
    </row>
    <row r="96">
      <c r="B96">
        <f>IF(A96="","",SUMIF(TripSummary!$C$2:$C$2501,A96,TripSummary!$E$2:$E$2501))</f>
        <v/>
      </c>
      <c r="C96">
        <f>IF(A96="","",SUMIF(TripSummary!$C$2:$C$2501,A96,TripSummary!$F$2:$F$2501))</f>
        <v/>
      </c>
      <c r="D96">
        <f>IF(A96="","",COUNTIF(TripSummary!$C$2:$C$2501,A96))</f>
        <v/>
      </c>
      <c r="E96">
        <f>IF(A96="","",SUMIF(TripSummary!$C$2:$C$2501,A96,TripSummary!$G$2:$G$2501))</f>
        <v/>
      </c>
      <c r="F96">
        <f>IF(A96="","",SUMIF(TripSummary!$C$2:$C$2501,A96,TripSummary!$K$2:$K$2501))</f>
        <v/>
      </c>
      <c r="G96" s="9">
        <f>IF(OR(A96="",F96=0),"",E96/F96)</f>
        <v/>
      </c>
      <c r="H96" s="9">
        <f>IF(OR(A96="",KPI!$B$5=0),"",B96/KPI!$B$5)</f>
        <v/>
      </c>
      <c r="I96" s="9">
        <f>IF(OR(A96="",KPI!$B$8=0),"",C96/KPI!$B$8)</f>
        <v/>
      </c>
      <c r="J96" s="10">
        <f>IF(OR(A96="",B96=0),"",C96/B96)</f>
        <v/>
      </c>
    </row>
    <row r="97">
      <c r="B97">
        <f>IF(A97="","",SUMIF(TripSummary!$C$2:$C$2501,A97,TripSummary!$E$2:$E$2501))</f>
        <v/>
      </c>
      <c r="C97">
        <f>IF(A97="","",SUMIF(TripSummary!$C$2:$C$2501,A97,TripSummary!$F$2:$F$2501))</f>
        <v/>
      </c>
      <c r="D97">
        <f>IF(A97="","",COUNTIF(TripSummary!$C$2:$C$2501,A97))</f>
        <v/>
      </c>
      <c r="E97">
        <f>IF(A97="","",SUMIF(TripSummary!$C$2:$C$2501,A97,TripSummary!$G$2:$G$2501))</f>
        <v/>
      </c>
      <c r="F97">
        <f>IF(A97="","",SUMIF(TripSummary!$C$2:$C$2501,A97,TripSummary!$K$2:$K$2501))</f>
        <v/>
      </c>
      <c r="G97" s="9">
        <f>IF(OR(A97="",F97=0),"",E97/F97)</f>
        <v/>
      </c>
      <c r="H97" s="9">
        <f>IF(OR(A97="",KPI!$B$5=0),"",B97/KPI!$B$5)</f>
        <v/>
      </c>
      <c r="I97" s="9">
        <f>IF(OR(A97="",KPI!$B$8=0),"",C97/KPI!$B$8)</f>
        <v/>
      </c>
      <c r="J97" s="10">
        <f>IF(OR(A97="",B97=0),"",C97/B97)</f>
        <v/>
      </c>
    </row>
    <row r="98">
      <c r="B98">
        <f>IF(A98="","",SUMIF(TripSummary!$C$2:$C$2501,A98,TripSummary!$E$2:$E$2501))</f>
        <v/>
      </c>
      <c r="C98">
        <f>IF(A98="","",SUMIF(TripSummary!$C$2:$C$2501,A98,TripSummary!$F$2:$F$2501))</f>
        <v/>
      </c>
      <c r="D98">
        <f>IF(A98="","",COUNTIF(TripSummary!$C$2:$C$2501,A98))</f>
        <v/>
      </c>
      <c r="E98">
        <f>IF(A98="","",SUMIF(TripSummary!$C$2:$C$2501,A98,TripSummary!$G$2:$G$2501))</f>
        <v/>
      </c>
      <c r="F98">
        <f>IF(A98="","",SUMIF(TripSummary!$C$2:$C$2501,A98,TripSummary!$K$2:$K$2501))</f>
        <v/>
      </c>
      <c r="G98" s="9">
        <f>IF(OR(A98="",F98=0),"",E98/F98)</f>
        <v/>
      </c>
      <c r="H98" s="9">
        <f>IF(OR(A98="",KPI!$B$5=0),"",B98/KPI!$B$5)</f>
        <v/>
      </c>
      <c r="I98" s="9">
        <f>IF(OR(A98="",KPI!$B$8=0),"",C98/KPI!$B$8)</f>
        <v/>
      </c>
      <c r="J98" s="10">
        <f>IF(OR(A98="",B98=0),"",C98/B98)</f>
        <v/>
      </c>
    </row>
    <row r="99">
      <c r="B99">
        <f>IF(A99="","",SUMIF(TripSummary!$C$2:$C$2501,A99,TripSummary!$E$2:$E$2501))</f>
        <v/>
      </c>
      <c r="C99">
        <f>IF(A99="","",SUMIF(TripSummary!$C$2:$C$2501,A99,TripSummary!$F$2:$F$2501))</f>
        <v/>
      </c>
      <c r="D99">
        <f>IF(A99="","",COUNTIF(TripSummary!$C$2:$C$2501,A99))</f>
        <v/>
      </c>
      <c r="E99">
        <f>IF(A99="","",SUMIF(TripSummary!$C$2:$C$2501,A99,TripSummary!$G$2:$G$2501))</f>
        <v/>
      </c>
      <c r="F99">
        <f>IF(A99="","",SUMIF(TripSummary!$C$2:$C$2501,A99,TripSummary!$K$2:$K$2501))</f>
        <v/>
      </c>
      <c r="G99" s="9">
        <f>IF(OR(A99="",F99=0),"",E99/F99)</f>
        <v/>
      </c>
      <c r="H99" s="9">
        <f>IF(OR(A99="",KPI!$B$5=0),"",B99/KPI!$B$5)</f>
        <v/>
      </c>
      <c r="I99" s="9">
        <f>IF(OR(A99="",KPI!$B$8=0),"",C99/KPI!$B$8)</f>
        <v/>
      </c>
      <c r="J99" s="10">
        <f>IF(OR(A99="",B99=0),"",C99/B99)</f>
        <v/>
      </c>
    </row>
    <row r="100">
      <c r="B100">
        <f>IF(A100="","",SUMIF(TripSummary!$C$2:$C$2501,A100,TripSummary!$E$2:$E$2501))</f>
        <v/>
      </c>
      <c r="C100">
        <f>IF(A100="","",SUMIF(TripSummary!$C$2:$C$2501,A100,TripSummary!$F$2:$F$2501))</f>
        <v/>
      </c>
      <c r="D100">
        <f>IF(A100="","",COUNTIF(TripSummary!$C$2:$C$2501,A100))</f>
        <v/>
      </c>
      <c r="E100">
        <f>IF(A100="","",SUMIF(TripSummary!$C$2:$C$2501,A100,TripSummary!$G$2:$G$2501))</f>
        <v/>
      </c>
      <c r="F100">
        <f>IF(A100="","",SUMIF(TripSummary!$C$2:$C$2501,A100,TripSummary!$K$2:$K$2501))</f>
        <v/>
      </c>
      <c r="G100" s="9">
        <f>IF(OR(A100="",F100=0),"",E100/F100)</f>
        <v/>
      </c>
      <c r="H100" s="9">
        <f>IF(OR(A100="",KPI!$B$5=0),"",B100/KPI!$B$5)</f>
        <v/>
      </c>
      <c r="I100" s="9">
        <f>IF(OR(A100="",KPI!$B$8=0),"",C100/KPI!$B$8)</f>
        <v/>
      </c>
      <c r="J100" s="10">
        <f>IF(OR(A100="",B100=0),"",C100/B100)</f>
        <v/>
      </c>
    </row>
    <row r="101">
      <c r="B101">
        <f>IF(A101="","",SUMIF(TripSummary!$C$2:$C$2501,A101,TripSummary!$E$2:$E$2501))</f>
        <v/>
      </c>
      <c r="C101">
        <f>IF(A101="","",SUMIF(TripSummary!$C$2:$C$2501,A101,TripSummary!$F$2:$F$2501))</f>
        <v/>
      </c>
      <c r="D101">
        <f>IF(A101="","",COUNTIF(TripSummary!$C$2:$C$2501,A101))</f>
        <v/>
      </c>
      <c r="E101">
        <f>IF(A101="","",SUMIF(TripSummary!$C$2:$C$2501,A101,TripSummary!$G$2:$G$2501))</f>
        <v/>
      </c>
      <c r="F101">
        <f>IF(A101="","",SUMIF(TripSummary!$C$2:$C$2501,A101,TripSummary!$K$2:$K$2501))</f>
        <v/>
      </c>
      <c r="G101" s="9">
        <f>IF(OR(A101="",F101=0),"",E101/F101)</f>
        <v/>
      </c>
      <c r="H101" s="9">
        <f>IF(OR(A101="",KPI!$B$5=0),"",B101/KPI!$B$5)</f>
        <v/>
      </c>
      <c r="I101" s="9">
        <f>IF(OR(A101="",KPI!$B$8=0),"",C101/KPI!$B$8)</f>
        <v/>
      </c>
      <c r="J101" s="10">
        <f>IF(OR(A101="",B101=0),"",C101/B101)</f>
        <v/>
      </c>
    </row>
    <row r="102">
      <c r="B102">
        <f>IF(A102="","",SUMIF(TripSummary!$C$2:$C$2501,A102,TripSummary!$E$2:$E$2501))</f>
        <v/>
      </c>
      <c r="C102">
        <f>IF(A102="","",SUMIF(TripSummary!$C$2:$C$2501,A102,TripSummary!$F$2:$F$2501))</f>
        <v/>
      </c>
      <c r="D102">
        <f>IF(A102="","",COUNTIF(TripSummary!$C$2:$C$2501,A102))</f>
        <v/>
      </c>
      <c r="E102">
        <f>IF(A102="","",SUMIF(TripSummary!$C$2:$C$2501,A102,TripSummary!$G$2:$G$2501))</f>
        <v/>
      </c>
      <c r="F102">
        <f>IF(A102="","",SUMIF(TripSummary!$C$2:$C$2501,A102,TripSummary!$K$2:$K$2501))</f>
        <v/>
      </c>
      <c r="G102" s="9">
        <f>IF(OR(A102="",F102=0),"",E102/F102)</f>
        <v/>
      </c>
      <c r="H102" s="9">
        <f>IF(OR(A102="",KPI!$B$5=0),"",B102/KPI!$B$5)</f>
        <v/>
      </c>
      <c r="I102" s="9">
        <f>IF(OR(A102="",KPI!$B$8=0),"",C102/KPI!$B$8)</f>
        <v/>
      </c>
      <c r="J102" s="10">
        <f>IF(OR(A102="",B102=0),"",C102/B102)</f>
        <v/>
      </c>
    </row>
    <row r="103">
      <c r="B103">
        <f>IF(A103="","",SUMIF(TripSummary!$C$2:$C$2501,A103,TripSummary!$E$2:$E$2501))</f>
        <v/>
      </c>
      <c r="C103">
        <f>IF(A103="","",SUMIF(TripSummary!$C$2:$C$2501,A103,TripSummary!$F$2:$F$2501))</f>
        <v/>
      </c>
      <c r="D103">
        <f>IF(A103="","",COUNTIF(TripSummary!$C$2:$C$2501,A103))</f>
        <v/>
      </c>
      <c r="E103">
        <f>IF(A103="","",SUMIF(TripSummary!$C$2:$C$2501,A103,TripSummary!$G$2:$G$2501))</f>
        <v/>
      </c>
      <c r="F103">
        <f>IF(A103="","",SUMIF(TripSummary!$C$2:$C$2501,A103,TripSummary!$K$2:$K$2501))</f>
        <v/>
      </c>
      <c r="G103" s="9">
        <f>IF(OR(A103="",F103=0),"",E103/F103)</f>
        <v/>
      </c>
      <c r="H103" s="9">
        <f>IF(OR(A103="",KPI!$B$5=0),"",B103/KPI!$B$5)</f>
        <v/>
      </c>
      <c r="I103" s="9">
        <f>IF(OR(A103="",KPI!$B$8=0),"",C103/KPI!$B$8)</f>
        <v/>
      </c>
      <c r="J103" s="10">
        <f>IF(OR(A103="",B103=0),"",C103/B103)</f>
        <v/>
      </c>
    </row>
    <row r="104">
      <c r="B104">
        <f>IF(A104="","",SUMIF(TripSummary!$C$2:$C$2501,A104,TripSummary!$E$2:$E$2501))</f>
        <v/>
      </c>
      <c r="C104">
        <f>IF(A104="","",SUMIF(TripSummary!$C$2:$C$2501,A104,TripSummary!$F$2:$F$2501))</f>
        <v/>
      </c>
      <c r="D104">
        <f>IF(A104="","",COUNTIF(TripSummary!$C$2:$C$2501,A104))</f>
        <v/>
      </c>
      <c r="E104">
        <f>IF(A104="","",SUMIF(TripSummary!$C$2:$C$2501,A104,TripSummary!$G$2:$G$2501))</f>
        <v/>
      </c>
      <c r="F104">
        <f>IF(A104="","",SUMIF(TripSummary!$C$2:$C$2501,A104,TripSummary!$K$2:$K$2501))</f>
        <v/>
      </c>
      <c r="G104" s="9">
        <f>IF(OR(A104="",F104=0),"",E104/F104)</f>
        <v/>
      </c>
      <c r="H104" s="9">
        <f>IF(OR(A104="",KPI!$B$5=0),"",B104/KPI!$B$5)</f>
        <v/>
      </c>
      <c r="I104" s="9">
        <f>IF(OR(A104="",KPI!$B$8=0),"",C104/KPI!$B$8)</f>
        <v/>
      </c>
      <c r="J104" s="10">
        <f>IF(OR(A104="",B104=0),"",C104/B104)</f>
        <v/>
      </c>
    </row>
    <row r="105">
      <c r="B105">
        <f>IF(A105="","",SUMIF(TripSummary!$C$2:$C$2501,A105,TripSummary!$E$2:$E$2501))</f>
        <v/>
      </c>
      <c r="C105">
        <f>IF(A105="","",SUMIF(TripSummary!$C$2:$C$2501,A105,TripSummary!$F$2:$F$2501))</f>
        <v/>
      </c>
      <c r="D105">
        <f>IF(A105="","",COUNTIF(TripSummary!$C$2:$C$2501,A105))</f>
        <v/>
      </c>
      <c r="E105">
        <f>IF(A105="","",SUMIF(TripSummary!$C$2:$C$2501,A105,TripSummary!$G$2:$G$2501))</f>
        <v/>
      </c>
      <c r="F105">
        <f>IF(A105="","",SUMIF(TripSummary!$C$2:$C$2501,A105,TripSummary!$K$2:$K$2501))</f>
        <v/>
      </c>
      <c r="G105" s="9">
        <f>IF(OR(A105="",F105=0),"",E105/F105)</f>
        <v/>
      </c>
      <c r="H105" s="9">
        <f>IF(OR(A105="",KPI!$B$5=0),"",B105/KPI!$B$5)</f>
        <v/>
      </c>
      <c r="I105" s="9">
        <f>IF(OR(A105="",KPI!$B$8=0),"",C105/KPI!$B$8)</f>
        <v/>
      </c>
      <c r="J105" s="10">
        <f>IF(OR(A105="",B105=0),"",C105/B105)</f>
        <v/>
      </c>
    </row>
    <row r="106">
      <c r="B106">
        <f>IF(A106="","",SUMIF(TripSummary!$C$2:$C$2501,A106,TripSummary!$E$2:$E$2501))</f>
        <v/>
      </c>
      <c r="C106">
        <f>IF(A106="","",SUMIF(TripSummary!$C$2:$C$2501,A106,TripSummary!$F$2:$F$2501))</f>
        <v/>
      </c>
      <c r="D106">
        <f>IF(A106="","",COUNTIF(TripSummary!$C$2:$C$2501,A106))</f>
        <v/>
      </c>
      <c r="E106">
        <f>IF(A106="","",SUMIF(TripSummary!$C$2:$C$2501,A106,TripSummary!$G$2:$G$2501))</f>
        <v/>
      </c>
      <c r="F106">
        <f>IF(A106="","",SUMIF(TripSummary!$C$2:$C$2501,A106,TripSummary!$K$2:$K$2501))</f>
        <v/>
      </c>
      <c r="G106" s="9">
        <f>IF(OR(A106="",F106=0),"",E106/F106)</f>
        <v/>
      </c>
      <c r="H106" s="9">
        <f>IF(OR(A106="",KPI!$B$5=0),"",B106/KPI!$B$5)</f>
        <v/>
      </c>
      <c r="I106" s="9">
        <f>IF(OR(A106="",KPI!$B$8=0),"",C106/KPI!$B$8)</f>
        <v/>
      </c>
      <c r="J106" s="10">
        <f>IF(OR(A106="",B106=0),"",C106/B106)</f>
        <v/>
      </c>
    </row>
    <row r="107">
      <c r="B107">
        <f>IF(A107="","",SUMIF(TripSummary!$C$2:$C$2501,A107,TripSummary!$E$2:$E$2501))</f>
        <v/>
      </c>
      <c r="C107">
        <f>IF(A107="","",SUMIF(TripSummary!$C$2:$C$2501,A107,TripSummary!$F$2:$F$2501))</f>
        <v/>
      </c>
      <c r="D107">
        <f>IF(A107="","",COUNTIF(TripSummary!$C$2:$C$2501,A107))</f>
        <v/>
      </c>
      <c r="E107">
        <f>IF(A107="","",SUMIF(TripSummary!$C$2:$C$2501,A107,TripSummary!$G$2:$G$2501))</f>
        <v/>
      </c>
      <c r="F107">
        <f>IF(A107="","",SUMIF(TripSummary!$C$2:$C$2501,A107,TripSummary!$K$2:$K$2501))</f>
        <v/>
      </c>
      <c r="G107" s="9">
        <f>IF(OR(A107="",F107=0),"",E107/F107)</f>
        <v/>
      </c>
      <c r="H107" s="9">
        <f>IF(OR(A107="",KPI!$B$5=0),"",B107/KPI!$B$5)</f>
        <v/>
      </c>
      <c r="I107" s="9">
        <f>IF(OR(A107="",KPI!$B$8=0),"",C107/KPI!$B$8)</f>
        <v/>
      </c>
      <c r="J107" s="10">
        <f>IF(OR(A107="",B107=0),"",C107/B107)</f>
        <v/>
      </c>
    </row>
    <row r="108">
      <c r="B108">
        <f>IF(A108="","",SUMIF(TripSummary!$C$2:$C$2501,A108,TripSummary!$E$2:$E$2501))</f>
        <v/>
      </c>
      <c r="C108">
        <f>IF(A108="","",SUMIF(TripSummary!$C$2:$C$2501,A108,TripSummary!$F$2:$F$2501))</f>
        <v/>
      </c>
      <c r="D108">
        <f>IF(A108="","",COUNTIF(TripSummary!$C$2:$C$2501,A108))</f>
        <v/>
      </c>
      <c r="E108">
        <f>IF(A108="","",SUMIF(TripSummary!$C$2:$C$2501,A108,TripSummary!$G$2:$G$2501))</f>
        <v/>
      </c>
      <c r="F108">
        <f>IF(A108="","",SUMIF(TripSummary!$C$2:$C$2501,A108,TripSummary!$K$2:$K$2501))</f>
        <v/>
      </c>
      <c r="G108" s="9">
        <f>IF(OR(A108="",F108=0),"",E108/F108)</f>
        <v/>
      </c>
      <c r="H108" s="9">
        <f>IF(OR(A108="",KPI!$B$5=0),"",B108/KPI!$B$5)</f>
        <v/>
      </c>
      <c r="I108" s="9">
        <f>IF(OR(A108="",KPI!$B$8=0),"",C108/KPI!$B$8)</f>
        <v/>
      </c>
      <c r="J108" s="10">
        <f>IF(OR(A108="",B108=0),"",C108/B108)</f>
        <v/>
      </c>
    </row>
    <row r="109">
      <c r="B109">
        <f>IF(A109="","",SUMIF(TripSummary!$C$2:$C$2501,A109,TripSummary!$E$2:$E$2501))</f>
        <v/>
      </c>
      <c r="C109">
        <f>IF(A109="","",SUMIF(TripSummary!$C$2:$C$2501,A109,TripSummary!$F$2:$F$2501))</f>
        <v/>
      </c>
      <c r="D109">
        <f>IF(A109="","",COUNTIF(TripSummary!$C$2:$C$2501,A109))</f>
        <v/>
      </c>
      <c r="E109">
        <f>IF(A109="","",SUMIF(TripSummary!$C$2:$C$2501,A109,TripSummary!$G$2:$G$2501))</f>
        <v/>
      </c>
      <c r="F109">
        <f>IF(A109="","",SUMIF(TripSummary!$C$2:$C$2501,A109,TripSummary!$K$2:$K$2501))</f>
        <v/>
      </c>
      <c r="G109" s="9">
        <f>IF(OR(A109="",F109=0),"",E109/F109)</f>
        <v/>
      </c>
      <c r="H109" s="9">
        <f>IF(OR(A109="",KPI!$B$5=0),"",B109/KPI!$B$5)</f>
        <v/>
      </c>
      <c r="I109" s="9">
        <f>IF(OR(A109="",KPI!$B$8=0),"",C109/KPI!$B$8)</f>
        <v/>
      </c>
      <c r="J109" s="10">
        <f>IF(OR(A109="",B109=0),"",C109/B109)</f>
        <v/>
      </c>
    </row>
    <row r="110">
      <c r="B110">
        <f>IF(A110="","",SUMIF(TripSummary!$C$2:$C$2501,A110,TripSummary!$E$2:$E$2501))</f>
        <v/>
      </c>
      <c r="C110">
        <f>IF(A110="","",SUMIF(TripSummary!$C$2:$C$2501,A110,TripSummary!$F$2:$F$2501))</f>
        <v/>
      </c>
      <c r="D110">
        <f>IF(A110="","",COUNTIF(TripSummary!$C$2:$C$2501,A110))</f>
        <v/>
      </c>
      <c r="E110">
        <f>IF(A110="","",SUMIF(TripSummary!$C$2:$C$2501,A110,TripSummary!$G$2:$G$2501))</f>
        <v/>
      </c>
      <c r="F110">
        <f>IF(A110="","",SUMIF(TripSummary!$C$2:$C$2501,A110,TripSummary!$K$2:$K$2501))</f>
        <v/>
      </c>
      <c r="G110" s="9">
        <f>IF(OR(A110="",F110=0),"",E110/F110)</f>
        <v/>
      </c>
      <c r="H110" s="9">
        <f>IF(OR(A110="",KPI!$B$5=0),"",B110/KPI!$B$5)</f>
        <v/>
      </c>
      <c r="I110" s="9">
        <f>IF(OR(A110="",KPI!$B$8=0),"",C110/KPI!$B$8)</f>
        <v/>
      </c>
      <c r="J110" s="10">
        <f>IF(OR(A110="",B110=0),"",C110/B110)</f>
        <v/>
      </c>
    </row>
    <row r="111">
      <c r="B111">
        <f>IF(A111="","",SUMIF(TripSummary!$C$2:$C$2501,A111,TripSummary!$E$2:$E$2501))</f>
        <v/>
      </c>
      <c r="C111">
        <f>IF(A111="","",SUMIF(TripSummary!$C$2:$C$2501,A111,TripSummary!$F$2:$F$2501))</f>
        <v/>
      </c>
      <c r="D111">
        <f>IF(A111="","",COUNTIF(TripSummary!$C$2:$C$2501,A111))</f>
        <v/>
      </c>
      <c r="E111">
        <f>IF(A111="","",SUMIF(TripSummary!$C$2:$C$2501,A111,TripSummary!$G$2:$G$2501))</f>
        <v/>
      </c>
      <c r="F111">
        <f>IF(A111="","",SUMIF(TripSummary!$C$2:$C$2501,A111,TripSummary!$K$2:$K$2501))</f>
        <v/>
      </c>
      <c r="G111" s="9">
        <f>IF(OR(A111="",F111=0),"",E111/F111)</f>
        <v/>
      </c>
      <c r="H111" s="9">
        <f>IF(OR(A111="",KPI!$B$5=0),"",B111/KPI!$B$5)</f>
        <v/>
      </c>
      <c r="I111" s="9">
        <f>IF(OR(A111="",KPI!$B$8=0),"",C111/KPI!$B$8)</f>
        <v/>
      </c>
      <c r="J111" s="10">
        <f>IF(OR(A111="",B111=0),"",C111/B111)</f>
        <v/>
      </c>
    </row>
    <row r="112">
      <c r="B112">
        <f>IF(A112="","",SUMIF(TripSummary!$C$2:$C$2501,A112,TripSummary!$E$2:$E$2501))</f>
        <v/>
      </c>
      <c r="C112">
        <f>IF(A112="","",SUMIF(TripSummary!$C$2:$C$2501,A112,TripSummary!$F$2:$F$2501))</f>
        <v/>
      </c>
      <c r="D112">
        <f>IF(A112="","",COUNTIF(TripSummary!$C$2:$C$2501,A112))</f>
        <v/>
      </c>
      <c r="E112">
        <f>IF(A112="","",SUMIF(TripSummary!$C$2:$C$2501,A112,TripSummary!$G$2:$G$2501))</f>
        <v/>
      </c>
      <c r="F112">
        <f>IF(A112="","",SUMIF(TripSummary!$C$2:$C$2501,A112,TripSummary!$K$2:$K$2501))</f>
        <v/>
      </c>
      <c r="G112" s="9">
        <f>IF(OR(A112="",F112=0),"",E112/F112)</f>
        <v/>
      </c>
      <c r="H112" s="9">
        <f>IF(OR(A112="",KPI!$B$5=0),"",B112/KPI!$B$5)</f>
        <v/>
      </c>
      <c r="I112" s="9">
        <f>IF(OR(A112="",KPI!$B$8=0),"",C112/KPI!$B$8)</f>
        <v/>
      </c>
      <c r="J112" s="10">
        <f>IF(OR(A112="",B112=0),"",C112/B112)</f>
        <v/>
      </c>
    </row>
    <row r="113">
      <c r="B113">
        <f>IF(A113="","",SUMIF(TripSummary!$C$2:$C$2501,A113,TripSummary!$E$2:$E$2501))</f>
        <v/>
      </c>
      <c r="C113">
        <f>IF(A113="","",SUMIF(TripSummary!$C$2:$C$2501,A113,TripSummary!$F$2:$F$2501))</f>
        <v/>
      </c>
      <c r="D113">
        <f>IF(A113="","",COUNTIF(TripSummary!$C$2:$C$2501,A113))</f>
        <v/>
      </c>
      <c r="E113">
        <f>IF(A113="","",SUMIF(TripSummary!$C$2:$C$2501,A113,TripSummary!$G$2:$G$2501))</f>
        <v/>
      </c>
      <c r="F113">
        <f>IF(A113="","",SUMIF(TripSummary!$C$2:$C$2501,A113,TripSummary!$K$2:$K$2501))</f>
        <v/>
      </c>
      <c r="G113" s="9">
        <f>IF(OR(A113="",F113=0),"",E113/F113)</f>
        <v/>
      </c>
      <c r="H113" s="9">
        <f>IF(OR(A113="",KPI!$B$5=0),"",B113/KPI!$B$5)</f>
        <v/>
      </c>
      <c r="I113" s="9">
        <f>IF(OR(A113="",KPI!$B$8=0),"",C113/KPI!$B$8)</f>
        <v/>
      </c>
      <c r="J113" s="10">
        <f>IF(OR(A113="",B113=0),"",C113/B113)</f>
        <v/>
      </c>
    </row>
    <row r="114">
      <c r="B114">
        <f>IF(A114="","",SUMIF(TripSummary!$C$2:$C$2501,A114,TripSummary!$E$2:$E$2501))</f>
        <v/>
      </c>
      <c r="C114">
        <f>IF(A114="","",SUMIF(TripSummary!$C$2:$C$2501,A114,TripSummary!$F$2:$F$2501))</f>
        <v/>
      </c>
      <c r="D114">
        <f>IF(A114="","",COUNTIF(TripSummary!$C$2:$C$2501,A114))</f>
        <v/>
      </c>
      <c r="E114">
        <f>IF(A114="","",SUMIF(TripSummary!$C$2:$C$2501,A114,TripSummary!$G$2:$G$2501))</f>
        <v/>
      </c>
      <c r="F114">
        <f>IF(A114="","",SUMIF(TripSummary!$C$2:$C$2501,A114,TripSummary!$K$2:$K$2501))</f>
        <v/>
      </c>
      <c r="G114" s="9">
        <f>IF(OR(A114="",F114=0),"",E114/F114)</f>
        <v/>
      </c>
      <c r="H114" s="9">
        <f>IF(OR(A114="",KPI!$B$5=0),"",B114/KPI!$B$5)</f>
        <v/>
      </c>
      <c r="I114" s="9">
        <f>IF(OR(A114="",KPI!$B$8=0),"",C114/KPI!$B$8)</f>
        <v/>
      </c>
      <c r="J114" s="10">
        <f>IF(OR(A114="",B114=0),"",C114/B114)</f>
        <v/>
      </c>
    </row>
    <row r="115">
      <c r="B115">
        <f>IF(A115="","",SUMIF(TripSummary!$C$2:$C$2501,A115,TripSummary!$E$2:$E$2501))</f>
        <v/>
      </c>
      <c r="C115">
        <f>IF(A115="","",SUMIF(TripSummary!$C$2:$C$2501,A115,TripSummary!$F$2:$F$2501))</f>
        <v/>
      </c>
      <c r="D115">
        <f>IF(A115="","",COUNTIF(TripSummary!$C$2:$C$2501,A115))</f>
        <v/>
      </c>
      <c r="E115">
        <f>IF(A115="","",SUMIF(TripSummary!$C$2:$C$2501,A115,TripSummary!$G$2:$G$2501))</f>
        <v/>
      </c>
      <c r="F115">
        <f>IF(A115="","",SUMIF(TripSummary!$C$2:$C$2501,A115,TripSummary!$K$2:$K$2501))</f>
        <v/>
      </c>
      <c r="G115" s="9">
        <f>IF(OR(A115="",F115=0),"",E115/F115)</f>
        <v/>
      </c>
      <c r="H115" s="9">
        <f>IF(OR(A115="",KPI!$B$5=0),"",B115/KPI!$B$5)</f>
        <v/>
      </c>
      <c r="I115" s="9">
        <f>IF(OR(A115="",KPI!$B$8=0),"",C115/KPI!$B$8)</f>
        <v/>
      </c>
      <c r="J115" s="10">
        <f>IF(OR(A115="",B115=0),"",C115/B115)</f>
        <v/>
      </c>
    </row>
    <row r="116">
      <c r="B116">
        <f>IF(A116="","",SUMIF(TripSummary!$C$2:$C$2501,A116,TripSummary!$E$2:$E$2501))</f>
        <v/>
      </c>
      <c r="C116">
        <f>IF(A116="","",SUMIF(TripSummary!$C$2:$C$2501,A116,TripSummary!$F$2:$F$2501))</f>
        <v/>
      </c>
      <c r="D116">
        <f>IF(A116="","",COUNTIF(TripSummary!$C$2:$C$2501,A116))</f>
        <v/>
      </c>
      <c r="E116">
        <f>IF(A116="","",SUMIF(TripSummary!$C$2:$C$2501,A116,TripSummary!$G$2:$G$2501))</f>
        <v/>
      </c>
      <c r="F116">
        <f>IF(A116="","",SUMIF(TripSummary!$C$2:$C$2501,A116,TripSummary!$K$2:$K$2501))</f>
        <v/>
      </c>
      <c r="G116" s="9">
        <f>IF(OR(A116="",F116=0),"",E116/F116)</f>
        <v/>
      </c>
      <c r="H116" s="9">
        <f>IF(OR(A116="",KPI!$B$5=0),"",B116/KPI!$B$5)</f>
        <v/>
      </c>
      <c r="I116" s="9">
        <f>IF(OR(A116="",KPI!$B$8=0),"",C116/KPI!$B$8)</f>
        <v/>
      </c>
      <c r="J116" s="10">
        <f>IF(OR(A116="",B116=0),"",C116/B116)</f>
        <v/>
      </c>
    </row>
    <row r="117">
      <c r="B117">
        <f>IF(A117="","",SUMIF(TripSummary!$C$2:$C$2501,A117,TripSummary!$E$2:$E$2501))</f>
        <v/>
      </c>
      <c r="C117">
        <f>IF(A117="","",SUMIF(TripSummary!$C$2:$C$2501,A117,TripSummary!$F$2:$F$2501))</f>
        <v/>
      </c>
      <c r="D117">
        <f>IF(A117="","",COUNTIF(TripSummary!$C$2:$C$2501,A117))</f>
        <v/>
      </c>
      <c r="E117">
        <f>IF(A117="","",SUMIF(TripSummary!$C$2:$C$2501,A117,TripSummary!$G$2:$G$2501))</f>
        <v/>
      </c>
      <c r="F117">
        <f>IF(A117="","",SUMIF(TripSummary!$C$2:$C$2501,A117,TripSummary!$K$2:$K$2501))</f>
        <v/>
      </c>
      <c r="G117" s="9">
        <f>IF(OR(A117="",F117=0),"",E117/F117)</f>
        <v/>
      </c>
      <c r="H117" s="9">
        <f>IF(OR(A117="",KPI!$B$5=0),"",B117/KPI!$B$5)</f>
        <v/>
      </c>
      <c r="I117" s="9">
        <f>IF(OR(A117="",KPI!$B$8=0),"",C117/KPI!$B$8)</f>
        <v/>
      </c>
      <c r="J117" s="10">
        <f>IF(OR(A117="",B117=0),"",C117/B117)</f>
        <v/>
      </c>
    </row>
    <row r="118">
      <c r="B118">
        <f>IF(A118="","",SUMIF(TripSummary!$C$2:$C$2501,A118,TripSummary!$E$2:$E$2501))</f>
        <v/>
      </c>
      <c r="C118">
        <f>IF(A118="","",SUMIF(TripSummary!$C$2:$C$2501,A118,TripSummary!$F$2:$F$2501))</f>
        <v/>
      </c>
      <c r="D118">
        <f>IF(A118="","",COUNTIF(TripSummary!$C$2:$C$2501,A118))</f>
        <v/>
      </c>
      <c r="E118">
        <f>IF(A118="","",SUMIF(TripSummary!$C$2:$C$2501,A118,TripSummary!$G$2:$G$2501))</f>
        <v/>
      </c>
      <c r="F118">
        <f>IF(A118="","",SUMIF(TripSummary!$C$2:$C$2501,A118,TripSummary!$K$2:$K$2501))</f>
        <v/>
      </c>
      <c r="G118" s="9">
        <f>IF(OR(A118="",F118=0),"",E118/F118)</f>
        <v/>
      </c>
      <c r="H118" s="9">
        <f>IF(OR(A118="",KPI!$B$5=0),"",B118/KPI!$B$5)</f>
        <v/>
      </c>
      <c r="I118" s="9">
        <f>IF(OR(A118="",KPI!$B$8=0),"",C118/KPI!$B$8)</f>
        <v/>
      </c>
      <c r="J118" s="10">
        <f>IF(OR(A118="",B118=0),"",C118/B118)</f>
        <v/>
      </c>
    </row>
    <row r="119">
      <c r="B119">
        <f>IF(A119="","",SUMIF(TripSummary!$C$2:$C$2501,A119,TripSummary!$E$2:$E$2501))</f>
        <v/>
      </c>
      <c r="C119">
        <f>IF(A119="","",SUMIF(TripSummary!$C$2:$C$2501,A119,TripSummary!$F$2:$F$2501))</f>
        <v/>
      </c>
      <c r="D119">
        <f>IF(A119="","",COUNTIF(TripSummary!$C$2:$C$2501,A119))</f>
        <v/>
      </c>
      <c r="E119">
        <f>IF(A119="","",SUMIF(TripSummary!$C$2:$C$2501,A119,TripSummary!$G$2:$G$2501))</f>
        <v/>
      </c>
      <c r="F119">
        <f>IF(A119="","",SUMIF(TripSummary!$C$2:$C$2501,A119,TripSummary!$K$2:$K$2501))</f>
        <v/>
      </c>
      <c r="G119" s="9">
        <f>IF(OR(A119="",F119=0),"",E119/F119)</f>
        <v/>
      </c>
      <c r="H119" s="9">
        <f>IF(OR(A119="",KPI!$B$5=0),"",B119/KPI!$B$5)</f>
        <v/>
      </c>
      <c r="I119" s="9">
        <f>IF(OR(A119="",KPI!$B$8=0),"",C119/KPI!$B$8)</f>
        <v/>
      </c>
      <c r="J119" s="10">
        <f>IF(OR(A119="",B119=0),"",C119/B119)</f>
        <v/>
      </c>
    </row>
    <row r="120">
      <c r="B120">
        <f>IF(A120="","",SUMIF(TripSummary!$C$2:$C$2501,A120,TripSummary!$E$2:$E$2501))</f>
        <v/>
      </c>
      <c r="C120">
        <f>IF(A120="","",SUMIF(TripSummary!$C$2:$C$2501,A120,TripSummary!$F$2:$F$2501))</f>
        <v/>
      </c>
      <c r="D120">
        <f>IF(A120="","",COUNTIF(TripSummary!$C$2:$C$2501,A120))</f>
        <v/>
      </c>
      <c r="E120">
        <f>IF(A120="","",SUMIF(TripSummary!$C$2:$C$2501,A120,TripSummary!$G$2:$G$2501))</f>
        <v/>
      </c>
      <c r="F120">
        <f>IF(A120="","",SUMIF(TripSummary!$C$2:$C$2501,A120,TripSummary!$K$2:$K$2501))</f>
        <v/>
      </c>
      <c r="G120" s="9">
        <f>IF(OR(A120="",F120=0),"",E120/F120)</f>
        <v/>
      </c>
      <c r="H120" s="9">
        <f>IF(OR(A120="",KPI!$B$5=0),"",B120/KPI!$B$5)</f>
        <v/>
      </c>
      <c r="I120" s="9">
        <f>IF(OR(A120="",KPI!$B$8=0),"",C120/KPI!$B$8)</f>
        <v/>
      </c>
      <c r="J120" s="10">
        <f>IF(OR(A120="",B120=0),"",C120/B120)</f>
        <v/>
      </c>
    </row>
    <row r="121">
      <c r="B121">
        <f>IF(A121="","",SUMIF(TripSummary!$C$2:$C$2501,A121,TripSummary!$E$2:$E$2501))</f>
        <v/>
      </c>
      <c r="C121">
        <f>IF(A121="","",SUMIF(TripSummary!$C$2:$C$2501,A121,TripSummary!$F$2:$F$2501))</f>
        <v/>
      </c>
      <c r="D121">
        <f>IF(A121="","",COUNTIF(TripSummary!$C$2:$C$2501,A121))</f>
        <v/>
      </c>
      <c r="E121">
        <f>IF(A121="","",SUMIF(TripSummary!$C$2:$C$2501,A121,TripSummary!$G$2:$G$2501))</f>
        <v/>
      </c>
      <c r="F121">
        <f>IF(A121="","",SUMIF(TripSummary!$C$2:$C$2501,A121,TripSummary!$K$2:$K$2501))</f>
        <v/>
      </c>
      <c r="G121" s="9">
        <f>IF(OR(A121="",F121=0),"",E121/F121)</f>
        <v/>
      </c>
      <c r="H121" s="9">
        <f>IF(OR(A121="",KPI!$B$5=0),"",B121/KPI!$B$5)</f>
        <v/>
      </c>
      <c r="I121" s="9">
        <f>IF(OR(A121="",KPI!$B$8=0),"",C121/KPI!$B$8)</f>
        <v/>
      </c>
      <c r="J121" s="10">
        <f>IF(OR(A121="",B121=0),"",C121/B121)</f>
        <v/>
      </c>
    </row>
    <row r="122">
      <c r="B122">
        <f>IF(A122="","",SUMIF(TripSummary!$C$2:$C$2501,A122,TripSummary!$E$2:$E$2501))</f>
        <v/>
      </c>
      <c r="C122">
        <f>IF(A122="","",SUMIF(TripSummary!$C$2:$C$2501,A122,TripSummary!$F$2:$F$2501))</f>
        <v/>
      </c>
      <c r="D122">
        <f>IF(A122="","",COUNTIF(TripSummary!$C$2:$C$2501,A122))</f>
        <v/>
      </c>
      <c r="E122">
        <f>IF(A122="","",SUMIF(TripSummary!$C$2:$C$2501,A122,TripSummary!$G$2:$G$2501))</f>
        <v/>
      </c>
      <c r="F122">
        <f>IF(A122="","",SUMIF(TripSummary!$C$2:$C$2501,A122,TripSummary!$K$2:$K$2501))</f>
        <v/>
      </c>
      <c r="G122" s="9">
        <f>IF(OR(A122="",F122=0),"",E122/F122)</f>
        <v/>
      </c>
      <c r="H122" s="9">
        <f>IF(OR(A122="",KPI!$B$5=0),"",B122/KPI!$B$5)</f>
        <v/>
      </c>
      <c r="I122" s="9">
        <f>IF(OR(A122="",KPI!$B$8=0),"",C122/KPI!$B$8)</f>
        <v/>
      </c>
      <c r="J122" s="10">
        <f>IF(OR(A122="",B122=0),"",C122/B122)</f>
        <v/>
      </c>
    </row>
    <row r="123">
      <c r="B123">
        <f>IF(A123="","",SUMIF(TripSummary!$C$2:$C$2501,A123,TripSummary!$E$2:$E$2501))</f>
        <v/>
      </c>
      <c r="C123">
        <f>IF(A123="","",SUMIF(TripSummary!$C$2:$C$2501,A123,TripSummary!$F$2:$F$2501))</f>
        <v/>
      </c>
      <c r="D123">
        <f>IF(A123="","",COUNTIF(TripSummary!$C$2:$C$2501,A123))</f>
        <v/>
      </c>
      <c r="E123">
        <f>IF(A123="","",SUMIF(TripSummary!$C$2:$C$2501,A123,TripSummary!$G$2:$G$2501))</f>
        <v/>
      </c>
      <c r="F123">
        <f>IF(A123="","",SUMIF(TripSummary!$C$2:$C$2501,A123,TripSummary!$K$2:$K$2501))</f>
        <v/>
      </c>
      <c r="G123" s="9">
        <f>IF(OR(A123="",F123=0),"",E123/F123)</f>
        <v/>
      </c>
      <c r="H123" s="9">
        <f>IF(OR(A123="",KPI!$B$5=0),"",B123/KPI!$B$5)</f>
        <v/>
      </c>
      <c r="I123" s="9">
        <f>IF(OR(A123="",KPI!$B$8=0),"",C123/KPI!$B$8)</f>
        <v/>
      </c>
      <c r="J123" s="10">
        <f>IF(OR(A123="",B123=0),"",C123/B123)</f>
        <v/>
      </c>
    </row>
    <row r="124">
      <c r="B124">
        <f>IF(A124="","",SUMIF(TripSummary!$C$2:$C$2501,A124,TripSummary!$E$2:$E$2501))</f>
        <v/>
      </c>
      <c r="C124">
        <f>IF(A124="","",SUMIF(TripSummary!$C$2:$C$2501,A124,TripSummary!$F$2:$F$2501))</f>
        <v/>
      </c>
      <c r="D124">
        <f>IF(A124="","",COUNTIF(TripSummary!$C$2:$C$2501,A124))</f>
        <v/>
      </c>
      <c r="E124">
        <f>IF(A124="","",SUMIF(TripSummary!$C$2:$C$2501,A124,TripSummary!$G$2:$G$2501))</f>
        <v/>
      </c>
      <c r="F124">
        <f>IF(A124="","",SUMIF(TripSummary!$C$2:$C$2501,A124,TripSummary!$K$2:$K$2501))</f>
        <v/>
      </c>
      <c r="G124" s="9">
        <f>IF(OR(A124="",F124=0),"",E124/F124)</f>
        <v/>
      </c>
      <c r="H124" s="9">
        <f>IF(OR(A124="",KPI!$B$5=0),"",B124/KPI!$B$5)</f>
        <v/>
      </c>
      <c r="I124" s="9">
        <f>IF(OR(A124="",KPI!$B$8=0),"",C124/KPI!$B$8)</f>
        <v/>
      </c>
      <c r="J124" s="10">
        <f>IF(OR(A124="",B124=0),"",C124/B124)</f>
        <v/>
      </c>
    </row>
    <row r="125">
      <c r="B125">
        <f>IF(A125="","",SUMIF(TripSummary!$C$2:$C$2501,A125,TripSummary!$E$2:$E$2501))</f>
        <v/>
      </c>
      <c r="C125">
        <f>IF(A125="","",SUMIF(TripSummary!$C$2:$C$2501,A125,TripSummary!$F$2:$F$2501))</f>
        <v/>
      </c>
      <c r="D125">
        <f>IF(A125="","",COUNTIF(TripSummary!$C$2:$C$2501,A125))</f>
        <v/>
      </c>
      <c r="E125">
        <f>IF(A125="","",SUMIF(TripSummary!$C$2:$C$2501,A125,TripSummary!$G$2:$G$2501))</f>
        <v/>
      </c>
      <c r="F125">
        <f>IF(A125="","",SUMIF(TripSummary!$C$2:$C$2501,A125,TripSummary!$K$2:$K$2501))</f>
        <v/>
      </c>
      <c r="G125" s="9">
        <f>IF(OR(A125="",F125=0),"",E125/F125)</f>
        <v/>
      </c>
      <c r="H125" s="9">
        <f>IF(OR(A125="",KPI!$B$5=0),"",B125/KPI!$B$5)</f>
        <v/>
      </c>
      <c r="I125" s="9">
        <f>IF(OR(A125="",KPI!$B$8=0),"",C125/KPI!$B$8)</f>
        <v/>
      </c>
      <c r="J125" s="10">
        <f>IF(OR(A125="",B125=0),"",C125/B125)</f>
        <v/>
      </c>
    </row>
    <row r="126">
      <c r="B126">
        <f>IF(A126="","",SUMIF(TripSummary!$C$2:$C$2501,A126,TripSummary!$E$2:$E$2501))</f>
        <v/>
      </c>
      <c r="C126">
        <f>IF(A126="","",SUMIF(TripSummary!$C$2:$C$2501,A126,TripSummary!$F$2:$F$2501))</f>
        <v/>
      </c>
      <c r="D126">
        <f>IF(A126="","",COUNTIF(TripSummary!$C$2:$C$2501,A126))</f>
        <v/>
      </c>
      <c r="E126">
        <f>IF(A126="","",SUMIF(TripSummary!$C$2:$C$2501,A126,TripSummary!$G$2:$G$2501))</f>
        <v/>
      </c>
      <c r="F126">
        <f>IF(A126="","",SUMIF(TripSummary!$C$2:$C$2501,A126,TripSummary!$K$2:$K$2501))</f>
        <v/>
      </c>
      <c r="G126" s="9">
        <f>IF(OR(A126="",F126=0),"",E126/F126)</f>
        <v/>
      </c>
      <c r="H126" s="9">
        <f>IF(OR(A126="",KPI!$B$5=0),"",B126/KPI!$B$5)</f>
        <v/>
      </c>
      <c r="I126" s="9">
        <f>IF(OR(A126="",KPI!$B$8=0),"",C126/KPI!$B$8)</f>
        <v/>
      </c>
      <c r="J126" s="10">
        <f>IF(OR(A126="",B126=0),"",C126/B126)</f>
        <v/>
      </c>
    </row>
    <row r="127">
      <c r="B127">
        <f>IF(A127="","",SUMIF(TripSummary!$C$2:$C$2501,A127,TripSummary!$E$2:$E$2501))</f>
        <v/>
      </c>
      <c r="C127">
        <f>IF(A127="","",SUMIF(TripSummary!$C$2:$C$2501,A127,TripSummary!$F$2:$F$2501))</f>
        <v/>
      </c>
      <c r="D127">
        <f>IF(A127="","",COUNTIF(TripSummary!$C$2:$C$2501,A127))</f>
        <v/>
      </c>
      <c r="E127">
        <f>IF(A127="","",SUMIF(TripSummary!$C$2:$C$2501,A127,TripSummary!$G$2:$G$2501))</f>
        <v/>
      </c>
      <c r="F127">
        <f>IF(A127="","",SUMIF(TripSummary!$C$2:$C$2501,A127,TripSummary!$K$2:$K$2501))</f>
        <v/>
      </c>
      <c r="G127" s="9">
        <f>IF(OR(A127="",F127=0),"",E127/F127)</f>
        <v/>
      </c>
      <c r="H127" s="9">
        <f>IF(OR(A127="",KPI!$B$5=0),"",B127/KPI!$B$5)</f>
        <v/>
      </c>
      <c r="I127" s="9">
        <f>IF(OR(A127="",KPI!$B$8=0),"",C127/KPI!$B$8)</f>
        <v/>
      </c>
      <c r="J127" s="10">
        <f>IF(OR(A127="",B127=0),"",C127/B127)</f>
        <v/>
      </c>
    </row>
    <row r="128">
      <c r="B128">
        <f>IF(A128="","",SUMIF(TripSummary!$C$2:$C$2501,A128,TripSummary!$E$2:$E$2501))</f>
        <v/>
      </c>
      <c r="C128">
        <f>IF(A128="","",SUMIF(TripSummary!$C$2:$C$2501,A128,TripSummary!$F$2:$F$2501))</f>
        <v/>
      </c>
      <c r="D128">
        <f>IF(A128="","",COUNTIF(TripSummary!$C$2:$C$2501,A128))</f>
        <v/>
      </c>
      <c r="E128">
        <f>IF(A128="","",SUMIF(TripSummary!$C$2:$C$2501,A128,TripSummary!$G$2:$G$2501))</f>
        <v/>
      </c>
      <c r="F128">
        <f>IF(A128="","",SUMIF(TripSummary!$C$2:$C$2501,A128,TripSummary!$K$2:$K$2501))</f>
        <v/>
      </c>
      <c r="G128" s="9">
        <f>IF(OR(A128="",F128=0),"",E128/F128)</f>
        <v/>
      </c>
      <c r="H128" s="9">
        <f>IF(OR(A128="",KPI!$B$5=0),"",B128/KPI!$B$5)</f>
        <v/>
      </c>
      <c r="I128" s="9">
        <f>IF(OR(A128="",KPI!$B$8=0),"",C128/KPI!$B$8)</f>
        <v/>
      </c>
      <c r="J128" s="10">
        <f>IF(OR(A128="",B128=0),"",C128/B128)</f>
        <v/>
      </c>
    </row>
    <row r="129">
      <c r="B129">
        <f>IF(A129="","",SUMIF(TripSummary!$C$2:$C$2501,A129,TripSummary!$E$2:$E$2501))</f>
        <v/>
      </c>
      <c r="C129">
        <f>IF(A129="","",SUMIF(TripSummary!$C$2:$C$2501,A129,TripSummary!$F$2:$F$2501))</f>
        <v/>
      </c>
      <c r="D129">
        <f>IF(A129="","",COUNTIF(TripSummary!$C$2:$C$2501,A129))</f>
        <v/>
      </c>
      <c r="E129">
        <f>IF(A129="","",SUMIF(TripSummary!$C$2:$C$2501,A129,TripSummary!$G$2:$G$2501))</f>
        <v/>
      </c>
      <c r="F129">
        <f>IF(A129="","",SUMIF(TripSummary!$C$2:$C$2501,A129,TripSummary!$K$2:$K$2501))</f>
        <v/>
      </c>
      <c r="G129" s="9">
        <f>IF(OR(A129="",F129=0),"",E129/F129)</f>
        <v/>
      </c>
      <c r="H129" s="9">
        <f>IF(OR(A129="",KPI!$B$5=0),"",B129/KPI!$B$5)</f>
        <v/>
      </c>
      <c r="I129" s="9">
        <f>IF(OR(A129="",KPI!$B$8=0),"",C129/KPI!$B$8)</f>
        <v/>
      </c>
      <c r="J129" s="10">
        <f>IF(OR(A129="",B129=0),"",C129/B129)</f>
        <v/>
      </c>
    </row>
    <row r="130">
      <c r="B130">
        <f>IF(A130="","",SUMIF(TripSummary!$C$2:$C$2501,A130,TripSummary!$E$2:$E$2501))</f>
        <v/>
      </c>
      <c r="C130">
        <f>IF(A130="","",SUMIF(TripSummary!$C$2:$C$2501,A130,TripSummary!$F$2:$F$2501))</f>
        <v/>
      </c>
      <c r="D130">
        <f>IF(A130="","",COUNTIF(TripSummary!$C$2:$C$2501,A130))</f>
        <v/>
      </c>
      <c r="E130">
        <f>IF(A130="","",SUMIF(TripSummary!$C$2:$C$2501,A130,TripSummary!$G$2:$G$2501))</f>
        <v/>
      </c>
      <c r="F130">
        <f>IF(A130="","",SUMIF(TripSummary!$C$2:$C$2501,A130,TripSummary!$K$2:$K$2501))</f>
        <v/>
      </c>
      <c r="G130" s="9">
        <f>IF(OR(A130="",F130=0),"",E130/F130)</f>
        <v/>
      </c>
      <c r="H130" s="9">
        <f>IF(OR(A130="",KPI!$B$5=0),"",B130/KPI!$B$5)</f>
        <v/>
      </c>
      <c r="I130" s="9">
        <f>IF(OR(A130="",KPI!$B$8=0),"",C130/KPI!$B$8)</f>
        <v/>
      </c>
      <c r="J130" s="10">
        <f>IF(OR(A130="",B130=0),"",C130/B130)</f>
        <v/>
      </c>
    </row>
    <row r="131">
      <c r="B131">
        <f>IF(A131="","",SUMIF(TripSummary!$C$2:$C$2501,A131,TripSummary!$E$2:$E$2501))</f>
        <v/>
      </c>
      <c r="C131">
        <f>IF(A131="","",SUMIF(TripSummary!$C$2:$C$2501,A131,TripSummary!$F$2:$F$2501))</f>
        <v/>
      </c>
      <c r="D131">
        <f>IF(A131="","",COUNTIF(TripSummary!$C$2:$C$2501,A131))</f>
        <v/>
      </c>
      <c r="E131">
        <f>IF(A131="","",SUMIF(TripSummary!$C$2:$C$2501,A131,TripSummary!$G$2:$G$2501))</f>
        <v/>
      </c>
      <c r="F131">
        <f>IF(A131="","",SUMIF(TripSummary!$C$2:$C$2501,A131,TripSummary!$K$2:$K$2501))</f>
        <v/>
      </c>
      <c r="G131" s="9">
        <f>IF(OR(A131="",F131=0),"",E131/F131)</f>
        <v/>
      </c>
      <c r="H131" s="9">
        <f>IF(OR(A131="",KPI!$B$5=0),"",B131/KPI!$B$5)</f>
        <v/>
      </c>
      <c r="I131" s="9">
        <f>IF(OR(A131="",KPI!$B$8=0),"",C131/KPI!$B$8)</f>
        <v/>
      </c>
      <c r="J131" s="10">
        <f>IF(OR(A131="",B131=0),"",C131/B131)</f>
        <v/>
      </c>
    </row>
    <row r="132">
      <c r="B132">
        <f>IF(A132="","",SUMIF(TripSummary!$C$2:$C$2501,A132,TripSummary!$E$2:$E$2501))</f>
        <v/>
      </c>
      <c r="C132">
        <f>IF(A132="","",SUMIF(TripSummary!$C$2:$C$2501,A132,TripSummary!$F$2:$F$2501))</f>
        <v/>
      </c>
      <c r="D132">
        <f>IF(A132="","",COUNTIF(TripSummary!$C$2:$C$2501,A132))</f>
        <v/>
      </c>
      <c r="E132">
        <f>IF(A132="","",SUMIF(TripSummary!$C$2:$C$2501,A132,TripSummary!$G$2:$G$2501))</f>
        <v/>
      </c>
      <c r="F132">
        <f>IF(A132="","",SUMIF(TripSummary!$C$2:$C$2501,A132,TripSummary!$K$2:$K$2501))</f>
        <v/>
      </c>
      <c r="G132" s="9">
        <f>IF(OR(A132="",F132=0),"",E132/F132)</f>
        <v/>
      </c>
      <c r="H132" s="9">
        <f>IF(OR(A132="",KPI!$B$5=0),"",B132/KPI!$B$5)</f>
        <v/>
      </c>
      <c r="I132" s="9">
        <f>IF(OR(A132="",KPI!$B$8=0),"",C132/KPI!$B$8)</f>
        <v/>
      </c>
      <c r="J132" s="10">
        <f>IF(OR(A132="",B132=0),"",C132/B132)</f>
        <v/>
      </c>
    </row>
    <row r="133">
      <c r="B133">
        <f>IF(A133="","",SUMIF(TripSummary!$C$2:$C$2501,A133,TripSummary!$E$2:$E$2501))</f>
        <v/>
      </c>
      <c r="C133">
        <f>IF(A133="","",SUMIF(TripSummary!$C$2:$C$2501,A133,TripSummary!$F$2:$F$2501))</f>
        <v/>
      </c>
      <c r="D133">
        <f>IF(A133="","",COUNTIF(TripSummary!$C$2:$C$2501,A133))</f>
        <v/>
      </c>
      <c r="E133">
        <f>IF(A133="","",SUMIF(TripSummary!$C$2:$C$2501,A133,TripSummary!$G$2:$G$2501))</f>
        <v/>
      </c>
      <c r="F133">
        <f>IF(A133="","",SUMIF(TripSummary!$C$2:$C$2501,A133,TripSummary!$K$2:$K$2501))</f>
        <v/>
      </c>
      <c r="G133" s="9">
        <f>IF(OR(A133="",F133=0),"",E133/F133)</f>
        <v/>
      </c>
      <c r="H133" s="9">
        <f>IF(OR(A133="",KPI!$B$5=0),"",B133/KPI!$B$5)</f>
        <v/>
      </c>
      <c r="I133" s="9">
        <f>IF(OR(A133="",KPI!$B$8=0),"",C133/KPI!$B$8)</f>
        <v/>
      </c>
      <c r="J133" s="10">
        <f>IF(OR(A133="",B133=0),"",C133/B133)</f>
        <v/>
      </c>
    </row>
    <row r="134">
      <c r="B134">
        <f>IF(A134="","",SUMIF(TripSummary!$C$2:$C$2501,A134,TripSummary!$E$2:$E$2501))</f>
        <v/>
      </c>
      <c r="C134">
        <f>IF(A134="","",SUMIF(TripSummary!$C$2:$C$2501,A134,TripSummary!$F$2:$F$2501))</f>
        <v/>
      </c>
      <c r="D134">
        <f>IF(A134="","",COUNTIF(TripSummary!$C$2:$C$2501,A134))</f>
        <v/>
      </c>
      <c r="E134">
        <f>IF(A134="","",SUMIF(TripSummary!$C$2:$C$2501,A134,TripSummary!$G$2:$G$2501))</f>
        <v/>
      </c>
      <c r="F134">
        <f>IF(A134="","",SUMIF(TripSummary!$C$2:$C$2501,A134,TripSummary!$K$2:$K$2501))</f>
        <v/>
      </c>
      <c r="G134" s="9">
        <f>IF(OR(A134="",F134=0),"",E134/F134)</f>
        <v/>
      </c>
      <c r="H134" s="9">
        <f>IF(OR(A134="",KPI!$B$5=0),"",B134/KPI!$B$5)</f>
        <v/>
      </c>
      <c r="I134" s="9">
        <f>IF(OR(A134="",KPI!$B$8=0),"",C134/KPI!$B$8)</f>
        <v/>
      </c>
      <c r="J134" s="10">
        <f>IF(OR(A134="",B134=0),"",C134/B134)</f>
        <v/>
      </c>
    </row>
    <row r="135">
      <c r="B135">
        <f>IF(A135="","",SUMIF(TripSummary!$C$2:$C$2501,A135,TripSummary!$E$2:$E$2501))</f>
        <v/>
      </c>
      <c r="C135">
        <f>IF(A135="","",SUMIF(TripSummary!$C$2:$C$2501,A135,TripSummary!$F$2:$F$2501))</f>
        <v/>
      </c>
      <c r="D135">
        <f>IF(A135="","",COUNTIF(TripSummary!$C$2:$C$2501,A135))</f>
        <v/>
      </c>
      <c r="E135">
        <f>IF(A135="","",SUMIF(TripSummary!$C$2:$C$2501,A135,TripSummary!$G$2:$G$2501))</f>
        <v/>
      </c>
      <c r="F135">
        <f>IF(A135="","",SUMIF(TripSummary!$C$2:$C$2501,A135,TripSummary!$K$2:$K$2501))</f>
        <v/>
      </c>
      <c r="G135" s="9">
        <f>IF(OR(A135="",F135=0),"",E135/F135)</f>
        <v/>
      </c>
      <c r="H135" s="9">
        <f>IF(OR(A135="",KPI!$B$5=0),"",B135/KPI!$B$5)</f>
        <v/>
      </c>
      <c r="I135" s="9">
        <f>IF(OR(A135="",KPI!$B$8=0),"",C135/KPI!$B$8)</f>
        <v/>
      </c>
      <c r="J135" s="10">
        <f>IF(OR(A135="",B135=0),"",C135/B135)</f>
        <v/>
      </c>
    </row>
    <row r="136">
      <c r="B136">
        <f>IF(A136="","",SUMIF(TripSummary!$C$2:$C$2501,A136,TripSummary!$E$2:$E$2501))</f>
        <v/>
      </c>
      <c r="C136">
        <f>IF(A136="","",SUMIF(TripSummary!$C$2:$C$2501,A136,TripSummary!$F$2:$F$2501))</f>
        <v/>
      </c>
      <c r="D136">
        <f>IF(A136="","",COUNTIF(TripSummary!$C$2:$C$2501,A136))</f>
        <v/>
      </c>
      <c r="E136">
        <f>IF(A136="","",SUMIF(TripSummary!$C$2:$C$2501,A136,TripSummary!$G$2:$G$2501))</f>
        <v/>
      </c>
      <c r="F136">
        <f>IF(A136="","",SUMIF(TripSummary!$C$2:$C$2501,A136,TripSummary!$K$2:$K$2501))</f>
        <v/>
      </c>
      <c r="G136" s="9">
        <f>IF(OR(A136="",F136=0),"",E136/F136)</f>
        <v/>
      </c>
      <c r="H136" s="9">
        <f>IF(OR(A136="",KPI!$B$5=0),"",B136/KPI!$B$5)</f>
        <v/>
      </c>
      <c r="I136" s="9">
        <f>IF(OR(A136="",KPI!$B$8=0),"",C136/KPI!$B$8)</f>
        <v/>
      </c>
      <c r="J136" s="10">
        <f>IF(OR(A136="",B136=0),"",C136/B136)</f>
        <v/>
      </c>
    </row>
    <row r="137">
      <c r="B137">
        <f>IF(A137="","",SUMIF(TripSummary!$C$2:$C$2501,A137,TripSummary!$E$2:$E$2501))</f>
        <v/>
      </c>
      <c r="C137">
        <f>IF(A137="","",SUMIF(TripSummary!$C$2:$C$2501,A137,TripSummary!$F$2:$F$2501))</f>
        <v/>
      </c>
      <c r="D137">
        <f>IF(A137="","",COUNTIF(TripSummary!$C$2:$C$2501,A137))</f>
        <v/>
      </c>
      <c r="E137">
        <f>IF(A137="","",SUMIF(TripSummary!$C$2:$C$2501,A137,TripSummary!$G$2:$G$2501))</f>
        <v/>
      </c>
      <c r="F137">
        <f>IF(A137="","",SUMIF(TripSummary!$C$2:$C$2501,A137,TripSummary!$K$2:$K$2501))</f>
        <v/>
      </c>
      <c r="G137" s="9">
        <f>IF(OR(A137="",F137=0),"",E137/F137)</f>
        <v/>
      </c>
      <c r="H137" s="9">
        <f>IF(OR(A137="",KPI!$B$5=0),"",B137/KPI!$B$5)</f>
        <v/>
      </c>
      <c r="I137" s="9">
        <f>IF(OR(A137="",KPI!$B$8=0),"",C137/KPI!$B$8)</f>
        <v/>
      </c>
      <c r="J137" s="10">
        <f>IF(OR(A137="",B137=0),"",C137/B137)</f>
        <v/>
      </c>
    </row>
    <row r="138">
      <c r="B138">
        <f>IF(A138="","",SUMIF(TripSummary!$C$2:$C$2501,A138,TripSummary!$E$2:$E$2501))</f>
        <v/>
      </c>
      <c r="C138">
        <f>IF(A138="","",SUMIF(TripSummary!$C$2:$C$2501,A138,TripSummary!$F$2:$F$2501))</f>
        <v/>
      </c>
      <c r="D138">
        <f>IF(A138="","",COUNTIF(TripSummary!$C$2:$C$2501,A138))</f>
        <v/>
      </c>
      <c r="E138">
        <f>IF(A138="","",SUMIF(TripSummary!$C$2:$C$2501,A138,TripSummary!$G$2:$G$2501))</f>
        <v/>
      </c>
      <c r="F138">
        <f>IF(A138="","",SUMIF(TripSummary!$C$2:$C$2501,A138,TripSummary!$K$2:$K$2501))</f>
        <v/>
      </c>
      <c r="G138" s="9">
        <f>IF(OR(A138="",F138=0),"",E138/F138)</f>
        <v/>
      </c>
      <c r="H138" s="9">
        <f>IF(OR(A138="",KPI!$B$5=0),"",B138/KPI!$B$5)</f>
        <v/>
      </c>
      <c r="I138" s="9">
        <f>IF(OR(A138="",KPI!$B$8=0),"",C138/KPI!$B$8)</f>
        <v/>
      </c>
      <c r="J138" s="10">
        <f>IF(OR(A138="",B138=0),"",C138/B138)</f>
        <v/>
      </c>
    </row>
    <row r="139">
      <c r="B139">
        <f>IF(A139="","",SUMIF(TripSummary!$C$2:$C$2501,A139,TripSummary!$E$2:$E$2501))</f>
        <v/>
      </c>
      <c r="C139">
        <f>IF(A139="","",SUMIF(TripSummary!$C$2:$C$2501,A139,TripSummary!$F$2:$F$2501))</f>
        <v/>
      </c>
      <c r="D139">
        <f>IF(A139="","",COUNTIF(TripSummary!$C$2:$C$2501,A139))</f>
        <v/>
      </c>
      <c r="E139">
        <f>IF(A139="","",SUMIF(TripSummary!$C$2:$C$2501,A139,TripSummary!$G$2:$G$2501))</f>
        <v/>
      </c>
      <c r="F139">
        <f>IF(A139="","",SUMIF(TripSummary!$C$2:$C$2501,A139,TripSummary!$K$2:$K$2501))</f>
        <v/>
      </c>
      <c r="G139" s="9">
        <f>IF(OR(A139="",F139=0),"",E139/F139)</f>
        <v/>
      </c>
      <c r="H139" s="9">
        <f>IF(OR(A139="",KPI!$B$5=0),"",B139/KPI!$B$5)</f>
        <v/>
      </c>
      <c r="I139" s="9">
        <f>IF(OR(A139="",KPI!$B$8=0),"",C139/KPI!$B$8)</f>
        <v/>
      </c>
      <c r="J139" s="10">
        <f>IF(OR(A139="",B139=0),"",C139/B139)</f>
        <v/>
      </c>
    </row>
    <row r="140">
      <c r="B140">
        <f>IF(A140="","",SUMIF(TripSummary!$C$2:$C$2501,A140,TripSummary!$E$2:$E$2501))</f>
        <v/>
      </c>
      <c r="C140">
        <f>IF(A140="","",SUMIF(TripSummary!$C$2:$C$2501,A140,TripSummary!$F$2:$F$2501))</f>
        <v/>
      </c>
      <c r="D140">
        <f>IF(A140="","",COUNTIF(TripSummary!$C$2:$C$2501,A140))</f>
        <v/>
      </c>
      <c r="E140">
        <f>IF(A140="","",SUMIF(TripSummary!$C$2:$C$2501,A140,TripSummary!$G$2:$G$2501))</f>
        <v/>
      </c>
      <c r="F140">
        <f>IF(A140="","",SUMIF(TripSummary!$C$2:$C$2501,A140,TripSummary!$K$2:$K$2501))</f>
        <v/>
      </c>
      <c r="G140" s="9">
        <f>IF(OR(A140="",F140=0),"",E140/F140)</f>
        <v/>
      </c>
      <c r="H140" s="9">
        <f>IF(OR(A140="",KPI!$B$5=0),"",B140/KPI!$B$5)</f>
        <v/>
      </c>
      <c r="I140" s="9">
        <f>IF(OR(A140="",KPI!$B$8=0),"",C140/KPI!$B$8)</f>
        <v/>
      </c>
      <c r="J140" s="10">
        <f>IF(OR(A140="",B140=0),"",C140/B140)</f>
        <v/>
      </c>
    </row>
    <row r="141">
      <c r="B141">
        <f>IF(A141="","",SUMIF(TripSummary!$C$2:$C$2501,A141,TripSummary!$E$2:$E$2501))</f>
        <v/>
      </c>
      <c r="C141">
        <f>IF(A141="","",SUMIF(TripSummary!$C$2:$C$2501,A141,TripSummary!$F$2:$F$2501))</f>
        <v/>
      </c>
      <c r="D141">
        <f>IF(A141="","",COUNTIF(TripSummary!$C$2:$C$2501,A141))</f>
        <v/>
      </c>
      <c r="E141">
        <f>IF(A141="","",SUMIF(TripSummary!$C$2:$C$2501,A141,TripSummary!$G$2:$G$2501))</f>
        <v/>
      </c>
      <c r="F141">
        <f>IF(A141="","",SUMIF(TripSummary!$C$2:$C$2501,A141,TripSummary!$K$2:$K$2501))</f>
        <v/>
      </c>
      <c r="G141" s="9">
        <f>IF(OR(A141="",F141=0),"",E141/F141)</f>
        <v/>
      </c>
      <c r="H141" s="9">
        <f>IF(OR(A141="",KPI!$B$5=0),"",B141/KPI!$B$5)</f>
        <v/>
      </c>
      <c r="I141" s="9">
        <f>IF(OR(A141="",KPI!$B$8=0),"",C141/KPI!$B$8)</f>
        <v/>
      </c>
      <c r="J141" s="10">
        <f>IF(OR(A141="",B141=0),"",C141/B141)</f>
        <v/>
      </c>
    </row>
    <row r="142">
      <c r="B142">
        <f>IF(A142="","",SUMIF(TripSummary!$C$2:$C$2501,A142,TripSummary!$E$2:$E$2501))</f>
        <v/>
      </c>
      <c r="C142">
        <f>IF(A142="","",SUMIF(TripSummary!$C$2:$C$2501,A142,TripSummary!$F$2:$F$2501))</f>
        <v/>
      </c>
      <c r="D142">
        <f>IF(A142="","",COUNTIF(TripSummary!$C$2:$C$2501,A142))</f>
        <v/>
      </c>
      <c r="E142">
        <f>IF(A142="","",SUMIF(TripSummary!$C$2:$C$2501,A142,TripSummary!$G$2:$G$2501))</f>
        <v/>
      </c>
      <c r="F142">
        <f>IF(A142="","",SUMIF(TripSummary!$C$2:$C$2501,A142,TripSummary!$K$2:$K$2501))</f>
        <v/>
      </c>
      <c r="G142" s="9">
        <f>IF(OR(A142="",F142=0),"",E142/F142)</f>
        <v/>
      </c>
      <c r="H142" s="9">
        <f>IF(OR(A142="",KPI!$B$5=0),"",B142/KPI!$B$5)</f>
        <v/>
      </c>
      <c r="I142" s="9">
        <f>IF(OR(A142="",KPI!$B$8=0),"",C142/KPI!$B$8)</f>
        <v/>
      </c>
      <c r="J142" s="10">
        <f>IF(OR(A142="",B142=0),"",C142/B142)</f>
        <v/>
      </c>
    </row>
    <row r="143">
      <c r="B143">
        <f>IF(A143="","",SUMIF(TripSummary!$C$2:$C$2501,A143,TripSummary!$E$2:$E$2501))</f>
        <v/>
      </c>
      <c r="C143">
        <f>IF(A143="","",SUMIF(TripSummary!$C$2:$C$2501,A143,TripSummary!$F$2:$F$2501))</f>
        <v/>
      </c>
      <c r="D143">
        <f>IF(A143="","",COUNTIF(TripSummary!$C$2:$C$2501,A143))</f>
        <v/>
      </c>
      <c r="E143">
        <f>IF(A143="","",SUMIF(TripSummary!$C$2:$C$2501,A143,TripSummary!$G$2:$G$2501))</f>
        <v/>
      </c>
      <c r="F143">
        <f>IF(A143="","",SUMIF(TripSummary!$C$2:$C$2501,A143,TripSummary!$K$2:$K$2501))</f>
        <v/>
      </c>
      <c r="G143" s="9">
        <f>IF(OR(A143="",F143=0),"",E143/F143)</f>
        <v/>
      </c>
      <c r="H143" s="9">
        <f>IF(OR(A143="",KPI!$B$5=0),"",B143/KPI!$B$5)</f>
        <v/>
      </c>
      <c r="I143" s="9">
        <f>IF(OR(A143="",KPI!$B$8=0),"",C143/KPI!$B$8)</f>
        <v/>
      </c>
      <c r="J143" s="10">
        <f>IF(OR(A143="",B143=0),"",C143/B143)</f>
        <v/>
      </c>
    </row>
    <row r="144">
      <c r="B144">
        <f>IF(A144="","",SUMIF(TripSummary!$C$2:$C$2501,A144,TripSummary!$E$2:$E$2501))</f>
        <v/>
      </c>
      <c r="C144">
        <f>IF(A144="","",SUMIF(TripSummary!$C$2:$C$2501,A144,TripSummary!$F$2:$F$2501))</f>
        <v/>
      </c>
      <c r="D144">
        <f>IF(A144="","",COUNTIF(TripSummary!$C$2:$C$2501,A144))</f>
        <v/>
      </c>
      <c r="E144">
        <f>IF(A144="","",SUMIF(TripSummary!$C$2:$C$2501,A144,TripSummary!$G$2:$G$2501))</f>
        <v/>
      </c>
      <c r="F144">
        <f>IF(A144="","",SUMIF(TripSummary!$C$2:$C$2501,A144,TripSummary!$K$2:$K$2501))</f>
        <v/>
      </c>
      <c r="G144" s="9">
        <f>IF(OR(A144="",F144=0),"",E144/F144)</f>
        <v/>
      </c>
      <c r="H144" s="9">
        <f>IF(OR(A144="",KPI!$B$5=0),"",B144/KPI!$B$5)</f>
        <v/>
      </c>
      <c r="I144" s="9">
        <f>IF(OR(A144="",KPI!$B$8=0),"",C144/KPI!$B$8)</f>
        <v/>
      </c>
      <c r="J144" s="10">
        <f>IF(OR(A144="",B144=0),"",C144/B144)</f>
        <v/>
      </c>
    </row>
    <row r="145">
      <c r="B145">
        <f>IF(A145="","",SUMIF(TripSummary!$C$2:$C$2501,A145,TripSummary!$E$2:$E$2501))</f>
        <v/>
      </c>
      <c r="C145">
        <f>IF(A145="","",SUMIF(TripSummary!$C$2:$C$2501,A145,TripSummary!$F$2:$F$2501))</f>
        <v/>
      </c>
      <c r="D145">
        <f>IF(A145="","",COUNTIF(TripSummary!$C$2:$C$2501,A145))</f>
        <v/>
      </c>
      <c r="E145">
        <f>IF(A145="","",SUMIF(TripSummary!$C$2:$C$2501,A145,TripSummary!$G$2:$G$2501))</f>
        <v/>
      </c>
      <c r="F145">
        <f>IF(A145="","",SUMIF(TripSummary!$C$2:$C$2501,A145,TripSummary!$K$2:$K$2501))</f>
        <v/>
      </c>
      <c r="G145" s="9">
        <f>IF(OR(A145="",F145=0),"",E145/F145)</f>
        <v/>
      </c>
      <c r="H145" s="9">
        <f>IF(OR(A145="",KPI!$B$5=0),"",B145/KPI!$B$5)</f>
        <v/>
      </c>
      <c r="I145" s="9">
        <f>IF(OR(A145="",KPI!$B$8=0),"",C145/KPI!$B$8)</f>
        <v/>
      </c>
      <c r="J145" s="10">
        <f>IF(OR(A145="",B145=0),"",C145/B145)</f>
        <v/>
      </c>
    </row>
    <row r="146">
      <c r="B146">
        <f>IF(A146="","",SUMIF(TripSummary!$C$2:$C$2501,A146,TripSummary!$E$2:$E$2501))</f>
        <v/>
      </c>
      <c r="C146">
        <f>IF(A146="","",SUMIF(TripSummary!$C$2:$C$2501,A146,TripSummary!$F$2:$F$2501))</f>
        <v/>
      </c>
      <c r="D146">
        <f>IF(A146="","",COUNTIF(TripSummary!$C$2:$C$2501,A146))</f>
        <v/>
      </c>
      <c r="E146">
        <f>IF(A146="","",SUMIF(TripSummary!$C$2:$C$2501,A146,TripSummary!$G$2:$G$2501))</f>
        <v/>
      </c>
      <c r="F146">
        <f>IF(A146="","",SUMIF(TripSummary!$C$2:$C$2501,A146,TripSummary!$K$2:$K$2501))</f>
        <v/>
      </c>
      <c r="G146" s="9">
        <f>IF(OR(A146="",F146=0),"",E146/F146)</f>
        <v/>
      </c>
      <c r="H146" s="9">
        <f>IF(OR(A146="",KPI!$B$5=0),"",B146/KPI!$B$5)</f>
        <v/>
      </c>
      <c r="I146" s="9">
        <f>IF(OR(A146="",KPI!$B$8=0),"",C146/KPI!$B$8)</f>
        <v/>
      </c>
      <c r="J146" s="10">
        <f>IF(OR(A146="",B146=0),"",C146/B146)</f>
        <v/>
      </c>
    </row>
    <row r="147">
      <c r="B147">
        <f>IF(A147="","",SUMIF(TripSummary!$C$2:$C$2501,A147,TripSummary!$E$2:$E$2501))</f>
        <v/>
      </c>
      <c r="C147">
        <f>IF(A147="","",SUMIF(TripSummary!$C$2:$C$2501,A147,TripSummary!$F$2:$F$2501))</f>
        <v/>
      </c>
      <c r="D147">
        <f>IF(A147="","",COUNTIF(TripSummary!$C$2:$C$2501,A147))</f>
        <v/>
      </c>
      <c r="E147">
        <f>IF(A147="","",SUMIF(TripSummary!$C$2:$C$2501,A147,TripSummary!$G$2:$G$2501))</f>
        <v/>
      </c>
      <c r="F147">
        <f>IF(A147="","",SUMIF(TripSummary!$C$2:$C$2501,A147,TripSummary!$K$2:$K$2501))</f>
        <v/>
      </c>
      <c r="G147" s="9">
        <f>IF(OR(A147="",F147=0),"",E147/F147)</f>
        <v/>
      </c>
      <c r="H147" s="9">
        <f>IF(OR(A147="",KPI!$B$5=0),"",B147/KPI!$B$5)</f>
        <v/>
      </c>
      <c r="I147" s="9">
        <f>IF(OR(A147="",KPI!$B$8=0),"",C147/KPI!$B$8)</f>
        <v/>
      </c>
      <c r="J147" s="10">
        <f>IF(OR(A147="",B147=0),"",C147/B147)</f>
        <v/>
      </c>
    </row>
    <row r="148">
      <c r="B148">
        <f>IF(A148="","",SUMIF(TripSummary!$C$2:$C$2501,A148,TripSummary!$E$2:$E$2501))</f>
        <v/>
      </c>
      <c r="C148">
        <f>IF(A148="","",SUMIF(TripSummary!$C$2:$C$2501,A148,TripSummary!$F$2:$F$2501))</f>
        <v/>
      </c>
      <c r="D148">
        <f>IF(A148="","",COUNTIF(TripSummary!$C$2:$C$2501,A148))</f>
        <v/>
      </c>
      <c r="E148">
        <f>IF(A148="","",SUMIF(TripSummary!$C$2:$C$2501,A148,TripSummary!$G$2:$G$2501))</f>
        <v/>
      </c>
      <c r="F148">
        <f>IF(A148="","",SUMIF(TripSummary!$C$2:$C$2501,A148,TripSummary!$K$2:$K$2501))</f>
        <v/>
      </c>
      <c r="G148" s="9">
        <f>IF(OR(A148="",F148=0),"",E148/F148)</f>
        <v/>
      </c>
      <c r="H148" s="9">
        <f>IF(OR(A148="",KPI!$B$5=0),"",B148/KPI!$B$5)</f>
        <v/>
      </c>
      <c r="I148" s="9">
        <f>IF(OR(A148="",KPI!$B$8=0),"",C148/KPI!$B$8)</f>
        <v/>
      </c>
      <c r="J148" s="10">
        <f>IF(OR(A148="",B148=0),"",C148/B148)</f>
        <v/>
      </c>
    </row>
    <row r="149">
      <c r="B149">
        <f>IF(A149="","",SUMIF(TripSummary!$C$2:$C$2501,A149,TripSummary!$E$2:$E$2501))</f>
        <v/>
      </c>
      <c r="C149">
        <f>IF(A149="","",SUMIF(TripSummary!$C$2:$C$2501,A149,TripSummary!$F$2:$F$2501))</f>
        <v/>
      </c>
      <c r="D149">
        <f>IF(A149="","",COUNTIF(TripSummary!$C$2:$C$2501,A149))</f>
        <v/>
      </c>
      <c r="E149">
        <f>IF(A149="","",SUMIF(TripSummary!$C$2:$C$2501,A149,TripSummary!$G$2:$G$2501))</f>
        <v/>
      </c>
      <c r="F149">
        <f>IF(A149="","",SUMIF(TripSummary!$C$2:$C$2501,A149,TripSummary!$K$2:$K$2501))</f>
        <v/>
      </c>
      <c r="G149" s="9">
        <f>IF(OR(A149="",F149=0),"",E149/F149)</f>
        <v/>
      </c>
      <c r="H149" s="9">
        <f>IF(OR(A149="",KPI!$B$5=0),"",B149/KPI!$B$5)</f>
        <v/>
      </c>
      <c r="I149" s="9">
        <f>IF(OR(A149="",KPI!$B$8=0),"",C149/KPI!$B$8)</f>
        <v/>
      </c>
      <c r="J149" s="10">
        <f>IF(OR(A149="",B149=0),"",C149/B149)</f>
        <v/>
      </c>
    </row>
    <row r="150">
      <c r="B150">
        <f>IF(A150="","",SUMIF(TripSummary!$C$2:$C$2501,A150,TripSummary!$E$2:$E$2501))</f>
        <v/>
      </c>
      <c r="C150">
        <f>IF(A150="","",SUMIF(TripSummary!$C$2:$C$2501,A150,TripSummary!$F$2:$F$2501))</f>
        <v/>
      </c>
      <c r="D150">
        <f>IF(A150="","",COUNTIF(TripSummary!$C$2:$C$2501,A150))</f>
        <v/>
      </c>
      <c r="E150">
        <f>IF(A150="","",SUMIF(TripSummary!$C$2:$C$2501,A150,TripSummary!$G$2:$G$2501))</f>
        <v/>
      </c>
      <c r="F150">
        <f>IF(A150="","",SUMIF(TripSummary!$C$2:$C$2501,A150,TripSummary!$K$2:$K$2501))</f>
        <v/>
      </c>
      <c r="G150" s="9">
        <f>IF(OR(A150="",F150=0),"",E150/F150)</f>
        <v/>
      </c>
      <c r="H150" s="9">
        <f>IF(OR(A150="",KPI!$B$5=0),"",B150/KPI!$B$5)</f>
        <v/>
      </c>
      <c r="I150" s="9">
        <f>IF(OR(A150="",KPI!$B$8=0),"",C150/KPI!$B$8)</f>
        <v/>
      </c>
      <c r="J150" s="10">
        <f>IF(OR(A150="",B150=0),"",C150/B150)</f>
        <v/>
      </c>
    </row>
    <row r="151">
      <c r="B151">
        <f>IF(A151="","",SUMIF(TripSummary!$C$2:$C$2501,A151,TripSummary!$E$2:$E$2501))</f>
        <v/>
      </c>
      <c r="C151">
        <f>IF(A151="","",SUMIF(TripSummary!$C$2:$C$2501,A151,TripSummary!$F$2:$F$2501))</f>
        <v/>
      </c>
      <c r="D151">
        <f>IF(A151="","",COUNTIF(TripSummary!$C$2:$C$2501,A151))</f>
        <v/>
      </c>
      <c r="E151">
        <f>IF(A151="","",SUMIF(TripSummary!$C$2:$C$2501,A151,TripSummary!$G$2:$G$2501))</f>
        <v/>
      </c>
      <c r="F151">
        <f>IF(A151="","",SUMIF(TripSummary!$C$2:$C$2501,A151,TripSummary!$K$2:$K$2501))</f>
        <v/>
      </c>
      <c r="G151" s="9">
        <f>IF(OR(A151="",F151=0),"",E151/F151)</f>
        <v/>
      </c>
      <c r="H151" s="9">
        <f>IF(OR(A151="",KPI!$B$5=0),"",B151/KPI!$B$5)</f>
        <v/>
      </c>
      <c r="I151" s="9">
        <f>IF(OR(A151="",KPI!$B$8=0),"",C151/KPI!$B$8)</f>
        <v/>
      </c>
      <c r="J151" s="10">
        <f>IF(OR(A151="",B151=0),"",C151/B151)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55" customWidth="1" min="4" max="4"/>
  </cols>
  <sheetData>
    <row r="1">
      <c r="A1" s="1" t="inlineStr">
        <is>
          <t>Overview KPIs (selected period)</t>
        </is>
      </c>
    </row>
    <row r="2">
      <c r="A2" s="5">
        <f>CONCAT("Period: ",TEXT(StartDate,"yyyy-mm-dd")," → ",TEXT(EndDate,"yyyy-mm-dd"),IF(RouteFilter="",""," | Route "&amp;RouteFilter))</f>
        <v/>
      </c>
    </row>
    <row r="4">
      <c r="A4" s="2" t="inlineStr">
        <is>
          <t>Primary cards</t>
        </is>
      </c>
      <c r="D4" s="5" t="inlineStr">
        <is>
          <t>Matches Overview StatCards + Ops snapshot</t>
        </is>
      </c>
    </row>
    <row r="5">
      <c r="A5" s="3" t="inlineStr">
        <is>
          <t>Ridership</t>
        </is>
      </c>
      <c r="B5" s="11">
        <f>SUMIF(Daily!$A$2:$A$101,"&lt;&gt;",Daily!$B$2:$B$101)</f>
        <v/>
      </c>
      <c r="D5" s="5" t="inlineStr">
        <is>
          <t>LF uses summed pax-km / capacity-km</t>
        </is>
      </c>
    </row>
    <row r="6">
      <c r="A6" s="3" t="inlineStr">
        <is>
          <t>Service days</t>
        </is>
      </c>
      <c r="B6" s="12">
        <f>COUNTIF(Daily!$A$2:$A$101,"&lt;&gt;")</f>
        <v/>
      </c>
    </row>
    <row r="7">
      <c r="A7" s="3" t="inlineStr">
        <is>
          <t>Passengers / day</t>
        </is>
      </c>
      <c r="B7" s="11">
        <f>IF(B6=0,0,B5/B6)</f>
        <v/>
      </c>
    </row>
    <row r="8">
      <c r="A8" s="3" t="inlineStr">
        <is>
          <t>Revenue</t>
        </is>
      </c>
      <c r="B8" s="13">
        <f>SUMIF(Daily!$A$2:$A$101,"&lt;&gt;",Daily!$C$2:$C$101)</f>
        <v/>
      </c>
    </row>
    <row r="9">
      <c r="A9" s="3" t="inlineStr">
        <is>
          <t>Revenue / day</t>
        </is>
      </c>
      <c r="B9" s="13">
        <f>IF(B6=0,0,B8/B6)</f>
        <v/>
      </c>
    </row>
    <row r="10">
      <c r="A10" s="3" t="inlineStr">
        <is>
          <t>Fare yield (₹/pax)</t>
        </is>
      </c>
      <c r="B10" s="14">
        <f>IF(B5=0,0,B8/B5)</f>
        <v/>
      </c>
    </row>
    <row r="11">
      <c r="A11" s="3" t="inlineStr">
        <is>
          <t>Load factor (LF)</t>
        </is>
      </c>
      <c r="B11" s="15">
        <f>IFERROR(SUMIF(Daily!$A$2:$A$101,"&lt;&gt;",Daily!$D$2:$D$101)/SUMIF(Daily!$A$2:$A$101,"&lt;&gt;",Daily!$E$2:$E$101),0)</f>
        <v/>
      </c>
    </row>
    <row r="12">
      <c r="A12" s="3" t="inlineStr">
        <is>
          <t>Service trips</t>
        </is>
      </c>
      <c r="B12" s="11">
        <f>SUMIF(Daily!$A$2:$A$101,"&lt;&gt;",Daily!$F$2:$F$101)</f>
        <v/>
      </c>
    </row>
    <row r="13">
      <c r="A13" s="3" t="inlineStr">
        <is>
          <t>Buses / day</t>
        </is>
      </c>
      <c r="B13" s="16">
        <f>IFERROR(AVERAGEIF(Daily!$A$2:$A$101,"&lt;&gt;",Daily!$G$2:$G$101),0)</f>
        <v/>
      </c>
    </row>
    <row r="14">
      <c r="A14" s="3" t="inlineStr">
        <is>
          <t>Trips per bus</t>
        </is>
      </c>
      <c r="B14" s="16">
        <f>IFERROR(B12/SUMIF(Daily!$A$2:$A$101,"&lt;&gt;",Daily!$G$2:$G$101),0)</f>
        <v/>
      </c>
      <c r="D14" s="5" t="inlineStr">
        <is>
          <t>Denominator = sum of daily buses (bus-days)</t>
        </is>
      </c>
    </row>
    <row r="16">
      <c r="A16" s="2" t="inlineStr">
        <is>
          <t>Operating snapshot</t>
        </is>
      </c>
    </row>
    <row r="17">
      <c r="A17" s="3" t="inlineStr">
        <is>
          <t>ATL (km)</t>
        </is>
      </c>
      <c r="B17" s="17">
        <f>IFERROR(SUMIF(Daily!$A$2:$A$101,"&lt;&gt;",Daily!$D$2:$D$101)/B5,0)</f>
        <v/>
      </c>
    </row>
    <row r="18">
      <c r="A18" s="3" t="inlineStr">
        <is>
          <t>EPKM (avg of daily)</t>
        </is>
      </c>
      <c r="B18" s="14">
        <f>IFERROR(AVERAGEIF(Daily!$A$2:$A$101,"&lt;&gt;",Daily!$L$2:$L$101),0)</f>
        <v/>
      </c>
      <c r="D18" s="5" t="inlineStr">
        <is>
          <t>Dashboard uses mean of daily EPKM/EPB from kpi_daily</t>
        </is>
      </c>
    </row>
    <row r="19">
      <c r="A19" s="3" t="inlineStr">
        <is>
          <t>EPB (avg of daily)</t>
        </is>
      </c>
      <c r="B19" s="13">
        <f>IFERROR(AVERAGEIF(Daily!$A$2:$A$101,"&lt;&gt;",Daily!$M$2:$M$101),0)</f>
        <v/>
      </c>
    </row>
    <row r="20">
      <c r="A20" s="3" t="inlineStr">
        <is>
          <t>Avg headway (min)</t>
        </is>
      </c>
      <c r="B20" s="16">
        <f>IFERROR(AVERAGEIF(Daily!$A$2:$A$101,"&lt;&gt;",Daily!$N$2:$N$101),0)</f>
        <v/>
      </c>
    </row>
    <row r="22">
      <c r="A22" s="2" t="inlineStr">
        <is>
          <t>Gender (ticketed)</t>
        </is>
      </c>
    </row>
    <row r="23">
      <c r="A23" s="3" t="inlineStr">
        <is>
          <t>Male ridership</t>
        </is>
      </c>
      <c r="B23" s="11">
        <f>SUMIFS(Tickets[TP],Tickets[Gender],"M",Tickets[Date],"&gt;="&amp;StartDate,Tickets[Date],"&lt;="&amp;EndDate)</f>
        <v/>
      </c>
    </row>
    <row r="24">
      <c r="A24" s="3" t="inlineStr">
        <is>
          <t>Female ridership</t>
        </is>
      </c>
      <c r="B24" s="11">
        <f>SUMIFS(Tickets[TP],Tickets[Gender],"F",Tickets[Date],"&gt;="&amp;StartDate,Tickets[Date],"&lt;="&amp;EndDate)</f>
        <v/>
      </c>
    </row>
    <row r="26">
      <c r="A26" s="2" t="inlineStr">
        <is>
          <t>Sanity checks</t>
        </is>
      </c>
    </row>
    <row r="27">
      <c r="A27" s="3" t="inlineStr">
        <is>
          <t>Tickets in period</t>
        </is>
      </c>
      <c r="B27" s="11">
        <f>COUNTIFS(Tickets[Date],"&gt;="&amp;StartDate,Tickets[Date],"&lt;="&amp;EndDate)</f>
        <v/>
      </c>
    </row>
    <row r="28">
      <c r="A28" s="3" t="inlineStr">
        <is>
          <t>Trips with capacity=0</t>
        </is>
      </c>
      <c r="B28" s="11">
        <f>COUNTIFS(TripSummary!$J$2:$J$2501,0,TripSummary!$A$2:$A$2501,"&lt;&gt;")</f>
        <v/>
      </c>
      <c r="D28" s="7" t="inlineStr">
        <is>
          <t>If &gt;0, fix Veh / Routes lookups</t>
        </is>
      </c>
    </row>
    <row r="29">
      <c r="A29" s="3" t="inlineStr">
        <is>
          <t>Trips with route len=0</t>
        </is>
      </c>
      <c r="B29" s="11">
        <f>COUNTIFS(TripSummary!$I$2:$I$2501,0,TripSummary!$A$2:$A$2501,"&lt;&gt;")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2026-08-06T05:36:06Z</dcterms:created>
  <dcterms:modified xmlns:dcterms="http://purl.org/dc/terms/" xmlns:xsi="http://www.w3.org/2001/XMLSchema-instance" xsi:type="dcterms:W3CDTF">2026-08-06T05:36:06Z</dcterms:modified>
</cp:coreProperties>
</file>